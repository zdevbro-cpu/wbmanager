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3.xml" ContentType="application/vnd.ms-excel.slicer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현재 현황_26.07.09\"/>
    </mc:Choice>
  </mc:AlternateContent>
  <xr:revisionPtr revIDLastSave="0" documentId="13_ncr:1_{B770802D-417B-4B48-A108-D4491774E569}" xr6:coauthVersionLast="47" xr6:coauthVersionMax="47" xr10:uidLastSave="{00000000-0000-0000-0000-000000000000}"/>
  <bookViews>
    <workbookView xWindow="28680" yWindow="-120" windowWidth="29040" windowHeight="15720" tabRatio="851" activeTab="1" xr2:uid="{00000000-000D-0000-FFFF-FFFF00000000}"/>
  </bookViews>
  <sheets>
    <sheet name="갑지" sheetId="68" r:id="rId1"/>
    <sheet name="스크랩출고량" sheetId="61" r:id="rId2"/>
    <sheet name="대신에스티에스" sheetId="71" r:id="rId3"/>
    <sheet name="다옴금속" sheetId="70" r:id="rId4"/>
    <sheet name="다문산업" sheetId="37" r:id="rId5"/>
    <sheet name="세화철강" sheetId="35" r:id="rId6"/>
    <sheet name="선진알앤디" sheetId="45" r:id="rId7"/>
    <sheet name="기타" sheetId="52" r:id="rId8"/>
    <sheet name="폐기물출고량" sheetId="72" r:id="rId9"/>
    <sheet name="주원(폐기물)" sheetId="46" r:id="rId10"/>
    <sheet name="투플러스(폐판넬)" sheetId="55" r:id="rId11"/>
    <sheet name="도솔환경(폐콘)" sheetId="69" r:id="rId12"/>
    <sheet name="폐기물 기타업체" sheetId="73" r:id="rId13"/>
    <sheet name="재고이동(원방&lt;-&gt;투플)" sheetId="56" r:id="rId14"/>
    <sheet name="재고이동(원방&lt;-&gt;크로스창고)" sheetId="49" r:id="rId15"/>
    <sheet name="재고이동_(원방 &lt;-&gt;SR5 현장)" sheetId="43" state="hidden" r:id="rId16"/>
    <sheet name="재고이동_(원방 &lt;-&gt;어린이집)" sheetId="50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1__123Graph_Aｸﾞﾗﾌ_1" hidden="1">'[1]3CH'!$C$9:$H$9</definedName>
    <definedName name="_3__123Graph_Aｸﾞﾗﾌ_3" hidden="1">#REF!</definedName>
    <definedName name="_4__123Graph_Aｸﾞﾗﾌ_5" hidden="1">#REF!</definedName>
    <definedName name="_5__123Graph_Aｸﾞﾗﾌ_6" hidden="1">#REF!</definedName>
    <definedName name="_6__123Graph_Bｸﾞﾗﾌ_6" hidden="1">#REF!</definedName>
    <definedName name="_xlnm._FilterDatabase" localSheetId="7" hidden="1">기타!$A$2:$S$18</definedName>
    <definedName name="_xlnm._FilterDatabase" localSheetId="4" hidden="1">다문산업!$A$2:$S$49</definedName>
    <definedName name="_xlnm._FilterDatabase" localSheetId="3" hidden="1">다옴금속!$A$2:$S$18</definedName>
    <definedName name="_xlnm._FilterDatabase" localSheetId="2" hidden="1">대신에스티에스!$A$2:$S$56</definedName>
    <definedName name="_xlnm._FilterDatabase" localSheetId="11" hidden="1">'도솔환경(폐콘)'!$A$2:$X$21</definedName>
    <definedName name="_xlnm._FilterDatabase" localSheetId="6" hidden="1">선진알앤디!$A$2:$S$32</definedName>
    <definedName name="_xlnm._FilterDatabase" localSheetId="5" hidden="1">세화철강!$A$2:$S$129</definedName>
    <definedName name="_xlnm._FilterDatabase" localSheetId="1" hidden="1">스크랩출고량!$B$3:$S$287</definedName>
    <definedName name="_xlnm._FilterDatabase" localSheetId="14" hidden="1">'재고이동(원방&lt;-&gt;크로스창고)'!$A$2:$J$2</definedName>
    <definedName name="_xlnm._FilterDatabase" localSheetId="13" hidden="1">'재고이동(원방&lt;-&gt;투플)'!$A$2:$J$2</definedName>
    <definedName name="_xlnm._FilterDatabase" localSheetId="15" hidden="1">'재고이동_(원방 &lt;-&gt;SR5 현장)'!$A$2:$M$2</definedName>
    <definedName name="_xlnm._FilterDatabase" localSheetId="16" hidden="1">'재고이동_(원방 &lt;-&gt;어린이집)'!$A$2:$M$2</definedName>
    <definedName name="_xlnm._FilterDatabase" localSheetId="9" hidden="1">'주원(폐기물)'!$A$2:$X$7</definedName>
    <definedName name="_xlnm._FilterDatabase" localSheetId="10" hidden="1">'투플러스(폐판넬)'!$A$2:$X$37</definedName>
    <definedName name="_xlnm._FilterDatabase" localSheetId="12" hidden="1">'폐기물 기타업체'!$A$2:$X$2</definedName>
    <definedName name="_xlnm._FilterDatabase" localSheetId="8" hidden="1">폐기물출고량!$A$4:$Z$18</definedName>
    <definedName name="_xlnm._FilterDatabase" hidden="1">#REF!</definedName>
    <definedName name="_xlnm.Print_Area" localSheetId="0">갑지!$A$1:$N$46</definedName>
    <definedName name="_xlnm.Print_Area" localSheetId="7">기타!#REF!</definedName>
    <definedName name="_xlnm.Print_Area" localSheetId="4">다문산업!#REF!</definedName>
    <definedName name="_xlnm.Print_Area" localSheetId="3">다옴금속!#REF!</definedName>
    <definedName name="_xlnm.Print_Area" localSheetId="2">대신에스티에스!#REF!</definedName>
    <definedName name="_xlnm.Print_Area" localSheetId="11">'도솔환경(폐콘)'!#REF!</definedName>
    <definedName name="_xlnm.Print_Area" localSheetId="6">선진알앤디!#REF!</definedName>
    <definedName name="_xlnm.Print_Area" localSheetId="5">세화철강!#REF!</definedName>
    <definedName name="_xlnm.Print_Area" localSheetId="1">스크랩출고량!$A$1:$S$320</definedName>
    <definedName name="_xlnm.Print_Area" localSheetId="14">'재고이동(원방&lt;-&gt;크로스창고)'!#REF!</definedName>
    <definedName name="_xlnm.Print_Area" localSheetId="13">'재고이동(원방&lt;-&gt;투플)'!#REF!</definedName>
    <definedName name="_xlnm.Print_Area" localSheetId="15">'재고이동_(원방 &lt;-&gt;SR5 현장)'!$A$1:$M$28</definedName>
    <definedName name="_xlnm.Print_Area" localSheetId="16">'재고이동_(원방 &lt;-&gt;어린이집)'!$A$1:$M$8</definedName>
    <definedName name="_xlnm.Print_Area" localSheetId="9">'주원(폐기물)'!#REF!</definedName>
    <definedName name="_xlnm.Print_Area" localSheetId="10">'투플러스(폐판넬)'!#REF!</definedName>
    <definedName name="_xlnm.Print_Area" localSheetId="12">'폐기물 기타업체'!#REF!</definedName>
    <definedName name="_xlnm.Print_Titles" localSheetId="7">기타!$2:$2</definedName>
    <definedName name="_xlnm.Print_Titles" localSheetId="4">다문산업!$2:$2</definedName>
    <definedName name="_xlnm.Print_Titles" localSheetId="3">다옴금속!$2:$2</definedName>
    <definedName name="_xlnm.Print_Titles" localSheetId="2">대신에스티에스!$2:$2</definedName>
    <definedName name="_xlnm.Print_Titles" localSheetId="11">'도솔환경(폐콘)'!$2:$2</definedName>
    <definedName name="_xlnm.Print_Titles" localSheetId="6">선진알앤디!$2:$2</definedName>
    <definedName name="_xlnm.Print_Titles" localSheetId="5">세화철강!$2:$2</definedName>
    <definedName name="_xlnm.Print_Titles" localSheetId="1">스크랩출고량!$3:$3</definedName>
    <definedName name="_xlnm.Print_Titles" localSheetId="14">'재고이동(원방&lt;-&gt;크로스창고)'!$2:$2</definedName>
    <definedName name="_xlnm.Print_Titles" localSheetId="13">'재고이동(원방&lt;-&gt;투플)'!$2:$2</definedName>
    <definedName name="_xlnm.Print_Titles" localSheetId="9">'주원(폐기물)'!$2:$2</definedName>
    <definedName name="_xlnm.Print_Titles" localSheetId="10">'투플러스(폐판넬)'!$2:$2</definedName>
    <definedName name="_xlnm.Print_Titles" localSheetId="12">'폐기물 기타업체'!$2:$2</definedName>
    <definedName name="슬라이서_거래처명">#N/A</definedName>
    <definedName name="슬라이서_거래처명1">#N/A</definedName>
    <definedName name="슬라이서_거래처명2">#N/A</definedName>
    <definedName name="중국어" localSheetId="3" hidden="1">#REF!</definedName>
    <definedName name="중국어" localSheetId="2" hidden="1">#REF!</definedName>
    <definedName name="중국어" hidden="1">#REF!</definedName>
    <definedName name="품목" localSheetId="15">[2]구분표!#REF!</definedName>
    <definedName name="품목" localSheetId="16">[2]구분표!#REF!</definedName>
    <definedName name="품목">[3]구분표!#REF!</definedName>
  </definedNames>
  <calcPr calcId="191029"/>
  <pivotCaches>
    <pivotCache cacheId="29" r:id="rId26"/>
    <pivotCache cacheId="38" r:id="rId27"/>
    <pivotCache cacheId="43" r:id="rId2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9"/>
        <x14:slicerCache r:id="rId30"/>
        <x14:slicerCache r:id="rId3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89" i="61" l="1"/>
  <c r="N289" i="61"/>
  <c r="L4" i="52" l="1"/>
  <c r="O4" i="52" s="1"/>
  <c r="Q4" i="52" s="1"/>
  <c r="L38" i="68"/>
  <c r="M38" i="68" l="1"/>
  <c r="L39" i="68" l="1"/>
  <c r="N42" i="68"/>
  <c r="N41" i="68"/>
  <c r="N37" i="68"/>
  <c r="P4" i="73" l="1"/>
  <c r="P3" i="73"/>
  <c r="V15" i="69"/>
  <c r="V14" i="69"/>
  <c r="V13" i="69"/>
  <c r="V12" i="69"/>
  <c r="V11" i="69"/>
  <c r="V10" i="69"/>
  <c r="V9" i="69"/>
  <c r="V8" i="69"/>
  <c r="V7" i="69"/>
  <c r="V6" i="69"/>
  <c r="V5" i="69"/>
  <c r="V4" i="69"/>
  <c r="P16" i="69"/>
  <c r="S20" i="69"/>
  <c r="S19" i="69"/>
  <c r="S18" i="69"/>
  <c r="S17" i="69"/>
  <c r="S15" i="69"/>
  <c r="S14" i="69"/>
  <c r="S13" i="69"/>
  <c r="S12" i="69"/>
  <c r="S11" i="69"/>
  <c r="S10" i="69"/>
  <c r="S9" i="69"/>
  <c r="S8" i="69"/>
  <c r="S7" i="69"/>
  <c r="S6" i="69"/>
  <c r="S5" i="69"/>
  <c r="S4" i="69"/>
  <c r="P17" i="69"/>
  <c r="P15" i="69"/>
  <c r="P14" i="69"/>
  <c r="P13" i="69"/>
  <c r="P12" i="69"/>
  <c r="P11" i="69"/>
  <c r="P10" i="69"/>
  <c r="P9" i="69"/>
  <c r="P8" i="69"/>
  <c r="P7" i="69"/>
  <c r="P6" i="69"/>
  <c r="P5" i="69"/>
  <c r="P4" i="69"/>
  <c r="S19" i="55"/>
  <c r="V37" i="55"/>
  <c r="V36" i="55"/>
  <c r="V35" i="55"/>
  <c r="V34" i="55"/>
  <c r="V33" i="55"/>
  <c r="V31" i="55"/>
  <c r="V30" i="55"/>
  <c r="V29" i="55"/>
  <c r="V28" i="55"/>
  <c r="V27" i="55"/>
  <c r="V25" i="55"/>
  <c r="V26" i="55"/>
  <c r="V24" i="55"/>
  <c r="V22" i="55"/>
  <c r="V23" i="55"/>
  <c r="V21" i="55"/>
  <c r="V20" i="55"/>
  <c r="V12" i="55"/>
  <c r="V11" i="55"/>
  <c r="V10" i="55"/>
  <c r="V9" i="55"/>
  <c r="V8" i="55"/>
  <c r="V7" i="55"/>
  <c r="S37" i="55"/>
  <c r="P26" i="55"/>
  <c r="P27" i="55" l="1"/>
  <c r="P6" i="46"/>
  <c r="P277" i="61" l="1"/>
  <c r="R277" i="61" s="1"/>
  <c r="M277" i="61"/>
  <c r="A277" i="61"/>
  <c r="O14" i="70" l="1"/>
  <c r="Q14" i="70" s="1"/>
  <c r="L14" i="70"/>
  <c r="L37" i="68" l="1"/>
  <c r="L40" i="68" l="1"/>
  <c r="L42" i="68" l="1"/>
  <c r="L41" i="68" l="1"/>
  <c r="V5" i="73" l="1"/>
  <c r="V6" i="73"/>
  <c r="P286" i="61" l="1"/>
  <c r="R286" i="61" s="1"/>
  <c r="M286" i="61"/>
  <c r="O128" i="35"/>
  <c r="L128" i="35"/>
  <c r="P37" i="55" l="1"/>
  <c r="P285" i="61"/>
  <c r="R285" i="61" s="1"/>
  <c r="P284" i="61"/>
  <c r="R284" i="61" s="1"/>
  <c r="M284" i="61"/>
  <c r="P283" i="61"/>
  <c r="R283" i="61" s="1"/>
  <c r="A283" i="61" l="1"/>
  <c r="A284" i="61"/>
  <c r="A285" i="61"/>
  <c r="A286" i="61"/>
  <c r="Q128" i="35"/>
  <c r="O17" i="70"/>
  <c r="Q17" i="70" s="1"/>
  <c r="O16" i="70"/>
  <c r="Q16" i="70" s="1"/>
  <c r="O15" i="70"/>
  <c r="Q15" i="70" s="1"/>
  <c r="L16" i="70"/>
  <c r="W71" i="72" l="1"/>
  <c r="T71" i="72"/>
  <c r="Q71" i="72"/>
  <c r="A71" i="72"/>
  <c r="P282" i="61"/>
  <c r="R282" i="61" s="1"/>
  <c r="P281" i="61"/>
  <c r="R281" i="61" s="1"/>
  <c r="P280" i="61"/>
  <c r="R280" i="61" s="1"/>
  <c r="M280" i="61"/>
  <c r="P279" i="61"/>
  <c r="R279" i="61" s="1"/>
  <c r="M279" i="61"/>
  <c r="P278" i="61"/>
  <c r="R278" i="61" s="1"/>
  <c r="M278" i="61"/>
  <c r="A278" i="61"/>
  <c r="A279" i="61"/>
  <c r="A280" i="61"/>
  <c r="A281" i="61"/>
  <c r="A282" i="61"/>
  <c r="O55" i="71"/>
  <c r="Q55" i="71" s="1"/>
  <c r="O54" i="71"/>
  <c r="Q54" i="71" s="1"/>
  <c r="O53" i="71"/>
  <c r="Q53" i="71" s="1"/>
  <c r="L53" i="71"/>
  <c r="O30" i="45"/>
  <c r="Q30" i="45" s="1"/>
  <c r="O31" i="45"/>
  <c r="Q31" i="45" s="1"/>
  <c r="L30" i="45"/>
  <c r="L31" i="45"/>
  <c r="V21" i="69" l="1"/>
  <c r="V20" i="69"/>
  <c r="V19" i="69"/>
  <c r="V18" i="69"/>
  <c r="V17" i="69"/>
  <c r="V3" i="69"/>
  <c r="S3" i="69" l="1"/>
  <c r="W48" i="72" l="1"/>
  <c r="W47" i="72"/>
  <c r="W65" i="72"/>
  <c r="W64" i="72"/>
  <c r="W63" i="72"/>
  <c r="W62" i="72"/>
  <c r="W60" i="72"/>
  <c r="W59" i="72"/>
  <c r="W57" i="72"/>
  <c r="W56" i="72"/>
  <c r="W55" i="72"/>
  <c r="W54" i="72"/>
  <c r="W52" i="72"/>
  <c r="W51" i="72"/>
  <c r="W50" i="72"/>
  <c r="W49" i="72"/>
  <c r="W16" i="72"/>
  <c r="W15" i="72"/>
  <c r="W14" i="72"/>
  <c r="W13" i="72"/>
  <c r="W12" i="72"/>
  <c r="W11" i="72"/>
  <c r="W36" i="72"/>
  <c r="A36" i="72"/>
  <c r="W35" i="72"/>
  <c r="W34" i="72"/>
  <c r="W33" i="72"/>
  <c r="W32" i="72"/>
  <c r="W31" i="72"/>
  <c r="W30" i="72"/>
  <c r="W29" i="72"/>
  <c r="W28" i="72"/>
  <c r="W27" i="72"/>
  <c r="W26" i="72"/>
  <c r="W25" i="72"/>
  <c r="W24" i="72"/>
  <c r="W46" i="72" l="1"/>
  <c r="W45" i="72"/>
  <c r="W44" i="72"/>
  <c r="W43" i="72"/>
  <c r="W40" i="72"/>
  <c r="W9" i="72"/>
  <c r="W8" i="72"/>
  <c r="W7" i="72"/>
  <c r="W6" i="72"/>
  <c r="W5" i="72"/>
  <c r="U3" i="72"/>
  <c r="A69" i="72" l="1"/>
  <c r="A70" i="72"/>
  <c r="Q70" i="72"/>
  <c r="T70" i="72" s="1"/>
  <c r="W70" i="72" s="1"/>
  <c r="Q69" i="72"/>
  <c r="T69" i="72" s="1"/>
  <c r="W69" i="72" s="1"/>
  <c r="P9" i="73"/>
  <c r="S9" i="73" s="1"/>
  <c r="V9" i="73" s="1"/>
  <c r="P10" i="73"/>
  <c r="S10" i="73" s="1"/>
  <c r="V10" i="73" s="1"/>
  <c r="M276" i="61" l="1"/>
  <c r="P276" i="61" s="1"/>
  <c r="R276" i="61" s="1"/>
  <c r="A276" i="61"/>
  <c r="L18" i="52"/>
  <c r="O18" i="52" s="1"/>
  <c r="Q18" i="52" s="1"/>
  <c r="P7" i="73"/>
  <c r="S7" i="73" s="1"/>
  <c r="V7" i="73" s="1"/>
  <c r="V12" i="73" s="1"/>
  <c r="P8" i="73"/>
  <c r="S8" i="73" s="1"/>
  <c r="V8" i="73" s="1"/>
  <c r="Q68" i="72"/>
  <c r="P271" i="61"/>
  <c r="R271" i="61" s="1"/>
  <c r="P270" i="61"/>
  <c r="R270" i="61" s="1"/>
  <c r="P269" i="61"/>
  <c r="R269" i="61" s="1"/>
  <c r="P268" i="61"/>
  <c r="R268" i="61" s="1"/>
  <c r="N267" i="61"/>
  <c r="P267" i="61" s="1"/>
  <c r="R267" i="61" s="1"/>
  <c r="A268" i="61"/>
  <c r="P275" i="61"/>
  <c r="R275" i="61" s="1"/>
  <c r="M275" i="61"/>
  <c r="M274" i="61"/>
  <c r="P274" i="61" s="1"/>
  <c r="R274" i="61" s="1"/>
  <c r="P273" i="61"/>
  <c r="R273" i="61" s="1"/>
  <c r="M273" i="61"/>
  <c r="R272" i="61"/>
  <c r="M272" i="61"/>
  <c r="M48" i="71" l="1"/>
  <c r="O127" i="35"/>
  <c r="Q127" i="35" s="1"/>
  <c r="L127" i="35"/>
  <c r="O49" i="71"/>
  <c r="Q49" i="71" s="1"/>
  <c r="A68" i="72"/>
  <c r="T68" i="72"/>
  <c r="Q67" i="72"/>
  <c r="T67" i="72" s="1"/>
  <c r="M44" i="68"/>
  <c r="O44" i="68" s="1"/>
  <c r="A66" i="72" l="1"/>
  <c r="A67" i="72"/>
  <c r="Q66" i="72"/>
  <c r="P6" i="73"/>
  <c r="P12" i="73" s="1"/>
  <c r="A272" i="61"/>
  <c r="A273" i="61"/>
  <c r="A274" i="61"/>
  <c r="A275" i="61"/>
  <c r="A267" i="61"/>
  <c r="A269" i="61"/>
  <c r="A270" i="61"/>
  <c r="A271" i="61"/>
  <c r="L126" i="35"/>
  <c r="O126" i="35" s="1"/>
  <c r="Q126" i="35" s="1"/>
  <c r="O52" i="71" l="1"/>
  <c r="Q52" i="71" s="1"/>
  <c r="O51" i="71"/>
  <c r="Q51" i="71" s="1"/>
  <c r="O50" i="71"/>
  <c r="Q50" i="71" s="1"/>
  <c r="O48" i="71"/>
  <c r="Q48" i="71" s="1"/>
  <c r="O29" i="45"/>
  <c r="Q29" i="45" s="1"/>
  <c r="L29" i="45"/>
  <c r="R190" i="61"/>
  <c r="R189" i="61"/>
  <c r="Q19" i="45"/>
  <c r="Q18" i="45"/>
  <c r="Q28" i="45" l="1"/>
  <c r="L28" i="45"/>
  <c r="S36" i="55" l="1"/>
  <c r="S35" i="55"/>
  <c r="Q65" i="72"/>
  <c r="Q64" i="72"/>
  <c r="P36" i="55"/>
  <c r="P35" i="55"/>
  <c r="M40" i="68" l="1"/>
  <c r="O40" i="68" s="1"/>
  <c r="M41" i="68"/>
  <c r="O41" i="68" s="1"/>
  <c r="M42" i="68"/>
  <c r="O42" i="68" s="1"/>
  <c r="M43" i="68"/>
  <c r="O43" i="68" s="1"/>
  <c r="M39" i="68"/>
  <c r="O39" i="68" s="1"/>
  <c r="O38" i="68"/>
  <c r="M37" i="68"/>
  <c r="O37" i="68" s="1"/>
  <c r="T65" i="72" l="1"/>
  <c r="T64" i="72"/>
  <c r="A65" i="72"/>
  <c r="A64" i="72"/>
  <c r="P266" i="61" l="1"/>
  <c r="R266" i="61" s="1"/>
  <c r="M266" i="61"/>
  <c r="P265" i="61"/>
  <c r="R265" i="61" s="1"/>
  <c r="P264" i="61"/>
  <c r="R264" i="61" s="1"/>
  <c r="M264" i="61"/>
  <c r="A265" i="61"/>
  <c r="A266" i="61"/>
  <c r="O13" i="70"/>
  <c r="Q13" i="70" s="1"/>
  <c r="O12" i="70"/>
  <c r="Q12" i="70" s="1"/>
  <c r="O11" i="70"/>
  <c r="Q11" i="70" s="1"/>
  <c r="L13" i="70"/>
  <c r="L11" i="70"/>
  <c r="Q63" i="72"/>
  <c r="Q62" i="72"/>
  <c r="T63" i="72" l="1"/>
  <c r="T62" i="72"/>
  <c r="A63" i="72"/>
  <c r="A62" i="72"/>
  <c r="S34" i="55"/>
  <c r="S33" i="55"/>
  <c r="P34" i="55"/>
  <c r="P33" i="55"/>
  <c r="P32" i="55"/>
  <c r="Q61" i="72"/>
  <c r="A61" i="72"/>
  <c r="H4" i="56"/>
  <c r="Q60" i="72"/>
  <c r="Q59" i="72"/>
  <c r="A60" i="72"/>
  <c r="A59" i="72"/>
  <c r="T60" i="72"/>
  <c r="T59" i="72"/>
  <c r="S31" i="55"/>
  <c r="P31" i="55"/>
  <c r="P30" i="55"/>
  <c r="S30" i="55"/>
  <c r="Q58" i="72" l="1"/>
  <c r="T58" i="72" s="1"/>
  <c r="W58" i="72" s="1"/>
  <c r="A58" i="72"/>
  <c r="T57" i="72"/>
  <c r="Q57" i="72"/>
  <c r="T56" i="72"/>
  <c r="Q56" i="72"/>
  <c r="A57" i="72"/>
  <c r="A56" i="72"/>
  <c r="S29" i="55"/>
  <c r="S28" i="55"/>
  <c r="P29" i="55"/>
  <c r="P28" i="55"/>
  <c r="S27" i="55" l="1"/>
  <c r="S26" i="55"/>
  <c r="T55" i="72"/>
  <c r="T54" i="72"/>
  <c r="Q55" i="72"/>
  <c r="Q54" i="72"/>
  <c r="A55" i="72"/>
  <c r="A54" i="72"/>
  <c r="L125" i="35" l="1"/>
  <c r="O125" i="35" s="1"/>
  <c r="Q125" i="35" s="1"/>
  <c r="L124" i="35"/>
  <c r="O124" i="35" s="1"/>
  <c r="Q124" i="35" s="1"/>
  <c r="L123" i="35"/>
  <c r="O123" i="35" s="1"/>
  <c r="Q123" i="35" s="1"/>
  <c r="L122" i="35"/>
  <c r="O122" i="35" s="1"/>
  <c r="Q122" i="35" s="1"/>
  <c r="L121" i="35"/>
  <c r="O121" i="35" s="1"/>
  <c r="Q121" i="35" s="1"/>
  <c r="L120" i="35"/>
  <c r="O120" i="35" s="1"/>
  <c r="Q120" i="35" s="1"/>
  <c r="Q27" i="45"/>
  <c r="L27" i="45"/>
  <c r="L26" i="45"/>
  <c r="O26" i="45" s="1"/>
  <c r="Q26" i="45" s="1"/>
  <c r="Q25" i="45"/>
  <c r="L25" i="45"/>
  <c r="M257" i="61"/>
  <c r="R257" i="61" s="1"/>
  <c r="M256" i="61"/>
  <c r="M255" i="61"/>
  <c r="A256" i="61"/>
  <c r="A255" i="61"/>
  <c r="A257" i="61"/>
  <c r="M260" i="61"/>
  <c r="P260" i="61" s="1"/>
  <c r="R260" i="61" s="1"/>
  <c r="M261" i="61"/>
  <c r="P261" i="61" s="1"/>
  <c r="R261" i="61" s="1"/>
  <c r="M262" i="61"/>
  <c r="P262" i="61" s="1"/>
  <c r="R262" i="61" s="1"/>
  <c r="M263" i="61"/>
  <c r="P263" i="61" s="1"/>
  <c r="R263" i="61" s="1"/>
  <c r="M259" i="61"/>
  <c r="P259" i="61" s="1"/>
  <c r="R259" i="61" s="1"/>
  <c r="M258" i="61"/>
  <c r="P258" i="61" s="1"/>
  <c r="R258" i="61" s="1"/>
  <c r="A258" i="61"/>
  <c r="A259" i="61"/>
  <c r="A260" i="61"/>
  <c r="A261" i="61"/>
  <c r="A262" i="61"/>
  <c r="A263" i="61"/>
  <c r="M252" i="61"/>
  <c r="P252" i="61" s="1"/>
  <c r="R252" i="61" s="1"/>
  <c r="A252" i="61"/>
  <c r="M251" i="61"/>
  <c r="P251" i="61" s="1"/>
  <c r="R251" i="61" s="1"/>
  <c r="A251" i="61"/>
  <c r="P7" i="46"/>
  <c r="S7" i="46" s="1"/>
  <c r="V7" i="46" s="1"/>
  <c r="M254" i="61"/>
  <c r="P254" i="61" s="1"/>
  <c r="R254" i="61" s="1"/>
  <c r="M253" i="61"/>
  <c r="P253" i="61" s="1"/>
  <c r="R253" i="61" s="1"/>
  <c r="A254" i="61"/>
  <c r="A264" i="61"/>
  <c r="L119" i="35"/>
  <c r="O119" i="35" s="1"/>
  <c r="Q119" i="35" s="1"/>
  <c r="L118" i="35"/>
  <c r="O118" i="35" s="1"/>
  <c r="Q118" i="35" s="1"/>
  <c r="Q53" i="72"/>
  <c r="T53" i="72" s="1"/>
  <c r="W53" i="72" s="1"/>
  <c r="A53" i="72"/>
  <c r="A51" i="72"/>
  <c r="A52" i="72"/>
  <c r="T52" i="72"/>
  <c r="Q52" i="72"/>
  <c r="T51" i="72"/>
  <c r="Q51" i="72"/>
  <c r="S25" i="55"/>
  <c r="S24" i="55"/>
  <c r="Q48" i="72"/>
  <c r="Q47" i="72"/>
  <c r="P24" i="55"/>
  <c r="P25" i="55"/>
  <c r="P256" i="61" l="1"/>
  <c r="R256" i="61" s="1"/>
  <c r="R255" i="61"/>
  <c r="A50" i="72"/>
  <c r="A49" i="72"/>
  <c r="T50" i="72"/>
  <c r="Q50" i="72"/>
  <c r="T49" i="72"/>
  <c r="Q49" i="72"/>
  <c r="S23" i="55"/>
  <c r="P23" i="55"/>
  <c r="S22" i="55"/>
  <c r="P22" i="55"/>
  <c r="M250" i="61" l="1"/>
  <c r="P250" i="61" s="1"/>
  <c r="R250" i="61" s="1"/>
  <c r="M249" i="61"/>
  <c r="P249" i="61" s="1"/>
  <c r="R249" i="61" s="1"/>
  <c r="A250" i="61"/>
  <c r="A253" i="61"/>
  <c r="L116" i="35"/>
  <c r="O116" i="35" s="1"/>
  <c r="Q116" i="35" s="1"/>
  <c r="L117" i="35"/>
  <c r="O117" i="35" s="1"/>
  <c r="Q117" i="35" s="1"/>
  <c r="N244" i="61"/>
  <c r="P244" i="61" s="1"/>
  <c r="R244" i="61" s="1"/>
  <c r="P246" i="61"/>
  <c r="R246" i="61" s="1"/>
  <c r="M246" i="61"/>
  <c r="P245" i="61"/>
  <c r="R245" i="61" s="1"/>
  <c r="M244" i="61"/>
  <c r="P230" i="61"/>
  <c r="R230" i="61" s="1"/>
  <c r="Q229" i="61"/>
  <c r="P229" i="61"/>
  <c r="M229" i="61"/>
  <c r="P228" i="61"/>
  <c r="R228" i="61" s="1"/>
  <c r="M228" i="61"/>
  <c r="P227" i="61"/>
  <c r="R227" i="61" s="1"/>
  <c r="M227" i="61"/>
  <c r="P226" i="61"/>
  <c r="R226" i="61" s="1"/>
  <c r="M226" i="61"/>
  <c r="P225" i="61"/>
  <c r="R225" i="61" s="1"/>
  <c r="M225" i="61"/>
  <c r="R217" i="61"/>
  <c r="N216" i="61"/>
  <c r="P216" i="61" s="1"/>
  <c r="R216" i="61" s="1"/>
  <c r="M216" i="61"/>
  <c r="N215" i="61"/>
  <c r="P215" i="61" s="1"/>
  <c r="R215" i="61" s="1"/>
  <c r="M215" i="61"/>
  <c r="A217" i="61"/>
  <c r="M45" i="71"/>
  <c r="L45" i="71"/>
  <c r="P43" i="71"/>
  <c r="Q38" i="71"/>
  <c r="M37" i="71"/>
  <c r="L37" i="71"/>
  <c r="R229" i="61" l="1"/>
  <c r="A249" i="61"/>
  <c r="L17" i="52" l="1"/>
  <c r="O17" i="52" s="1"/>
  <c r="Q17" i="52" s="1"/>
  <c r="L16" i="52"/>
  <c r="O16" i="52" s="1"/>
  <c r="Q16" i="52" s="1"/>
  <c r="V6" i="46"/>
  <c r="S5" i="46"/>
  <c r="P4" i="46"/>
  <c r="S4" i="46" s="1"/>
  <c r="A47" i="72" l="1"/>
  <c r="A48" i="72"/>
  <c r="T48" i="72"/>
  <c r="T47" i="72"/>
  <c r="S21" i="55"/>
  <c r="S20" i="55"/>
  <c r="P20" i="55"/>
  <c r="P21" i="55"/>
  <c r="M243" i="61"/>
  <c r="P243" i="61" s="1"/>
  <c r="R243" i="61" s="1"/>
  <c r="M242" i="61"/>
  <c r="P242" i="61" s="1"/>
  <c r="R242" i="61" s="1"/>
  <c r="M241" i="61"/>
  <c r="P241" i="61" s="1"/>
  <c r="R241" i="61" s="1"/>
  <c r="P240" i="61"/>
  <c r="R240" i="61" s="1"/>
  <c r="M239" i="61"/>
  <c r="P239" i="61" s="1"/>
  <c r="R239" i="61" s="1"/>
  <c r="M238" i="61"/>
  <c r="P238" i="61" s="1"/>
  <c r="R238" i="61" s="1"/>
  <c r="M237" i="61"/>
  <c r="P237" i="61" s="1"/>
  <c r="R237" i="61" s="1"/>
  <c r="M236" i="61"/>
  <c r="P236" i="61" s="1"/>
  <c r="R236" i="61" s="1"/>
  <c r="L42" i="37"/>
  <c r="O42" i="37" s="1"/>
  <c r="M248" i="61"/>
  <c r="P248" i="61" s="1"/>
  <c r="R248" i="61" s="1"/>
  <c r="L24" i="45"/>
  <c r="O24" i="45" s="1"/>
  <c r="Q24" i="45" s="1"/>
  <c r="A245" i="61"/>
  <c r="A246" i="61"/>
  <c r="O46" i="71"/>
  <c r="Q46" i="71" s="1"/>
  <c r="O45" i="71"/>
  <c r="Q45" i="71" s="1"/>
  <c r="M247" i="61"/>
  <c r="L115" i="35"/>
  <c r="O115" i="35" s="1"/>
  <c r="Q115" i="35" s="1"/>
  <c r="L129" i="35"/>
  <c r="A244" i="61"/>
  <c r="A248" i="61"/>
  <c r="O47" i="71"/>
  <c r="Q47" i="71" s="1"/>
  <c r="L47" i="71"/>
  <c r="P247" i="61" l="1"/>
  <c r="R247" i="61" s="1"/>
  <c r="M235" i="61"/>
  <c r="P235" i="61" s="1"/>
  <c r="R235" i="61" s="1"/>
  <c r="M234" i="61"/>
  <c r="P234" i="61" s="1"/>
  <c r="R234" i="61" s="1"/>
  <c r="M233" i="61"/>
  <c r="P233" i="61" s="1"/>
  <c r="R233" i="61" s="1"/>
  <c r="M232" i="61"/>
  <c r="P232" i="61" s="1"/>
  <c r="R232" i="61" s="1"/>
  <c r="M231" i="61"/>
  <c r="P231" i="61" s="1"/>
  <c r="R231" i="61" s="1"/>
  <c r="A231" i="61"/>
  <c r="A232" i="61"/>
  <c r="A233" i="61"/>
  <c r="A234" i="61"/>
  <c r="A235" i="61"/>
  <c r="A225" i="61" l="1"/>
  <c r="A226" i="61"/>
  <c r="A227" i="61"/>
  <c r="A228" i="61"/>
  <c r="A229" i="61"/>
  <c r="A230" i="61"/>
  <c r="A236" i="61"/>
  <c r="A237" i="61"/>
  <c r="A238" i="61"/>
  <c r="A239" i="61"/>
  <c r="A240" i="61"/>
  <c r="A241" i="61"/>
  <c r="A242" i="61"/>
  <c r="A243" i="61"/>
  <c r="A247" i="61"/>
  <c r="L36" i="37"/>
  <c r="O36" i="37" s="1"/>
  <c r="Q36" i="37" s="1"/>
  <c r="L35" i="37"/>
  <c r="O35" i="37" s="1"/>
  <c r="Q35" i="37" s="1"/>
  <c r="O44" i="71"/>
  <c r="Q44" i="71" s="1"/>
  <c r="O43" i="71"/>
  <c r="Q43" i="71" s="1"/>
  <c r="O42" i="71"/>
  <c r="Q42" i="71" s="1"/>
  <c r="O41" i="71"/>
  <c r="Q41" i="71" s="1"/>
  <c r="O40" i="71"/>
  <c r="Q40" i="71" s="1"/>
  <c r="O39" i="71"/>
  <c r="Q39" i="71" s="1"/>
  <c r="L43" i="71"/>
  <c r="L42" i="71"/>
  <c r="L41" i="71"/>
  <c r="L40" i="71"/>
  <c r="L39" i="71"/>
  <c r="O44" i="37"/>
  <c r="Q44" i="37" s="1"/>
  <c r="O43" i="37"/>
  <c r="Q43" i="37" s="1"/>
  <c r="Q42" i="37"/>
  <c r="L46" i="37"/>
  <c r="O46" i="37" s="1"/>
  <c r="Q46" i="37" s="1"/>
  <c r="L45" i="37"/>
  <c r="O45" i="37" s="1"/>
  <c r="Q45" i="37" s="1"/>
  <c r="L44" i="37"/>
  <c r="L41" i="37"/>
  <c r="O41" i="37" s="1"/>
  <c r="Q41" i="37" s="1"/>
  <c r="L40" i="37"/>
  <c r="O40" i="37" s="1"/>
  <c r="Q40" i="37" s="1"/>
  <c r="L39" i="37"/>
  <c r="O39" i="37" s="1"/>
  <c r="Q39" i="37" s="1"/>
  <c r="L38" i="37"/>
  <c r="O38" i="37" s="1"/>
  <c r="Q38" i="37" s="1"/>
  <c r="L37" i="37"/>
  <c r="O37" i="37" s="1"/>
  <c r="Q37" i="37" s="1"/>
  <c r="L34" i="37"/>
  <c r="O34" i="37" s="1"/>
  <c r="Q34" i="37" s="1"/>
  <c r="A45" i="72"/>
  <c r="A44" i="72"/>
  <c r="A43" i="72"/>
  <c r="T45" i="72"/>
  <c r="Q45" i="72"/>
  <c r="T44" i="72"/>
  <c r="Q44" i="72"/>
  <c r="T43" i="72"/>
  <c r="Q43" i="72"/>
  <c r="T40" i="72"/>
  <c r="P20" i="69"/>
  <c r="P19" i="69"/>
  <c r="P18" i="69"/>
  <c r="L23" i="45" l="1"/>
  <c r="O23" i="45" s="1"/>
  <c r="Q23" i="45" s="1"/>
  <c r="M221" i="61" l="1"/>
  <c r="P221" i="61" s="1"/>
  <c r="R221" i="61" s="1"/>
  <c r="M224" i="61"/>
  <c r="P224" i="61" s="1"/>
  <c r="R224" i="61" s="1"/>
  <c r="M223" i="61"/>
  <c r="P223" i="61" s="1"/>
  <c r="R223" i="61" s="1"/>
  <c r="M222" i="61"/>
  <c r="P222" i="61" s="1"/>
  <c r="R222" i="61" s="1"/>
  <c r="M220" i="61"/>
  <c r="P220" i="61" s="1"/>
  <c r="R220" i="61" s="1"/>
  <c r="P219" i="61"/>
  <c r="R219" i="61" s="1"/>
  <c r="M219" i="61"/>
  <c r="P218" i="61"/>
  <c r="R218" i="61" s="1"/>
  <c r="M218" i="61"/>
  <c r="A216" i="61"/>
  <c r="A215" i="61"/>
  <c r="A218" i="61"/>
  <c r="A219" i="61"/>
  <c r="A220" i="61"/>
  <c r="A222" i="61"/>
  <c r="A223" i="61"/>
  <c r="A224" i="61"/>
  <c r="A221" i="61"/>
  <c r="L113" i="35"/>
  <c r="O113" i="35" s="1"/>
  <c r="Q113" i="35" s="1"/>
  <c r="L114" i="35"/>
  <c r="O114" i="35" s="1"/>
  <c r="Q114" i="35" s="1"/>
  <c r="L112" i="35"/>
  <c r="O112" i="35" s="1"/>
  <c r="O37" i="71"/>
  <c r="Q37" i="71" s="1"/>
  <c r="M36" i="71"/>
  <c r="L36" i="71"/>
  <c r="O10" i="70"/>
  <c r="Q10" i="70" s="1"/>
  <c r="L10" i="70"/>
  <c r="L9" i="70"/>
  <c r="L30" i="71"/>
  <c r="L31" i="71"/>
  <c r="P178" i="61"/>
  <c r="R178" i="61" s="1"/>
  <c r="P177" i="61"/>
  <c r="R177" i="61" s="1"/>
  <c r="N176" i="61"/>
  <c r="P176" i="61" s="1"/>
  <c r="R176" i="61" s="1"/>
  <c r="A177" i="61"/>
  <c r="A178" i="61"/>
  <c r="M24" i="71"/>
  <c r="O24" i="71" s="1"/>
  <c r="Q24" i="71" s="1"/>
  <c r="O26" i="71"/>
  <c r="Q26" i="71" s="1"/>
  <c r="O25" i="71"/>
  <c r="Q25" i="71" s="1"/>
  <c r="O9" i="70" l="1"/>
  <c r="Q9" i="70" s="1"/>
  <c r="O36" i="71" l="1"/>
  <c r="Q36" i="71" s="1"/>
  <c r="L15" i="52"/>
  <c r="O15" i="52" s="1"/>
  <c r="Q15" i="52" s="1"/>
  <c r="M214" i="61"/>
  <c r="P214" i="61" s="1"/>
  <c r="R214" i="61" s="1"/>
  <c r="M213" i="61"/>
  <c r="P213" i="61" s="1"/>
  <c r="R213" i="61" s="1"/>
  <c r="M212" i="61"/>
  <c r="P212" i="61" s="1"/>
  <c r="R212" i="61" s="1"/>
  <c r="Q112" i="35"/>
  <c r="L111" i="35"/>
  <c r="O111" i="35" s="1"/>
  <c r="Q111" i="35" s="1"/>
  <c r="L110" i="35"/>
  <c r="O110" i="35" s="1"/>
  <c r="Q110" i="35" s="1"/>
  <c r="L109" i="35"/>
  <c r="O109" i="35" s="1"/>
  <c r="Q109" i="35" s="1"/>
  <c r="M211" i="61"/>
  <c r="P211" i="61" s="1"/>
  <c r="R211" i="61" s="1"/>
  <c r="M210" i="61"/>
  <c r="P210" i="61" s="1"/>
  <c r="R210" i="61" s="1"/>
  <c r="A210" i="61"/>
  <c r="A211" i="61"/>
  <c r="A212" i="61"/>
  <c r="A213" i="61"/>
  <c r="A214" i="61"/>
  <c r="A287" i="61"/>
  <c r="L14" i="52"/>
  <c r="O14" i="52" s="1"/>
  <c r="Q14" i="52" s="1"/>
  <c r="L13" i="52"/>
  <c r="O13" i="52" s="1"/>
  <c r="Q13" i="52" s="1"/>
  <c r="R209" i="61" l="1"/>
  <c r="M209" i="61"/>
  <c r="P208" i="61"/>
  <c r="R208" i="61" s="1"/>
  <c r="M208" i="61"/>
  <c r="P207" i="61"/>
  <c r="R207" i="61" s="1"/>
  <c r="Q22" i="45"/>
  <c r="L22" i="45"/>
  <c r="A207" i="61"/>
  <c r="A208" i="61"/>
  <c r="O21" i="45"/>
  <c r="Q21" i="45" s="1"/>
  <c r="O20" i="45"/>
  <c r="Q20" i="45" s="1"/>
  <c r="L21" i="45"/>
  <c r="Q42" i="72"/>
  <c r="A42" i="72"/>
  <c r="M206" i="61" l="1"/>
  <c r="P206" i="61" s="1"/>
  <c r="R206" i="61" s="1"/>
  <c r="M205" i="61"/>
  <c r="P205" i="61" s="1"/>
  <c r="R205" i="61" s="1"/>
  <c r="M204" i="61"/>
  <c r="P204" i="61" s="1"/>
  <c r="R204" i="61" s="1"/>
  <c r="M203" i="61"/>
  <c r="P203" i="61" s="1"/>
  <c r="R203" i="61" s="1"/>
  <c r="M202" i="61"/>
  <c r="P202" i="61" s="1"/>
  <c r="R202" i="61" s="1"/>
  <c r="M201" i="61"/>
  <c r="P201" i="61" s="1"/>
  <c r="R201" i="61" s="1"/>
  <c r="M200" i="61"/>
  <c r="P200" i="61" s="1"/>
  <c r="R200" i="61" s="1"/>
  <c r="M199" i="61"/>
  <c r="P199" i="61" s="1"/>
  <c r="R199" i="61" s="1"/>
  <c r="A199" i="61"/>
  <c r="A200" i="61"/>
  <c r="A201" i="61"/>
  <c r="A202" i="61"/>
  <c r="A203" i="61"/>
  <c r="A204" i="61"/>
  <c r="A205" i="61"/>
  <c r="A206" i="61"/>
  <c r="L101" i="35"/>
  <c r="O101" i="35" s="1"/>
  <c r="Q101" i="35" s="1"/>
  <c r="L102" i="35"/>
  <c r="O102" i="35" s="1"/>
  <c r="Q102" i="35" s="1"/>
  <c r="L103" i="35"/>
  <c r="O103" i="35" s="1"/>
  <c r="Q103" i="35" s="1"/>
  <c r="L104" i="35"/>
  <c r="O104" i="35" s="1"/>
  <c r="Q104" i="35" s="1"/>
  <c r="L105" i="35"/>
  <c r="O105" i="35" s="1"/>
  <c r="Q105" i="35" s="1"/>
  <c r="L106" i="35"/>
  <c r="O106" i="35" s="1"/>
  <c r="Q106" i="35" s="1"/>
  <c r="L107" i="35"/>
  <c r="O107" i="35" s="1"/>
  <c r="Q107" i="35" s="1"/>
  <c r="L108" i="35"/>
  <c r="O108" i="35" s="1"/>
  <c r="Q108" i="35" s="1"/>
  <c r="R181" i="61"/>
  <c r="Q29" i="71"/>
  <c r="P197" i="61"/>
  <c r="R197" i="61" s="1"/>
  <c r="P196" i="61"/>
  <c r="R196" i="61" s="1"/>
  <c r="N195" i="61"/>
  <c r="P195" i="61" s="1"/>
  <c r="R195" i="61" s="1"/>
  <c r="M195" i="61"/>
  <c r="P186" i="61"/>
  <c r="R186" i="61" s="1"/>
  <c r="N185" i="61"/>
  <c r="P185" i="61" s="1"/>
  <c r="R185" i="61" s="1"/>
  <c r="M185" i="61"/>
  <c r="P184" i="61"/>
  <c r="R184" i="61" s="1"/>
  <c r="M184" i="61"/>
  <c r="A184" i="61"/>
  <c r="A185" i="61"/>
  <c r="A186" i="61"/>
  <c r="A196" i="61"/>
  <c r="P180" i="61"/>
  <c r="R180" i="61" s="1"/>
  <c r="N179" i="61"/>
  <c r="P179" i="61" s="1"/>
  <c r="R179" i="61" s="1"/>
  <c r="A181" i="61"/>
  <c r="M33" i="71"/>
  <c r="O34" i="71"/>
  <c r="Q34" i="71" s="1"/>
  <c r="M31" i="71"/>
  <c r="O32" i="71"/>
  <c r="Q32" i="71" s="1"/>
  <c r="O28" i="71"/>
  <c r="Q28" i="71" s="1"/>
  <c r="M27" i="71"/>
  <c r="O27" i="71" s="1"/>
  <c r="Q27" i="71" s="1"/>
  <c r="M198" i="61"/>
  <c r="A209" i="61"/>
  <c r="P198" i="61" l="1"/>
  <c r="R198" i="61" s="1"/>
  <c r="Q100" i="35"/>
  <c r="L100" i="35"/>
  <c r="P188" i="61"/>
  <c r="R188" i="61" s="1"/>
  <c r="M188" i="61"/>
  <c r="A189" i="61"/>
  <c r="A190" i="61"/>
  <c r="R194" i="61" l="1"/>
  <c r="R193" i="61"/>
  <c r="R192" i="61"/>
  <c r="R191" i="61"/>
  <c r="M187" i="61"/>
  <c r="P187" i="61" s="1"/>
  <c r="Q96" i="35" l="1"/>
  <c r="Q97" i="35"/>
  <c r="Q98" i="35"/>
  <c r="Q99" i="35"/>
  <c r="A187" i="61"/>
  <c r="A188" i="61"/>
  <c r="A191" i="61"/>
  <c r="A192" i="61"/>
  <c r="A193" i="61"/>
  <c r="A194" i="61"/>
  <c r="A195" i="61"/>
  <c r="A197" i="61"/>
  <c r="O17" i="45"/>
  <c r="Q17" i="45" s="1"/>
  <c r="L17" i="45"/>
  <c r="O35" i="71"/>
  <c r="Q35" i="71" s="1"/>
  <c r="O33" i="71"/>
  <c r="Q33" i="71" s="1"/>
  <c r="L33" i="71"/>
  <c r="W10" i="72" l="1"/>
  <c r="T41" i="72" l="1"/>
  <c r="W41" i="72" s="1"/>
  <c r="Q41" i="72"/>
  <c r="R183" i="61"/>
  <c r="M183" i="61"/>
  <c r="P182" i="61"/>
  <c r="R182" i="61" s="1"/>
  <c r="M182" i="61"/>
  <c r="A182" i="61"/>
  <c r="A183" i="61"/>
  <c r="Q95" i="35"/>
  <c r="L95" i="35"/>
  <c r="O31" i="71"/>
  <c r="Q31" i="71" s="1"/>
  <c r="O30" i="71"/>
  <c r="Q30" i="71" s="1"/>
  <c r="O16" i="45"/>
  <c r="Q16" i="45" s="1"/>
  <c r="L16" i="45"/>
  <c r="L15" i="45"/>
  <c r="L12" i="52" l="1"/>
  <c r="O12" i="52" s="1"/>
  <c r="A41" i="72"/>
  <c r="P175" i="61"/>
  <c r="R175" i="61" s="1"/>
  <c r="M174" i="61"/>
  <c r="P174" i="61" s="1"/>
  <c r="R174" i="61" s="1"/>
  <c r="M173" i="61"/>
  <c r="P173" i="61" s="1"/>
  <c r="R173" i="61" s="1"/>
  <c r="M172" i="61"/>
  <c r="P172" i="61" s="1"/>
  <c r="R172" i="61" s="1"/>
  <c r="M171" i="61"/>
  <c r="P171" i="61" s="1"/>
  <c r="R171" i="61" s="1"/>
  <c r="M170" i="61"/>
  <c r="P170" i="61" s="1"/>
  <c r="R170" i="61" s="1"/>
  <c r="M169" i="61"/>
  <c r="P169" i="61" s="1"/>
  <c r="R169" i="61" s="1"/>
  <c r="A169" i="61"/>
  <c r="A170" i="61"/>
  <c r="A171" i="61"/>
  <c r="A172" i="61"/>
  <c r="A173" i="61"/>
  <c r="A174" i="61"/>
  <c r="A175" i="61"/>
  <c r="A176" i="61"/>
  <c r="A179" i="61"/>
  <c r="A180" i="61"/>
  <c r="O15" i="45"/>
  <c r="Q15" i="45" s="1"/>
  <c r="L89" i="35"/>
  <c r="O89" i="35" s="1"/>
  <c r="Q89" i="35" s="1"/>
  <c r="L90" i="35"/>
  <c r="O90" i="35" s="1"/>
  <c r="Q90" i="35" s="1"/>
  <c r="L91" i="35"/>
  <c r="O91" i="35" s="1"/>
  <c r="Q91" i="35" s="1"/>
  <c r="L92" i="35"/>
  <c r="O92" i="35" s="1"/>
  <c r="Q92" i="35" s="1"/>
  <c r="L93" i="35"/>
  <c r="O93" i="35" s="1"/>
  <c r="Q93" i="35" s="1"/>
  <c r="L94" i="35"/>
  <c r="O94" i="35" s="1"/>
  <c r="Q94" i="35" s="1"/>
  <c r="Q37" i="72" l="1"/>
  <c r="A37" i="72"/>
  <c r="Q40" i="72" l="1"/>
  <c r="A40" i="72"/>
  <c r="M168" i="61"/>
  <c r="P168" i="61" s="1"/>
  <c r="R168" i="61" s="1"/>
  <c r="M167" i="61"/>
  <c r="P167" i="61" s="1"/>
  <c r="R167" i="61" s="1"/>
  <c r="M166" i="61"/>
  <c r="P166" i="61" s="1"/>
  <c r="R166" i="61" s="1"/>
  <c r="R165" i="61"/>
  <c r="R164" i="61"/>
  <c r="R163" i="61"/>
  <c r="R162" i="61"/>
  <c r="A165" i="61"/>
  <c r="A166" i="61"/>
  <c r="A167" i="61"/>
  <c r="A168" i="61"/>
  <c r="L9" i="52"/>
  <c r="O9" i="52" s="1"/>
  <c r="Q9" i="52" s="1"/>
  <c r="L10" i="52"/>
  <c r="O10" i="52" s="1"/>
  <c r="Q10" i="52" s="1"/>
  <c r="L11" i="52"/>
  <c r="O11" i="52" s="1"/>
  <c r="Q11" i="52" s="1"/>
  <c r="O87" i="35"/>
  <c r="Q87" i="35" s="1"/>
  <c r="O88" i="35"/>
  <c r="Q88" i="35" s="1"/>
  <c r="L87" i="35"/>
  <c r="L88" i="35"/>
  <c r="O86" i="35"/>
  <c r="Q86" i="35" s="1"/>
  <c r="M156" i="61"/>
  <c r="P156" i="61" s="1"/>
  <c r="R156" i="61" s="1"/>
  <c r="M155" i="61"/>
  <c r="P155" i="61" s="1"/>
  <c r="R155" i="61" s="1"/>
  <c r="M154" i="61"/>
  <c r="P154" i="61" s="1"/>
  <c r="R154" i="61" s="1"/>
  <c r="M153" i="61"/>
  <c r="P153" i="61" s="1"/>
  <c r="R153" i="61" s="1"/>
  <c r="M152" i="61"/>
  <c r="P152" i="61" s="1"/>
  <c r="R152" i="61" s="1"/>
  <c r="A152" i="61"/>
  <c r="A153" i="61"/>
  <c r="A154" i="61"/>
  <c r="A155" i="61"/>
  <c r="A156" i="61"/>
  <c r="L5" i="52"/>
  <c r="O5" i="52" s="1"/>
  <c r="Q5" i="52" s="1"/>
  <c r="L6" i="52"/>
  <c r="O6" i="52" s="1"/>
  <c r="Q6" i="52" s="1"/>
  <c r="L7" i="52"/>
  <c r="O7" i="52" s="1"/>
  <c r="Q7" i="52" s="1"/>
  <c r="L8" i="52"/>
  <c r="O8" i="52" s="1"/>
  <c r="Q8" i="52" s="1"/>
  <c r="L86" i="35"/>
  <c r="L85" i="35"/>
  <c r="O85" i="35" s="1"/>
  <c r="Q85" i="35" s="1"/>
  <c r="A163" i="61" l="1"/>
  <c r="A164" i="61"/>
  <c r="R158" i="61" l="1"/>
  <c r="R157" i="61"/>
  <c r="A5" i="68"/>
  <c r="I5" i="68"/>
  <c r="N5" i="68" s="1"/>
  <c r="J5" i="68"/>
  <c r="J14" i="68" s="1"/>
  <c r="K5" i="68"/>
  <c r="K14" i="68" s="1"/>
  <c r="L5" i="68"/>
  <c r="L14" i="68" s="1"/>
  <c r="M5" i="68"/>
  <c r="M14" i="68" s="1"/>
  <c r="R5" i="68"/>
  <c r="T5" i="68"/>
  <c r="X5" i="68"/>
  <c r="AA5" i="68"/>
  <c r="A6" i="68"/>
  <c r="I6" i="68"/>
  <c r="N6" i="68" s="1"/>
  <c r="Y6" i="68" s="1"/>
  <c r="J6" i="68"/>
  <c r="K6" i="68"/>
  <c r="L6" i="68"/>
  <c r="M6" i="68"/>
  <c r="R6" i="68"/>
  <c r="T6" i="68"/>
  <c r="X6" i="68"/>
  <c r="AA6" i="68"/>
  <c r="A7" i="68"/>
  <c r="I7" i="68"/>
  <c r="N7" i="68" s="1"/>
  <c r="J7" i="68"/>
  <c r="K7" i="68"/>
  <c r="L7" i="68"/>
  <c r="M7" i="68"/>
  <c r="R7" i="68"/>
  <c r="T7" i="68"/>
  <c r="X7" i="68"/>
  <c r="AA7" i="68"/>
  <c r="A8" i="68"/>
  <c r="I8" i="68"/>
  <c r="N8" i="68" s="1"/>
  <c r="J8" i="68"/>
  <c r="K8" i="68"/>
  <c r="L8" i="68"/>
  <c r="M8" i="68"/>
  <c r="R8" i="68"/>
  <c r="T8" i="68"/>
  <c r="X8" i="68"/>
  <c r="AA8" i="68"/>
  <c r="A9" i="68"/>
  <c r="I9" i="68"/>
  <c r="N9" i="68" s="1"/>
  <c r="J9" i="68"/>
  <c r="K9" i="68"/>
  <c r="L9" i="68"/>
  <c r="M9" i="68"/>
  <c r="R9" i="68"/>
  <c r="T9" i="68"/>
  <c r="X9" i="68"/>
  <c r="AA9" i="68"/>
  <c r="A10" i="68"/>
  <c r="I10" i="68"/>
  <c r="N10" i="68" s="1"/>
  <c r="Y10" i="68" s="1"/>
  <c r="J10" i="68"/>
  <c r="K10" i="68"/>
  <c r="L10" i="68"/>
  <c r="M10" i="68"/>
  <c r="R10" i="68"/>
  <c r="T10" i="68"/>
  <c r="X10" i="68"/>
  <c r="AA10" i="68"/>
  <c r="A11" i="68"/>
  <c r="I11" i="68"/>
  <c r="N11" i="68" s="1"/>
  <c r="Y11" i="68" s="1"/>
  <c r="J11" i="68"/>
  <c r="K11" i="68"/>
  <c r="L11" i="68"/>
  <c r="M11" i="68"/>
  <c r="R11" i="68"/>
  <c r="T11" i="68"/>
  <c r="X11" i="68"/>
  <c r="AA11" i="68"/>
  <c r="A12" i="68"/>
  <c r="R12" i="68"/>
  <c r="T12" i="68"/>
  <c r="A13" i="68"/>
  <c r="N13" i="68"/>
  <c r="Y13" i="68" s="1"/>
  <c r="R13" i="68"/>
  <c r="T13" i="68"/>
  <c r="X13" i="68"/>
  <c r="AA13" i="68"/>
  <c r="A162" i="61"/>
  <c r="A198" i="61"/>
  <c r="T39" i="72"/>
  <c r="W39" i="72" s="1"/>
  <c r="Q38" i="72"/>
  <c r="T38" i="72" s="1"/>
  <c r="W38" i="72" s="1"/>
  <c r="M161" i="61"/>
  <c r="P161" i="61" s="1"/>
  <c r="R161" i="61" s="1"/>
  <c r="M160" i="61"/>
  <c r="P160" i="61" s="1"/>
  <c r="R160" i="61" s="1"/>
  <c r="M159" i="61"/>
  <c r="P159" i="61" s="1"/>
  <c r="R159" i="61" s="1"/>
  <c r="M157" i="61"/>
  <c r="A157" i="61"/>
  <c r="A158" i="61"/>
  <c r="A159" i="61"/>
  <c r="A160" i="61"/>
  <c r="A161" i="61"/>
  <c r="L84" i="35"/>
  <c r="O84" i="35" s="1"/>
  <c r="Q84" i="35" s="1"/>
  <c r="L83" i="35"/>
  <c r="O83" i="35" s="1"/>
  <c r="Q83" i="35" s="1"/>
  <c r="L82" i="35"/>
  <c r="O82" i="35" s="1"/>
  <c r="Q82" i="35" s="1"/>
  <c r="Q81" i="35"/>
  <c r="Q80" i="35"/>
  <c r="L80" i="35"/>
  <c r="T35" i="72"/>
  <c r="T34" i="72"/>
  <c r="T33" i="72"/>
  <c r="T32" i="72"/>
  <c r="T31" i="72"/>
  <c r="Q35" i="72"/>
  <c r="Q34" i="72"/>
  <c r="Q33" i="72"/>
  <c r="Q32" i="72"/>
  <c r="Q31" i="72"/>
  <c r="Q30" i="72"/>
  <c r="Q29" i="72"/>
  <c r="T30" i="72"/>
  <c r="T29" i="72"/>
  <c r="A35" i="72"/>
  <c r="A34" i="72"/>
  <c r="A33" i="72"/>
  <c r="A32" i="72"/>
  <c r="A31" i="72"/>
  <c r="A30" i="72"/>
  <c r="A29" i="72"/>
  <c r="T28" i="72"/>
  <c r="T27" i="72"/>
  <c r="T26" i="72"/>
  <c r="T25" i="72"/>
  <c r="T24" i="72"/>
  <c r="Q28" i="72"/>
  <c r="Q27" i="72"/>
  <c r="Q26" i="72"/>
  <c r="Q25" i="72"/>
  <c r="Q24" i="72"/>
  <c r="M151" i="61"/>
  <c r="P151" i="61" s="1"/>
  <c r="R151" i="61" s="1"/>
  <c r="M150" i="61"/>
  <c r="P150" i="61" s="1"/>
  <c r="R150" i="61" s="1"/>
  <c r="M149" i="61"/>
  <c r="P149" i="61" s="1"/>
  <c r="R149" i="61" s="1"/>
  <c r="M148" i="61"/>
  <c r="P148" i="61" s="1"/>
  <c r="R148" i="61" s="1"/>
  <c r="M147" i="61"/>
  <c r="P147" i="61" s="1"/>
  <c r="R147" i="61" s="1"/>
  <c r="M146" i="61"/>
  <c r="P146" i="61" s="1"/>
  <c r="R146" i="61" s="1"/>
  <c r="M145" i="61"/>
  <c r="P145" i="61" s="1"/>
  <c r="R145" i="61" s="1"/>
  <c r="M144" i="61"/>
  <c r="P144" i="61" s="1"/>
  <c r="R144" i="61" s="1"/>
  <c r="M143" i="61"/>
  <c r="P143" i="61" s="1"/>
  <c r="R143" i="61" s="1"/>
  <c r="M142" i="61"/>
  <c r="P142" i="61" s="1"/>
  <c r="R142" i="61" s="1"/>
  <c r="M141" i="61"/>
  <c r="P141" i="61" s="1"/>
  <c r="R141" i="61" s="1"/>
  <c r="M140" i="61"/>
  <c r="P140" i="61" s="1"/>
  <c r="R140" i="61" s="1"/>
  <c r="M139" i="61"/>
  <c r="P139" i="61" s="1"/>
  <c r="R139" i="61" s="1"/>
  <c r="R138" i="61"/>
  <c r="R137" i="61"/>
  <c r="R136" i="61"/>
  <c r="N135" i="61"/>
  <c r="P135" i="61" s="1"/>
  <c r="R135" i="61" s="1"/>
  <c r="M135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R118" i="61"/>
  <c r="N117" i="61"/>
  <c r="P117" i="61" s="1"/>
  <c r="R117" i="61" s="1"/>
  <c r="M117" i="61"/>
  <c r="A118" i="61"/>
  <c r="M20" i="71"/>
  <c r="Q22" i="71"/>
  <c r="Q21" i="71"/>
  <c r="L67" i="35"/>
  <c r="O67" i="35" s="1"/>
  <c r="Q67" i="35" s="1"/>
  <c r="L68" i="35"/>
  <c r="O68" i="35" s="1"/>
  <c r="Q68" i="35" s="1"/>
  <c r="L69" i="35"/>
  <c r="O69" i="35" s="1"/>
  <c r="Q69" i="35" s="1"/>
  <c r="L70" i="35"/>
  <c r="O70" i="35" s="1"/>
  <c r="Q70" i="35" s="1"/>
  <c r="L71" i="35"/>
  <c r="O71" i="35" s="1"/>
  <c r="Q71" i="35" s="1"/>
  <c r="L72" i="35"/>
  <c r="O72" i="35" s="1"/>
  <c r="Q72" i="35" s="1"/>
  <c r="L73" i="35"/>
  <c r="O73" i="35" s="1"/>
  <c r="Q73" i="35" s="1"/>
  <c r="L74" i="35"/>
  <c r="O74" i="35" s="1"/>
  <c r="Q74" i="35" s="1"/>
  <c r="L75" i="35"/>
  <c r="O75" i="35" s="1"/>
  <c r="Q75" i="35" s="1"/>
  <c r="L76" i="35"/>
  <c r="O76" i="35" s="1"/>
  <c r="Q76" i="35" s="1"/>
  <c r="L77" i="35"/>
  <c r="O77" i="35" s="1"/>
  <c r="Q77" i="35" s="1"/>
  <c r="L78" i="35"/>
  <c r="O78" i="35" s="1"/>
  <c r="Q78" i="35" s="1"/>
  <c r="L79" i="35"/>
  <c r="O79" i="35" s="1"/>
  <c r="Q79" i="35" s="1"/>
  <c r="Q19" i="71"/>
  <c r="M18" i="71"/>
  <c r="Q23" i="71"/>
  <c r="O20" i="71"/>
  <c r="Q20" i="71" s="1"/>
  <c r="L20" i="71"/>
  <c r="P19" i="55"/>
  <c r="M134" i="61"/>
  <c r="P134" i="61" s="1"/>
  <c r="R134" i="61" s="1"/>
  <c r="M133" i="61"/>
  <c r="P133" i="61" s="1"/>
  <c r="R133" i="61" s="1"/>
  <c r="M132" i="61"/>
  <c r="P132" i="61" s="1"/>
  <c r="R132" i="61" s="1"/>
  <c r="M131" i="61"/>
  <c r="P131" i="61" s="1"/>
  <c r="R131" i="61" s="1"/>
  <c r="M130" i="61"/>
  <c r="P130" i="61" s="1"/>
  <c r="R130" i="61" s="1"/>
  <c r="M129" i="61"/>
  <c r="P129" i="61" s="1"/>
  <c r="R129" i="61" s="1"/>
  <c r="M128" i="61"/>
  <c r="P128" i="61" s="1"/>
  <c r="R128" i="61" s="1"/>
  <c r="M127" i="61"/>
  <c r="P127" i="61" s="1"/>
  <c r="R127" i="61" s="1"/>
  <c r="M126" i="61"/>
  <c r="P126" i="61" s="1"/>
  <c r="R126" i="61" s="1"/>
  <c r="M125" i="61"/>
  <c r="P125" i="61" s="1"/>
  <c r="R125" i="61" s="1"/>
  <c r="M124" i="61"/>
  <c r="P124" i="61" s="1"/>
  <c r="R124" i="61" s="1"/>
  <c r="M123" i="61"/>
  <c r="P123" i="61" s="1"/>
  <c r="R123" i="61" s="1"/>
  <c r="M122" i="61"/>
  <c r="P122" i="61" s="1"/>
  <c r="R122" i="61" s="1"/>
  <c r="M121" i="61"/>
  <c r="P121" i="61" s="1"/>
  <c r="R121" i="61" s="1"/>
  <c r="M120" i="61"/>
  <c r="P120" i="61" s="1"/>
  <c r="R120" i="61" s="1"/>
  <c r="M119" i="61"/>
  <c r="P119" i="61" s="1"/>
  <c r="R119" i="61" s="1"/>
  <c r="L51" i="35"/>
  <c r="L52" i="35"/>
  <c r="L53" i="35"/>
  <c r="L54" i="35"/>
  <c r="L55" i="35"/>
  <c r="L56" i="35"/>
  <c r="L57" i="35"/>
  <c r="L58" i="35"/>
  <c r="O58" i="35" s="1"/>
  <c r="L59" i="35"/>
  <c r="L60" i="35"/>
  <c r="L61" i="35"/>
  <c r="L62" i="35"/>
  <c r="L63" i="35"/>
  <c r="L64" i="35"/>
  <c r="L65" i="35"/>
  <c r="L66" i="35"/>
  <c r="Z6" i="68" l="1"/>
  <c r="I14" i="68"/>
  <c r="Z11" i="68"/>
  <c r="Y5" i="68"/>
  <c r="Z5" i="68" s="1"/>
  <c r="N14" i="68"/>
  <c r="Z10" i="68"/>
  <c r="Y7" i="68"/>
  <c r="Z7" i="68" s="1"/>
  <c r="Y9" i="68"/>
  <c r="Z9" i="68" s="1"/>
  <c r="Y8" i="68"/>
  <c r="Z8" i="68" s="1"/>
  <c r="M50" i="61"/>
  <c r="P50" i="61" s="1"/>
  <c r="R50" i="61" s="1"/>
  <c r="M48" i="61"/>
  <c r="P48" i="61" s="1"/>
  <c r="R48" i="61" s="1"/>
  <c r="R81" i="61"/>
  <c r="R80" i="61"/>
  <c r="R79" i="61"/>
  <c r="R78" i="61"/>
  <c r="Q62" i="61"/>
  <c r="R62" i="61" s="1"/>
  <c r="Q61" i="61"/>
  <c r="R61" i="61" s="1"/>
  <c r="Q60" i="61"/>
  <c r="R60" i="61" s="1"/>
  <c r="Q59" i="61"/>
  <c r="R59" i="61" s="1"/>
  <c r="Q58" i="61"/>
  <c r="R58" i="61" s="1"/>
  <c r="Q57" i="61"/>
  <c r="R57" i="61" s="1"/>
  <c r="Q56" i="61"/>
  <c r="R56" i="61" s="1"/>
  <c r="R55" i="61"/>
  <c r="R54" i="61"/>
  <c r="N53" i="61"/>
  <c r="P53" i="61" s="1"/>
  <c r="R53" i="61" s="1"/>
  <c r="P52" i="61"/>
  <c r="R52" i="61" s="1"/>
  <c r="R51" i="61"/>
  <c r="R49" i="61"/>
  <c r="P67" i="61"/>
  <c r="R67" i="61" s="1"/>
  <c r="P66" i="61"/>
  <c r="R66" i="61" s="1"/>
  <c r="P65" i="61"/>
  <c r="R65" i="61" s="1"/>
  <c r="P64" i="61"/>
  <c r="R64" i="61" s="1"/>
  <c r="A66" i="61"/>
  <c r="T23" i="72" l="1"/>
  <c r="Q23" i="72"/>
  <c r="S18" i="55"/>
  <c r="S17" i="55"/>
  <c r="O18" i="71"/>
  <c r="Q18" i="71" s="1"/>
  <c r="L18" i="71"/>
  <c r="O15" i="71"/>
  <c r="Q15" i="71" s="1"/>
  <c r="O16" i="71"/>
  <c r="Q16" i="71" s="1"/>
  <c r="O14" i="71"/>
  <c r="Q14" i="71" s="1"/>
  <c r="O17" i="71"/>
  <c r="Q17" i="71" s="1"/>
  <c r="A117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O53" i="35"/>
  <c r="Q53" i="35" s="1"/>
  <c r="O54" i="35"/>
  <c r="Q54" i="35" s="1"/>
  <c r="O56" i="35"/>
  <c r="Q56" i="35" s="1"/>
  <c r="O57" i="35"/>
  <c r="Q57" i="35" s="1"/>
  <c r="Q58" i="35"/>
  <c r="O62" i="35"/>
  <c r="Q62" i="35" s="1"/>
  <c r="O64" i="35"/>
  <c r="Q64" i="35" s="1"/>
  <c r="O65" i="35"/>
  <c r="Q65" i="35" s="1"/>
  <c r="O66" i="35"/>
  <c r="Q66" i="35" s="1"/>
  <c r="O51" i="35"/>
  <c r="Q51" i="35" s="1"/>
  <c r="O52" i="35"/>
  <c r="Q52" i="35" s="1"/>
  <c r="O55" i="35"/>
  <c r="Q55" i="35" s="1"/>
  <c r="O59" i="35"/>
  <c r="Q59" i="35" s="1"/>
  <c r="O60" i="35"/>
  <c r="Q60" i="35" s="1"/>
  <c r="O61" i="35"/>
  <c r="Q61" i="35" s="1"/>
  <c r="O63" i="35"/>
  <c r="Q63" i="35" s="1"/>
  <c r="M116" i="61" l="1"/>
  <c r="P116" i="61" s="1"/>
  <c r="R116" i="61" s="1"/>
  <c r="M115" i="61"/>
  <c r="P115" i="61" s="1"/>
  <c r="R115" i="61" s="1"/>
  <c r="M114" i="61"/>
  <c r="P114" i="61" s="1"/>
  <c r="R114" i="61" s="1"/>
  <c r="M113" i="61"/>
  <c r="M112" i="61"/>
  <c r="M111" i="61"/>
  <c r="M110" i="61"/>
  <c r="M109" i="61"/>
  <c r="M108" i="61"/>
  <c r="M107" i="61"/>
  <c r="M106" i="61"/>
  <c r="M105" i="61"/>
  <c r="M104" i="61"/>
  <c r="M103" i="61"/>
  <c r="M102" i="61"/>
  <c r="M101" i="61"/>
  <c r="M100" i="61"/>
  <c r="M99" i="61"/>
  <c r="M98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P18" i="55"/>
  <c r="R18" i="55" s="1"/>
  <c r="P17" i="55"/>
  <c r="R17" i="55" s="1"/>
  <c r="T22" i="72"/>
  <c r="T21" i="72"/>
  <c r="Q22" i="72"/>
  <c r="S22" i="72" s="1"/>
  <c r="Q21" i="72"/>
  <c r="S21" i="72" s="1"/>
  <c r="L45" i="35"/>
  <c r="O45" i="35" s="1"/>
  <c r="Q45" i="35" s="1"/>
  <c r="L46" i="35"/>
  <c r="O46" i="35" s="1"/>
  <c r="Q46" i="35" s="1"/>
  <c r="L47" i="35"/>
  <c r="O47" i="35" s="1"/>
  <c r="Q47" i="35" s="1"/>
  <c r="L48" i="35"/>
  <c r="O48" i="35" s="1"/>
  <c r="Q48" i="35" s="1"/>
  <c r="L32" i="35"/>
  <c r="O32" i="35" s="1"/>
  <c r="Q32" i="35" s="1"/>
  <c r="L33" i="35"/>
  <c r="O33" i="35" s="1"/>
  <c r="Q33" i="35" s="1"/>
  <c r="L34" i="35"/>
  <c r="O34" i="35" s="1"/>
  <c r="Q34" i="35" s="1"/>
  <c r="L35" i="35"/>
  <c r="O35" i="35" s="1"/>
  <c r="Q35" i="35" s="1"/>
  <c r="L36" i="35"/>
  <c r="O36" i="35" s="1"/>
  <c r="Q36" i="35" s="1"/>
  <c r="L37" i="35"/>
  <c r="O37" i="35" s="1"/>
  <c r="Q37" i="35" s="1"/>
  <c r="L38" i="35"/>
  <c r="O38" i="35" s="1"/>
  <c r="Q38" i="35" s="1"/>
  <c r="L39" i="35"/>
  <c r="O39" i="35" s="1"/>
  <c r="Q39" i="35" s="1"/>
  <c r="L40" i="35"/>
  <c r="O40" i="35" s="1"/>
  <c r="Q40" i="35" s="1"/>
  <c r="L41" i="35"/>
  <c r="O41" i="35" s="1"/>
  <c r="Q41" i="35" s="1"/>
  <c r="L42" i="35"/>
  <c r="O42" i="35" s="1"/>
  <c r="Q42" i="35" s="1"/>
  <c r="L43" i="35"/>
  <c r="O43" i="35" s="1"/>
  <c r="Q43" i="35" s="1"/>
  <c r="L44" i="35"/>
  <c r="O44" i="35" s="1"/>
  <c r="Q44" i="35" s="1"/>
  <c r="L49" i="35"/>
  <c r="O49" i="35" s="1"/>
  <c r="Q49" i="35" s="1"/>
  <c r="L50" i="35"/>
  <c r="O50" i="35" s="1"/>
  <c r="Q50" i="35" s="1"/>
  <c r="P101" i="61" l="1"/>
  <c r="R101" i="61" s="1"/>
  <c r="P111" i="61"/>
  <c r="R111" i="61" s="1"/>
  <c r="P104" i="61"/>
  <c r="R104" i="61" s="1"/>
  <c r="P98" i="61"/>
  <c r="R98" i="61" s="1"/>
  <c r="P106" i="61"/>
  <c r="R106" i="61" s="1"/>
  <c r="P110" i="61"/>
  <c r="R110" i="61" s="1"/>
  <c r="P103" i="61"/>
  <c r="R103" i="61" s="1"/>
  <c r="P105" i="61"/>
  <c r="R105" i="61" s="1"/>
  <c r="P99" i="61"/>
  <c r="R99" i="61" s="1"/>
  <c r="P107" i="61"/>
  <c r="R107" i="61" s="1"/>
  <c r="P109" i="61"/>
  <c r="R109" i="61" s="1"/>
  <c r="P102" i="61"/>
  <c r="R102" i="61" s="1"/>
  <c r="P112" i="61"/>
  <c r="R112" i="61" s="1"/>
  <c r="P113" i="61"/>
  <c r="R113" i="61" s="1"/>
  <c r="P100" i="61"/>
  <c r="R100" i="61" s="1"/>
  <c r="P108" i="61"/>
  <c r="R108" i="61" s="1"/>
  <c r="M97" i="61"/>
  <c r="P97" i="61" s="1"/>
  <c r="R97" i="61" s="1"/>
  <c r="M96" i="61"/>
  <c r="P96" i="61" s="1"/>
  <c r="R96" i="61" s="1"/>
  <c r="M95" i="61"/>
  <c r="P95" i="61" s="1"/>
  <c r="R95" i="61" s="1"/>
  <c r="M94" i="61"/>
  <c r="P94" i="61" s="1"/>
  <c r="R94" i="61" s="1"/>
  <c r="M93" i="61"/>
  <c r="P93" i="61" s="1"/>
  <c r="R93" i="61" s="1"/>
  <c r="M92" i="61"/>
  <c r="P92" i="61" s="1"/>
  <c r="R92" i="61" s="1"/>
  <c r="R12" i="55" l="1"/>
  <c r="R11" i="55"/>
  <c r="R10" i="55"/>
  <c r="R9" i="55"/>
  <c r="R8" i="55"/>
  <c r="R7" i="55"/>
  <c r="R6" i="55"/>
  <c r="R5" i="55"/>
  <c r="Q20" i="72"/>
  <c r="S20" i="72" s="1"/>
  <c r="Q19" i="72"/>
  <c r="S19" i="72" s="1"/>
  <c r="A39" i="72"/>
  <c r="A38" i="72"/>
  <c r="A28" i="72"/>
  <c r="A27" i="72"/>
  <c r="A26" i="72"/>
  <c r="A25" i="72"/>
  <c r="A24" i="72"/>
  <c r="A23" i="72"/>
  <c r="A22" i="72"/>
  <c r="A21" i="72"/>
  <c r="A20" i="72"/>
  <c r="A19" i="72"/>
  <c r="S16" i="55" l="1"/>
  <c r="S15" i="55"/>
  <c r="S14" i="55"/>
  <c r="S13" i="55"/>
  <c r="P16" i="55" l="1"/>
  <c r="R16" i="55" s="1"/>
  <c r="P15" i="55"/>
  <c r="R15" i="55" s="1"/>
  <c r="P14" i="55"/>
  <c r="R14" i="55" s="1"/>
  <c r="P13" i="55"/>
  <c r="R13" i="55" s="1"/>
  <c r="A92" i="61" l="1"/>
  <c r="A93" i="61"/>
  <c r="A94" i="61"/>
  <c r="A95" i="61"/>
  <c r="A96" i="61"/>
  <c r="A97" i="61"/>
  <c r="L31" i="35"/>
  <c r="O31" i="35" s="1"/>
  <c r="Q31" i="35" s="1"/>
  <c r="L30" i="35"/>
  <c r="O30" i="35" s="1"/>
  <c r="Q30" i="35" s="1"/>
  <c r="L29" i="35"/>
  <c r="O29" i="35" s="1"/>
  <c r="Q29" i="35" s="1"/>
  <c r="L28" i="35"/>
  <c r="O28" i="35" s="1"/>
  <c r="Q28" i="35" s="1"/>
  <c r="L27" i="35"/>
  <c r="O27" i="35" s="1"/>
  <c r="Q27" i="35" s="1"/>
  <c r="L26" i="35"/>
  <c r="O26" i="35" s="1"/>
  <c r="Q26" i="35" s="1"/>
  <c r="V39" i="55"/>
  <c r="T18" i="72" l="1"/>
  <c r="Q18" i="72"/>
  <c r="S18" i="72" s="1"/>
  <c r="A18" i="72"/>
  <c r="T17" i="72"/>
  <c r="Q17" i="72"/>
  <c r="S17" i="72" s="1"/>
  <c r="A17" i="72"/>
  <c r="T16" i="72"/>
  <c r="Q16" i="72"/>
  <c r="S16" i="72" s="1"/>
  <c r="A16" i="72"/>
  <c r="T15" i="72"/>
  <c r="Q15" i="72"/>
  <c r="S15" i="72" s="1"/>
  <c r="A15" i="72"/>
  <c r="T14" i="72"/>
  <c r="Q14" i="72"/>
  <c r="S14" i="72" s="1"/>
  <c r="A14" i="72"/>
  <c r="T13" i="72"/>
  <c r="Q13" i="72"/>
  <c r="S13" i="72" s="1"/>
  <c r="A13" i="72"/>
  <c r="T12" i="72"/>
  <c r="Q12" i="72"/>
  <c r="S12" i="72" s="1"/>
  <c r="A12" i="72"/>
  <c r="T11" i="72"/>
  <c r="Q11" i="72"/>
  <c r="S11" i="72" s="1"/>
  <c r="A11" i="72"/>
  <c r="Q10" i="72"/>
  <c r="A10" i="72"/>
  <c r="Q9" i="72"/>
  <c r="A9" i="72"/>
  <c r="Q8" i="72"/>
  <c r="A8" i="72"/>
  <c r="Q7" i="72"/>
  <c r="S7" i="72" s="1"/>
  <c r="A7" i="72"/>
  <c r="Q6" i="72"/>
  <c r="S6" i="72" s="1"/>
  <c r="A6" i="72"/>
  <c r="Q5" i="72"/>
  <c r="S5" i="72" s="1"/>
  <c r="A5" i="72"/>
  <c r="V5" i="46"/>
  <c r="V4" i="46"/>
  <c r="M91" i="61"/>
  <c r="P91" i="61" s="1"/>
  <c r="R91" i="61" s="1"/>
  <c r="M90" i="61"/>
  <c r="P90" i="61" s="1"/>
  <c r="R90" i="61" s="1"/>
  <c r="M89" i="61"/>
  <c r="P89" i="61" s="1"/>
  <c r="R89" i="61" s="1"/>
  <c r="M88" i="61"/>
  <c r="P88" i="61" s="1"/>
  <c r="R88" i="61" s="1"/>
  <c r="M87" i="61"/>
  <c r="P87" i="61" s="1"/>
  <c r="R87" i="61" s="1"/>
  <c r="M86" i="61"/>
  <c r="P86" i="61" s="1"/>
  <c r="R86" i="61" s="1"/>
  <c r="M85" i="61"/>
  <c r="P85" i="61" s="1"/>
  <c r="R85" i="61" s="1"/>
  <c r="M84" i="61"/>
  <c r="P84" i="61" s="1"/>
  <c r="R84" i="61" s="1"/>
  <c r="M83" i="61"/>
  <c r="P83" i="61" s="1"/>
  <c r="R83" i="61" s="1"/>
  <c r="M82" i="61"/>
  <c r="P82" i="61" s="1"/>
  <c r="R82" i="61" s="1"/>
  <c r="A82" i="61"/>
  <c r="A83" i="61"/>
  <c r="A84" i="61"/>
  <c r="A85" i="61"/>
  <c r="A86" i="61"/>
  <c r="A87" i="61"/>
  <c r="A88" i="61"/>
  <c r="A89" i="61"/>
  <c r="A90" i="61"/>
  <c r="A91" i="61"/>
  <c r="L6" i="35"/>
  <c r="L7" i="35"/>
  <c r="L8" i="35"/>
  <c r="L9" i="35"/>
  <c r="L10" i="35"/>
  <c r="L11" i="35"/>
  <c r="L12" i="35"/>
  <c r="L13" i="35"/>
  <c r="L14" i="35"/>
  <c r="L15" i="35"/>
  <c r="L16" i="35"/>
  <c r="O16" i="35" s="1"/>
  <c r="Q16" i="35" s="1"/>
  <c r="L17" i="35"/>
  <c r="O17" i="35" s="1"/>
  <c r="Q17" i="35" s="1"/>
  <c r="L18" i="35"/>
  <c r="O18" i="35" s="1"/>
  <c r="Q18" i="35" s="1"/>
  <c r="L19" i="35"/>
  <c r="O19" i="35" s="1"/>
  <c r="Q19" i="35" s="1"/>
  <c r="L20" i="35"/>
  <c r="O20" i="35" s="1"/>
  <c r="Q20" i="35" s="1"/>
  <c r="L21" i="35"/>
  <c r="O21" i="35" s="1"/>
  <c r="Q21" i="35" s="1"/>
  <c r="L22" i="35"/>
  <c r="O22" i="35" s="1"/>
  <c r="Q22" i="35" s="1"/>
  <c r="L23" i="35"/>
  <c r="O23" i="35" s="1"/>
  <c r="Q23" i="35" s="1"/>
  <c r="L24" i="35"/>
  <c r="O24" i="35" s="1"/>
  <c r="Q24" i="35" s="1"/>
  <c r="L25" i="35"/>
  <c r="O25" i="35" s="1"/>
  <c r="Q25" i="35" s="1"/>
  <c r="T3" i="72" l="1"/>
  <c r="W3" i="72"/>
  <c r="Q3" i="72"/>
  <c r="P29" i="37"/>
  <c r="P28" i="37"/>
  <c r="P27" i="37"/>
  <c r="P26" i="37"/>
  <c r="P25" i="37"/>
  <c r="P24" i="37"/>
  <c r="P23" i="37"/>
  <c r="M20" i="37"/>
  <c r="O20" i="37" s="1"/>
  <c r="O19" i="37"/>
  <c r="A81" i="61"/>
  <c r="A134" i="61"/>
  <c r="A79" i="61"/>
  <c r="A78" i="61"/>
  <c r="A80" i="61"/>
  <c r="Q33" i="37"/>
  <c r="Q32" i="37"/>
  <c r="Q31" i="37"/>
  <c r="Q30" i="37"/>
  <c r="N38" i="61" l="1"/>
  <c r="P38" i="61" s="1"/>
  <c r="R38" i="61" s="1"/>
  <c r="M37" i="61"/>
  <c r="A38" i="61"/>
  <c r="M13" i="71"/>
  <c r="M12" i="71" s="1"/>
  <c r="N37" i="61" l="1"/>
  <c r="P37" i="61" s="1"/>
  <c r="R37" i="61" s="1"/>
  <c r="O13" i="71"/>
  <c r="Q13" i="71" s="1"/>
  <c r="A63" i="61" l="1"/>
  <c r="S5" i="61"/>
  <c r="S7" i="61"/>
  <c r="S8" i="61" s="1"/>
  <c r="S9" i="61" s="1"/>
  <c r="S10" i="61" s="1"/>
  <c r="S11" i="61" s="1"/>
  <c r="S12" i="61" s="1"/>
  <c r="S13" i="61" s="1"/>
  <c r="S14" i="61" s="1"/>
  <c r="S15" i="61" s="1"/>
  <c r="S16" i="61" s="1"/>
  <c r="S17" i="61" s="1"/>
  <c r="S21" i="61"/>
  <c r="S28" i="61"/>
  <c r="S31" i="61"/>
  <c r="S32" i="61" s="1"/>
  <c r="S34" i="61"/>
  <c r="S35" i="61" s="1"/>
  <c r="S36" i="61" s="1"/>
  <c r="S40" i="61"/>
  <c r="S42" i="61"/>
  <c r="S43" i="61" s="1"/>
  <c r="S45" i="61"/>
  <c r="S46" i="61" s="1"/>
  <c r="S47" i="61" s="1"/>
  <c r="S49" i="61"/>
  <c r="S50" i="61" s="1"/>
  <c r="S51" i="61" s="1"/>
  <c r="S53" i="61"/>
  <c r="S54" i="61" s="1"/>
  <c r="S55" i="61" s="1"/>
  <c r="S58" i="61"/>
  <c r="S59" i="61" s="1"/>
  <c r="S60" i="61" s="1"/>
  <c r="S61" i="61" s="1"/>
  <c r="S62" i="61" s="1"/>
  <c r="P77" i="61"/>
  <c r="R77" i="61" s="1"/>
  <c r="P76" i="61"/>
  <c r="R76" i="61" s="1"/>
  <c r="P75" i="61"/>
  <c r="R75" i="61" s="1"/>
  <c r="P74" i="61"/>
  <c r="R74" i="61" s="1"/>
  <c r="P73" i="61"/>
  <c r="R73" i="61" s="1"/>
  <c r="P72" i="61"/>
  <c r="R72" i="61" s="1"/>
  <c r="P71" i="61"/>
  <c r="R71" i="61" s="1"/>
  <c r="P70" i="61"/>
  <c r="R70" i="61" s="1"/>
  <c r="P69" i="61"/>
  <c r="R69" i="61" s="1"/>
  <c r="P68" i="61"/>
  <c r="R68" i="61" s="1"/>
  <c r="A65" i="61"/>
  <c r="A67" i="61"/>
  <c r="A68" i="61"/>
  <c r="A69" i="61"/>
  <c r="A70" i="61"/>
  <c r="A71" i="61"/>
  <c r="A72" i="61"/>
  <c r="A73" i="61"/>
  <c r="A74" i="61"/>
  <c r="A75" i="61"/>
  <c r="O15" i="35"/>
  <c r="O14" i="35"/>
  <c r="O13" i="35"/>
  <c r="O12" i="35"/>
  <c r="O11" i="35"/>
  <c r="O10" i="35"/>
  <c r="O9" i="35"/>
  <c r="O8" i="35"/>
  <c r="O7" i="35"/>
  <c r="O6" i="35"/>
  <c r="O12" i="71"/>
  <c r="Q12" i="71" s="1"/>
  <c r="L12" i="71"/>
  <c r="O11" i="71"/>
  <c r="Q11" i="71" s="1"/>
  <c r="L11" i="71"/>
  <c r="O10" i="71"/>
  <c r="Q10" i="71" s="1"/>
  <c r="L10" i="71"/>
  <c r="O9" i="71"/>
  <c r="Q9" i="71" s="1"/>
  <c r="L9" i="71"/>
  <c r="O8" i="71"/>
  <c r="Q8" i="71" s="1"/>
  <c r="O7" i="71"/>
  <c r="Q7" i="71" s="1"/>
  <c r="M6" i="71"/>
  <c r="O6" i="71" s="1"/>
  <c r="Q6" i="71" s="1"/>
  <c r="L6" i="71"/>
  <c r="M5" i="71"/>
  <c r="O5" i="71" s="1"/>
  <c r="Q5" i="71" s="1"/>
  <c r="L5" i="71"/>
  <c r="Q4" i="71"/>
  <c r="E4" i="71"/>
  <c r="A4" i="71"/>
  <c r="Q3" i="71"/>
  <c r="L3" i="71"/>
  <c r="Q8" i="70"/>
  <c r="Q7" i="70"/>
  <c r="Q6" i="70"/>
  <c r="L6" i="70"/>
  <c r="L5" i="70" s="1"/>
  <c r="O5" i="70"/>
  <c r="Q5" i="70" s="1"/>
  <c r="Q4" i="70"/>
  <c r="L4" i="70"/>
  <c r="Q3" i="70"/>
  <c r="L3" i="70"/>
  <c r="L19" i="70" l="1"/>
  <c r="Q19" i="70"/>
  <c r="L57" i="71"/>
  <c r="Q57" i="71"/>
  <c r="Q6" i="35" l="1"/>
  <c r="Q7" i="35"/>
  <c r="Q8" i="35"/>
  <c r="Q9" i="35"/>
  <c r="Q10" i="35"/>
  <c r="Q11" i="35"/>
  <c r="Q12" i="35"/>
  <c r="Q13" i="35"/>
  <c r="Q14" i="35"/>
  <c r="Q15" i="35"/>
  <c r="A64" i="61" l="1"/>
  <c r="A76" i="61"/>
  <c r="A77" i="61"/>
  <c r="L15" i="37" l="1"/>
  <c r="O15" i="37" s="1"/>
  <c r="Q15" i="37" s="1"/>
  <c r="L17" i="37"/>
  <c r="O17" i="37" s="1"/>
  <c r="Q17" i="37" s="1"/>
  <c r="A46" i="61"/>
  <c r="A57" i="61"/>
  <c r="A56" i="61"/>
  <c r="A55" i="61"/>
  <c r="A54" i="61"/>
  <c r="A53" i="61"/>
  <c r="A52" i="61"/>
  <c r="A51" i="61"/>
  <c r="A50" i="61"/>
  <c r="A49" i="61"/>
  <c r="A48" i="61"/>
  <c r="Q16" i="37"/>
  <c r="Q18" i="37"/>
  <c r="Q19" i="37"/>
  <c r="Q20" i="37"/>
  <c r="Q21" i="37"/>
  <c r="Q22" i="37"/>
  <c r="Q23" i="37"/>
  <c r="Q24" i="37"/>
  <c r="Q25" i="37"/>
  <c r="Q26" i="37"/>
  <c r="Q27" i="37"/>
  <c r="Q28" i="37"/>
  <c r="Q29" i="37"/>
  <c r="P3" i="46" l="1"/>
  <c r="S3" i="46" s="1"/>
  <c r="V3" i="46" s="1"/>
  <c r="A44" i="61" l="1"/>
  <c r="A45" i="61"/>
  <c r="A47" i="61"/>
  <c r="A58" i="61"/>
  <c r="A59" i="61"/>
  <c r="A60" i="61"/>
  <c r="A61" i="61"/>
  <c r="R47" i="61"/>
  <c r="R46" i="61"/>
  <c r="R45" i="61"/>
  <c r="M45" i="61"/>
  <c r="M44" i="61" s="1"/>
  <c r="R44" i="61" s="1"/>
  <c r="P43" i="61" l="1"/>
  <c r="R43" i="61" s="1"/>
  <c r="M43" i="61"/>
  <c r="P42" i="61"/>
  <c r="R42" i="61" s="1"/>
  <c r="M42" i="61"/>
  <c r="P41" i="61"/>
  <c r="R41" i="61" s="1"/>
  <c r="M41" i="61"/>
  <c r="R40" i="61"/>
  <c r="R39" i="61"/>
  <c r="Q10" i="45"/>
  <c r="Q11" i="45"/>
  <c r="L9" i="45"/>
  <c r="A39" i="61"/>
  <c r="A40" i="61"/>
  <c r="A43" i="61"/>
  <c r="A42" i="61"/>
  <c r="A41" i="61"/>
  <c r="O14" i="45"/>
  <c r="Q14" i="45" s="1"/>
  <c r="O13" i="45"/>
  <c r="Q13" i="45" s="1"/>
  <c r="O12" i="45"/>
  <c r="Q12" i="45" s="1"/>
  <c r="L12" i="45"/>
  <c r="L13" i="45"/>
  <c r="L14" i="45"/>
  <c r="V24" i="69" l="1"/>
  <c r="P24" i="69"/>
  <c r="A62" i="61"/>
  <c r="C21" i="61" l="1"/>
  <c r="C7" i="61"/>
  <c r="C5" i="61"/>
  <c r="H3" i="56"/>
  <c r="A37" i="61"/>
  <c r="C8" i="61" l="1"/>
  <c r="C9" i="61" s="1"/>
  <c r="C10" i="61" s="1"/>
  <c r="C11" i="61" s="1"/>
  <c r="C12" i="61" s="1"/>
  <c r="C13" i="61" s="1"/>
  <c r="C14" i="61" s="1"/>
  <c r="C15" i="61" s="1"/>
  <c r="C16" i="61" s="1"/>
  <c r="C17" i="61" s="1"/>
  <c r="A32" i="61"/>
  <c r="P36" i="61"/>
  <c r="R36" i="61" s="1"/>
  <c r="M36" i="61"/>
  <c r="P35" i="61"/>
  <c r="R35" i="61" s="1"/>
  <c r="M35" i="61"/>
  <c r="P34" i="61"/>
  <c r="R34" i="61" s="1"/>
  <c r="M34" i="61"/>
  <c r="P33" i="61"/>
  <c r="R33" i="61" s="1"/>
  <c r="P32" i="61"/>
  <c r="R32" i="61" s="1"/>
  <c r="N31" i="61"/>
  <c r="P31" i="61" s="1"/>
  <c r="R31" i="61" s="1"/>
  <c r="M31" i="61"/>
  <c r="N30" i="61"/>
  <c r="P30" i="61" s="1"/>
  <c r="R30" i="61" s="1"/>
  <c r="M30" i="61"/>
  <c r="A33" i="61"/>
  <c r="A34" i="61"/>
  <c r="A35" i="61"/>
  <c r="A36" i="61"/>
  <c r="D8" i="68" l="1"/>
  <c r="F8" i="68"/>
  <c r="E7" i="68"/>
  <c r="E11" i="68"/>
  <c r="G8" i="68"/>
  <c r="C8" i="68"/>
  <c r="F7" i="68"/>
  <c r="F10" i="68"/>
  <c r="E8" i="68"/>
  <c r="W8" i="68"/>
  <c r="F11" i="68"/>
  <c r="D10" i="68"/>
  <c r="D11" i="68"/>
  <c r="D7" i="68"/>
  <c r="F5" i="68"/>
  <c r="F6" i="68"/>
  <c r="P306" i="61"/>
  <c r="N315" i="61"/>
  <c r="N314" i="61"/>
  <c r="N313" i="61"/>
  <c r="N312" i="61"/>
  <c r="H8" i="68" l="1"/>
  <c r="U8" i="68" s="1"/>
  <c r="V8" i="68" s="1"/>
  <c r="AB8" i="68" s="1"/>
  <c r="M29" i="61"/>
  <c r="P29" i="61" s="1"/>
  <c r="R29" i="61" s="1"/>
  <c r="L5" i="35"/>
  <c r="O5" i="35" s="1"/>
  <c r="Q5" i="35" s="1"/>
  <c r="P4" i="55"/>
  <c r="R4" i="55" s="1"/>
  <c r="A29" i="61"/>
  <c r="A30" i="61"/>
  <c r="A31" i="61"/>
  <c r="P3" i="55"/>
  <c r="P28" i="61"/>
  <c r="R28" i="61" s="1"/>
  <c r="M28" i="61"/>
  <c r="C10" i="68" s="1"/>
  <c r="P27" i="61"/>
  <c r="R27" i="61" s="1"/>
  <c r="M27" i="61"/>
  <c r="P26" i="61"/>
  <c r="R26" i="61" s="1"/>
  <c r="M26" i="61"/>
  <c r="P25" i="61"/>
  <c r="R25" i="61" s="1"/>
  <c r="M25" i="61"/>
  <c r="P24" i="61"/>
  <c r="R24" i="61" s="1"/>
  <c r="M24" i="61"/>
  <c r="P23" i="61"/>
  <c r="R23" i="61" s="1"/>
  <c r="M23" i="61"/>
  <c r="P22" i="61"/>
  <c r="R22" i="61" s="1"/>
  <c r="M22" i="61"/>
  <c r="A27" i="61"/>
  <c r="A28" i="61"/>
  <c r="O9" i="45"/>
  <c r="O8" i="45"/>
  <c r="Q8" i="45" s="1"/>
  <c r="L8" i="45"/>
  <c r="O8" i="68" l="1"/>
  <c r="S3" i="55"/>
  <c r="R3" i="55"/>
  <c r="A26" i="61"/>
  <c r="A25" i="61"/>
  <c r="A24" i="61"/>
  <c r="A23" i="61"/>
  <c r="A22" i="61"/>
  <c r="Q9" i="45"/>
  <c r="O7" i="45"/>
  <c r="Q7" i="45" s="1"/>
  <c r="O6" i="45"/>
  <c r="Q6" i="45" s="1"/>
  <c r="O5" i="45"/>
  <c r="Q5" i="45" s="1"/>
  <c r="O4" i="45"/>
  <c r="Q4" i="45" s="1"/>
  <c r="O3" i="45"/>
  <c r="Q3" i="45" s="1"/>
  <c r="L3" i="45"/>
  <c r="L4" i="45"/>
  <c r="L5" i="45"/>
  <c r="L6" i="45"/>
  <c r="L7" i="45"/>
  <c r="N318" i="61"/>
  <c r="N317" i="61"/>
  <c r="F5" i="61" l="1"/>
  <c r="F7" i="61"/>
  <c r="F8" i="61" s="1"/>
  <c r="F9" i="61" s="1"/>
  <c r="F10" i="61" s="1"/>
  <c r="F11" i="61" s="1"/>
  <c r="F12" i="61" s="1"/>
  <c r="F13" i="61" s="1"/>
  <c r="F14" i="61" s="1"/>
  <c r="F15" i="61" s="1"/>
  <c r="F16" i="61" s="1"/>
  <c r="F17" i="61" s="1"/>
  <c r="F21" i="61"/>
  <c r="E5" i="61"/>
  <c r="E7" i="6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B5" i="61"/>
  <c r="N307" i="61" l="1"/>
  <c r="N304" i="61"/>
  <c r="N303" i="61"/>
  <c r="E5" i="68"/>
  <c r="E6" i="68"/>
  <c r="C11" i="68"/>
  <c r="H11" i="68" s="1"/>
  <c r="W10" i="68"/>
  <c r="E10" i="68"/>
  <c r="H10" i="68" s="1"/>
  <c r="R21" i="61"/>
  <c r="M21" i="61"/>
  <c r="A21" i="61"/>
  <c r="R20" i="61"/>
  <c r="M20" i="61"/>
  <c r="A20" i="61"/>
  <c r="R19" i="61"/>
  <c r="A19" i="61"/>
  <c r="R18" i="61"/>
  <c r="M18" i="61"/>
  <c r="A18" i="61"/>
  <c r="P17" i="61"/>
  <c r="R17" i="61" s="1"/>
  <c r="A17" i="61"/>
  <c r="P16" i="61"/>
  <c r="R16" i="61" s="1"/>
  <c r="M16" i="61"/>
  <c r="A16" i="61"/>
  <c r="P15" i="61"/>
  <c r="R15" i="61" s="1"/>
  <c r="M15" i="61"/>
  <c r="A15" i="61"/>
  <c r="P14" i="61"/>
  <c r="R14" i="61" s="1"/>
  <c r="M14" i="61"/>
  <c r="A14" i="61"/>
  <c r="R13" i="61"/>
  <c r="M13" i="61"/>
  <c r="A13" i="61"/>
  <c r="P12" i="61"/>
  <c r="R12" i="61" s="1"/>
  <c r="M12" i="61"/>
  <c r="A12" i="61"/>
  <c r="P11" i="61"/>
  <c r="R11" i="61" s="1"/>
  <c r="A11" i="61"/>
  <c r="P10" i="61"/>
  <c r="R10" i="61" s="1"/>
  <c r="M10" i="61"/>
  <c r="A10" i="61"/>
  <c r="P9" i="61"/>
  <c r="R9" i="61" s="1"/>
  <c r="M9" i="61"/>
  <c r="A9" i="61"/>
  <c r="P8" i="61"/>
  <c r="R8" i="61" s="1"/>
  <c r="M8" i="61"/>
  <c r="A8" i="61"/>
  <c r="P7" i="61"/>
  <c r="R7" i="61" s="1"/>
  <c r="M7" i="61"/>
  <c r="A7" i="61"/>
  <c r="P6" i="61"/>
  <c r="M6" i="61"/>
  <c r="A6" i="61"/>
  <c r="R5" i="61"/>
  <c r="R4" i="61"/>
  <c r="M4" i="61"/>
  <c r="A4" i="61"/>
  <c r="D6" i="68" l="1"/>
  <c r="C7" i="68"/>
  <c r="H7" i="68" s="1"/>
  <c r="O7" i="68" s="1"/>
  <c r="D14" i="68"/>
  <c r="G5" i="68"/>
  <c r="C6" i="68"/>
  <c r="C9" i="68"/>
  <c r="F14" i="68"/>
  <c r="E9" i="68"/>
  <c r="E14" i="68"/>
  <c r="U7" i="68"/>
  <c r="V7" i="68" s="1"/>
  <c r="AB7" i="68" s="1"/>
  <c r="C14" i="68"/>
  <c r="D9" i="68"/>
  <c r="G9" i="68"/>
  <c r="W7" i="68"/>
  <c r="U10" i="68"/>
  <c r="V10" i="68" s="1"/>
  <c r="AB10" i="68" s="1"/>
  <c r="O10" i="68"/>
  <c r="F9" i="68"/>
  <c r="C5" i="68"/>
  <c r="D5" i="68"/>
  <c r="O11" i="68"/>
  <c r="U11" i="68"/>
  <c r="V11" i="68" s="1"/>
  <c r="AB11" i="68" s="1"/>
  <c r="R6" i="61"/>
  <c r="N2" i="61"/>
  <c r="M2" i="61"/>
  <c r="O296" i="61"/>
  <c r="O295" i="61"/>
  <c r="O303" i="61"/>
  <c r="O302" i="61"/>
  <c r="O297" i="61"/>
  <c r="O300" i="61"/>
  <c r="O299" i="61"/>
  <c r="O309" i="61"/>
  <c r="W11" i="68"/>
  <c r="O315" i="61"/>
  <c r="O306" i="61"/>
  <c r="O313" i="61"/>
  <c r="O310" i="61"/>
  <c r="O314" i="61"/>
  <c r="O311" i="61"/>
  <c r="O304" i="61"/>
  <c r="O317" i="61"/>
  <c r="P317" i="61" s="1"/>
  <c r="O312" i="61"/>
  <c r="O307" i="61"/>
  <c r="O318" i="61"/>
  <c r="P318" i="61" s="1"/>
  <c r="O316" i="61"/>
  <c r="O294" i="61"/>
  <c r="O301" i="61"/>
  <c r="O308" i="61"/>
  <c r="W6" i="68"/>
  <c r="H6" i="68" l="1"/>
  <c r="U6" i="68" s="1"/>
  <c r="V6" i="68" s="1"/>
  <c r="AB6" i="68" s="1"/>
  <c r="E13" i="68"/>
  <c r="F13" i="68"/>
  <c r="W9" i="68"/>
  <c r="H9" i="68"/>
  <c r="W5" i="68"/>
  <c r="G13" i="68"/>
  <c r="G14" i="68" s="1"/>
  <c r="C13" i="68"/>
  <c r="H5" i="68"/>
  <c r="D13" i="68"/>
  <c r="P2" i="61"/>
  <c r="R2" i="61"/>
  <c r="P308" i="61"/>
  <c r="P300" i="61"/>
  <c r="P311" i="61"/>
  <c r="P302" i="61"/>
  <c r="P303" i="61"/>
  <c r="P297" i="61"/>
  <c r="P310" i="61"/>
  <c r="P299" i="61"/>
  <c r="P301" i="61"/>
  <c r="P309" i="61"/>
  <c r="P296" i="61"/>
  <c r="P307" i="61"/>
  <c r="O319" i="61"/>
  <c r="P294" i="61"/>
  <c r="P295" i="61"/>
  <c r="O6" i="68" l="1"/>
  <c r="H13" i="68"/>
  <c r="U13" i="68" s="1"/>
  <c r="W13" i="68"/>
  <c r="O5" i="68"/>
  <c r="O14" i="68" s="1"/>
  <c r="U5" i="68"/>
  <c r="V5" i="68" s="1"/>
  <c r="AB5" i="68" s="1"/>
  <c r="U9" i="68"/>
  <c r="V9" i="68" s="1"/>
  <c r="AB9" i="68" s="1"/>
  <c r="O9" i="68"/>
  <c r="H14" i="68" l="1"/>
  <c r="O13" i="68"/>
  <c r="H7" i="49" l="1"/>
  <c r="N305" i="61" l="1"/>
  <c r="H7" i="56"/>
  <c r="H4" i="49" l="1"/>
  <c r="H6" i="49"/>
  <c r="V10" i="46" l="1"/>
  <c r="P39" i="55" l="1"/>
  <c r="Q20" i="52" l="1"/>
  <c r="L20" i="52"/>
  <c r="I3" i="50" l="1"/>
  <c r="I8" i="50" s="1"/>
  <c r="I20" i="43"/>
  <c r="H3" i="49" l="1"/>
  <c r="H10" i="49" s="1"/>
  <c r="O11" i="37" l="1"/>
  <c r="O9" i="37"/>
  <c r="O14" i="37"/>
  <c r="Q14" i="37" s="1"/>
  <c r="O13" i="37"/>
  <c r="O12" i="37"/>
  <c r="O8" i="37"/>
  <c r="Q8" i="37" s="1"/>
  <c r="O7" i="37"/>
  <c r="O6" i="37"/>
  <c r="O5" i="37"/>
  <c r="O4" i="37"/>
  <c r="O3" i="37"/>
  <c r="P10" i="46" l="1"/>
  <c r="Q33" i="45" l="1"/>
  <c r="L33" i="45"/>
  <c r="F28" i="43" l="1"/>
  <c r="Q4" i="35" l="1"/>
  <c r="L3" i="35"/>
  <c r="L130" i="35" s="1"/>
  <c r="Q3" i="37" l="1"/>
  <c r="Q49" i="37" s="1"/>
  <c r="Q4" i="37"/>
  <c r="Q5" i="37"/>
  <c r="Q6" i="37"/>
  <c r="L4" i="37"/>
  <c r="L5" i="37"/>
  <c r="L6" i="37"/>
  <c r="L7" i="37"/>
  <c r="Q7" i="37" s="1"/>
  <c r="L9" i="37"/>
  <c r="Q9" i="37" s="1"/>
  <c r="L10" i="37"/>
  <c r="Q10" i="37" s="1"/>
  <c r="L11" i="37"/>
  <c r="Q11" i="37" s="1"/>
  <c r="L12" i="37"/>
  <c r="Q12" i="37" s="1"/>
  <c r="L13" i="37"/>
  <c r="Q13" i="37" s="1"/>
  <c r="I8" i="43" l="1"/>
  <c r="I7" i="43" l="1"/>
  <c r="I6" i="43"/>
  <c r="I5" i="43"/>
  <c r="I4" i="43"/>
  <c r="I3" i="43"/>
  <c r="I28" i="43" l="1"/>
  <c r="L3" i="37" l="1"/>
  <c r="L49" i="37" s="1"/>
  <c r="Q3" i="35" l="1"/>
  <c r="Q130" i="35" s="1"/>
  <c r="P314" i="61" l="1"/>
  <c r="N316" i="61" l="1"/>
  <c r="P316" i="61" s="1"/>
  <c r="P312" i="61" l="1"/>
  <c r="P313" i="61" l="1"/>
  <c r="N319" i="61" l="1"/>
  <c r="P319" i="61" s="1"/>
  <c r="P315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25" authorId="0" shapeId="0" xr:uid="{99B7B83E-4F05-4E89-B607-FB8225A6BD27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입고량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일부만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W25" authorId="0" shapeId="0" xr:uid="{BDD5179F-DB6F-4145-95E6-A9E70968ADC6}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타현장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9" authorId="0" shapeId="0" xr:uid="{9DD51F4F-CB0C-4AEB-93B7-65FB88473053}">
      <text>
        <r>
          <rPr>
            <b/>
            <sz val="9"/>
            <color indexed="81"/>
            <rFont val="Tahoma"/>
            <family val="2"/>
          </rPr>
          <t xml:space="preserve">5/9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  <comment ref="B40" authorId="0" shapeId="0" xr:uid="{D08C126D-14BC-46DC-973E-A1332E38D787}">
      <text>
        <r>
          <rPr>
            <b/>
            <sz val="9"/>
            <color indexed="81"/>
            <rFont val="Tahoma"/>
            <family val="2"/>
          </rPr>
          <t xml:space="preserve">5/9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  <comment ref="R210" authorId="0" shapeId="0" xr:uid="{6CE82DEA-9FAB-4A41-88C1-4103F99761A9}">
      <text>
        <r>
          <rPr>
            <b/>
            <sz val="9"/>
            <color indexed="81"/>
            <rFont val="돋움"/>
            <family val="3"/>
            <charset val="129"/>
          </rPr>
          <t>무상</t>
        </r>
      </text>
    </comment>
    <comment ref="R211" authorId="0" shapeId="0" xr:uid="{CB7EF61B-66FB-41CF-BB46-82CE49B9AF4D}">
      <text>
        <r>
          <rPr>
            <b/>
            <sz val="9"/>
            <color indexed="81"/>
            <rFont val="돋움"/>
            <family val="3"/>
            <charset val="129"/>
          </rPr>
          <t>무상</t>
        </r>
      </text>
    </comment>
    <comment ref="B224" authorId="0" shapeId="0" xr:uid="{78EFCACB-7E3E-4B0C-8803-A10EDF32D7EC}">
      <text>
        <r>
          <rPr>
            <b/>
            <sz val="9"/>
            <color indexed="81"/>
            <rFont val="Tahoma"/>
            <family val="2"/>
          </rPr>
          <t xml:space="preserve">6/2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  <comment ref="J239" authorId="0" shapeId="0" xr:uid="{78F152EB-F43D-4FDA-A52F-A6819FEE97B4}">
      <text>
        <r>
          <rPr>
            <b/>
            <sz val="9"/>
            <color indexed="81"/>
            <rFont val="돋움"/>
            <family val="3"/>
            <charset val="129"/>
          </rPr>
          <t>알코아</t>
        </r>
      </text>
    </comment>
    <comment ref="J240" authorId="0" shapeId="0" xr:uid="{536AFD70-DBD5-4290-BAB4-573673275D8F}">
      <text>
        <r>
          <rPr>
            <b/>
            <sz val="9"/>
            <color indexed="81"/>
            <rFont val="돋움"/>
            <family val="3"/>
            <charset val="129"/>
          </rPr>
          <t>알코아</t>
        </r>
      </text>
    </comment>
    <comment ref="R251" authorId="0" shapeId="0" xr:uid="{3B73E065-1306-479C-A8F3-D71726508D34}">
      <text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차감완료</t>
        </r>
      </text>
    </comment>
    <comment ref="J277" authorId="0" shapeId="0" xr:uid="{6292F1EB-8330-489D-989B-FA6047773EB7}">
      <text>
        <r>
          <rPr>
            <b/>
            <sz val="9"/>
            <color indexed="81"/>
            <rFont val="돋움"/>
            <family val="3"/>
            <charset val="129"/>
          </rPr>
          <t>투플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물량</t>
        </r>
      </text>
    </comment>
    <comment ref="J278" authorId="0" shapeId="0" xr:uid="{40754281-510D-4315-97B2-E67EBB8AEA9E}">
      <text>
        <r>
          <rPr>
            <b/>
            <sz val="9"/>
            <color indexed="81"/>
            <rFont val="돋움"/>
            <family val="3"/>
            <charset val="129"/>
          </rPr>
          <t>혼합이나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</t>
        </r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</text>
    </comment>
    <comment ref="N296" authorId="0" shapeId="0" xr:uid="{C9CC5D0D-2A15-4FCB-82E0-ED86C79FA48A}">
      <text>
        <r>
          <rPr>
            <b/>
            <sz val="9"/>
            <color indexed="81"/>
            <rFont val="돋움"/>
            <family val="3"/>
            <charset val="129"/>
          </rPr>
          <t>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계근량
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입고량</t>
        </r>
        <r>
          <rPr>
            <b/>
            <sz val="9"/>
            <color indexed="81"/>
            <rFont val="Tahoma"/>
            <family val="2"/>
          </rPr>
          <t xml:space="preserve"> 6,660kg</t>
        </r>
      </text>
    </comment>
    <comment ref="P306" authorId="0" shapeId="0" xr:uid="{B6DC53E9-15CD-473A-95EB-41A37E77AA3F}">
      <text>
        <r>
          <rPr>
            <b/>
            <sz val="9"/>
            <color indexed="81"/>
            <rFont val="돋움"/>
            <family val="3"/>
            <charset val="129"/>
          </rPr>
          <t>차이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N307" authorId="0" shapeId="0" xr:uid="{A752B820-5E31-47D1-8076-FACD4D863EB4}">
      <text>
        <r>
          <rPr>
            <b/>
            <sz val="9"/>
            <color indexed="81"/>
            <rFont val="돋움"/>
            <family val="3"/>
            <charset val="129"/>
          </rPr>
          <t>별건</t>
        </r>
        <r>
          <rPr>
            <b/>
            <sz val="9"/>
            <color indexed="81"/>
            <rFont val="Tahoma"/>
            <family val="2"/>
          </rPr>
          <t>_</t>
        </r>
        <r>
          <rPr>
            <b/>
            <sz val="9"/>
            <color indexed="81"/>
            <rFont val="돋움"/>
            <family val="3"/>
            <charset val="129"/>
          </rPr>
          <t>기타현장</t>
        </r>
        <r>
          <rPr>
            <b/>
            <sz val="9"/>
            <color indexed="81"/>
            <rFont val="Tahoma"/>
            <family val="2"/>
          </rPr>
          <t>_</t>
        </r>
        <r>
          <rPr>
            <b/>
            <sz val="9"/>
            <color indexed="81"/>
            <rFont val="돋움"/>
            <family val="3"/>
            <charset val="129"/>
          </rPr>
          <t>원방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입고현황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젠스엠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펌프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반출</t>
        </r>
      </text>
    </comment>
    <comment ref="N308" authorId="0" shapeId="0" xr:uid="{B4D1A9C0-364F-4EB4-B304-9484713368AC}">
      <text>
        <r>
          <rPr>
            <b/>
            <sz val="9"/>
            <color indexed="81"/>
            <rFont val="돋움"/>
            <family val="3"/>
            <charset val="129"/>
          </rPr>
          <t>별건</t>
        </r>
        <r>
          <rPr>
            <b/>
            <sz val="9"/>
            <color indexed="81"/>
            <rFont val="Tahoma"/>
            <family val="2"/>
          </rPr>
          <t>_</t>
        </r>
        <r>
          <rPr>
            <b/>
            <sz val="9"/>
            <color indexed="81"/>
            <rFont val="돋움"/>
            <family val="3"/>
            <charset val="129"/>
          </rPr>
          <t>기타현장</t>
        </r>
        <r>
          <rPr>
            <b/>
            <sz val="9"/>
            <color indexed="81"/>
            <rFont val="Tahoma"/>
            <family val="2"/>
          </rPr>
          <t>_</t>
        </r>
        <r>
          <rPr>
            <b/>
            <sz val="9"/>
            <color indexed="81"/>
            <rFont val="돋움"/>
            <family val="3"/>
            <charset val="129"/>
          </rPr>
          <t>원방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입고현황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정리함</t>
        </r>
      </text>
    </comment>
    <comment ref="N312" authorId="0" shapeId="0" xr:uid="{5CE4FFC7-D136-4A93-9BC8-8FD46C07A1E9}">
      <text>
        <r>
          <rPr>
            <b/>
            <sz val="9"/>
            <color indexed="81"/>
            <rFont val="Tahoma"/>
            <family val="2"/>
          </rPr>
          <t xml:space="preserve">2/26 </t>
        </r>
        <r>
          <rPr>
            <b/>
            <sz val="9"/>
            <color indexed="81"/>
            <rFont val="돋움"/>
            <family val="3"/>
            <charset val="129"/>
          </rPr>
          <t>폐기물</t>
        </r>
        <r>
          <rPr>
            <b/>
            <sz val="9"/>
            <color indexed="81"/>
            <rFont val="Tahoma"/>
            <family val="2"/>
          </rPr>
          <t xml:space="preserve"> 1,150kg </t>
        </r>
        <r>
          <rPr>
            <b/>
            <sz val="9"/>
            <color indexed="81"/>
            <rFont val="돋움"/>
            <family val="3"/>
            <charset val="129"/>
          </rPr>
          <t>예상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O317" authorId="0" shapeId="0" xr:uid="{8DD8869A-5B57-49D9-865F-C303591CCF93}">
      <text>
        <r>
          <rPr>
            <b/>
            <sz val="9"/>
            <color indexed="81"/>
            <rFont val="돋움"/>
            <family val="3"/>
            <charset val="129"/>
          </rPr>
          <t>그린스톤산업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폐기물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직납</t>
        </r>
        <r>
          <rPr>
            <b/>
            <sz val="9"/>
            <color indexed="81"/>
            <rFont val="Tahoma"/>
            <family val="2"/>
          </rPr>
          <t xml:space="preserve"> 320,310kg 
</t>
        </r>
        <r>
          <rPr>
            <b/>
            <sz val="9"/>
            <color indexed="81"/>
            <rFont val="돋움"/>
            <family val="3"/>
            <charset val="129"/>
          </rPr>
          <t>크로스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결제분</t>
        </r>
      </text>
    </comment>
    <comment ref="P319" authorId="0" shapeId="0" xr:uid="{D33035A3-EC72-46E4-9FB2-D5578BBB6AFD}">
      <text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출고량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42" authorId="0" shapeId="0" xr:uid="{3DFC5E82-E2E0-4724-A856-299A375073D5}">
      <text>
        <r>
          <rPr>
            <b/>
            <sz val="9"/>
            <color indexed="81"/>
            <rFont val="돋움"/>
            <family val="3"/>
            <charset val="129"/>
          </rPr>
          <t>알코아</t>
        </r>
      </text>
    </comment>
    <comment ref="I43" authorId="0" shapeId="0" xr:uid="{C4B1F813-8A24-42AA-8B94-BC980E0978B6}">
      <text>
        <r>
          <rPr>
            <b/>
            <sz val="9"/>
            <color indexed="81"/>
            <rFont val="돋움"/>
            <family val="3"/>
            <charset val="129"/>
          </rPr>
          <t>알코아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0" authorId="0" shapeId="0" xr:uid="{1331520B-EE1E-4835-BF0B-C2FF522146C5}">
      <text>
        <r>
          <rPr>
            <b/>
            <sz val="9"/>
            <color indexed="81"/>
            <rFont val="Tahoma"/>
            <family val="2"/>
          </rPr>
          <t xml:space="preserve">5/9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  <comment ref="A11" authorId="0" shapeId="0" xr:uid="{F277F7E5-DF94-46DB-94BF-996E93C6BED5}">
      <text>
        <r>
          <rPr>
            <b/>
            <sz val="9"/>
            <color indexed="81"/>
            <rFont val="Tahoma"/>
            <family val="2"/>
          </rPr>
          <t xml:space="preserve">5/9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4" authorId="0" shapeId="0" xr:uid="{482AE323-2819-4FD4-AC8B-02F1650BAA82}">
      <text>
        <r>
          <rPr>
            <b/>
            <sz val="9"/>
            <color indexed="81"/>
            <rFont val="돋움"/>
            <family val="3"/>
            <charset val="129"/>
          </rPr>
          <t>올바로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중량</t>
        </r>
      </text>
    </comment>
    <comment ref="B6" authorId="0" shapeId="0" xr:uid="{046B847C-157F-4B1A-AA40-E8148ACFD9CD}">
      <text>
        <r>
          <rPr>
            <b/>
            <sz val="9"/>
            <color indexed="81"/>
            <rFont val="Tahoma"/>
            <family val="2"/>
          </rPr>
          <t xml:space="preserve">5/5 </t>
        </r>
        <r>
          <rPr>
            <b/>
            <sz val="9"/>
            <color indexed="81"/>
            <rFont val="돋움"/>
            <family val="3"/>
            <charset val="129"/>
          </rPr>
          <t>도착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4" authorId="0" shapeId="0" xr:uid="{D1E30821-67D5-46E0-BDDB-11C406CCFBF1}">
      <text>
        <r>
          <rPr>
            <b/>
            <sz val="9"/>
            <color indexed="81"/>
            <rFont val="Tahoma"/>
            <family val="2"/>
          </rPr>
          <t xml:space="preserve">5/4 </t>
        </r>
        <r>
          <rPr>
            <b/>
            <sz val="9"/>
            <color indexed="81"/>
            <rFont val="돋움"/>
            <family val="3"/>
            <charset val="129"/>
          </rPr>
          <t>출발</t>
        </r>
      </text>
    </comment>
  </commentList>
</comments>
</file>

<file path=xl/sharedStrings.xml><?xml version="1.0" encoding="utf-8"?>
<sst xmlns="http://schemas.openxmlformats.org/spreadsheetml/2006/main" count="6886" uniqueCount="780">
  <si>
    <t>차량번호</t>
  </si>
  <si>
    <t>거래처명</t>
  </si>
  <si>
    <t>제품명</t>
  </si>
  <si>
    <t>구분</t>
    <phoneticPr fontId="3" type="noConversion"/>
  </si>
  <si>
    <t>계량일</t>
    <phoneticPr fontId="2" type="noConversion"/>
  </si>
  <si>
    <t>출고</t>
    <phoneticPr fontId="2" type="noConversion"/>
  </si>
  <si>
    <t>현장</t>
    <phoneticPr fontId="2" type="noConversion"/>
  </si>
  <si>
    <t>단가(원)</t>
    <phoneticPr fontId="2" type="noConversion"/>
  </si>
  <si>
    <t>금액(원)</t>
    <phoneticPr fontId="2" type="noConversion"/>
  </si>
  <si>
    <t>실중량(kg)</t>
    <phoneticPr fontId="2" type="noConversion"/>
  </si>
  <si>
    <t>비고</t>
    <phoneticPr fontId="2" type="noConversion"/>
  </si>
  <si>
    <t>비  고</t>
    <phoneticPr fontId="2" type="noConversion"/>
  </si>
  <si>
    <t>입금일</t>
    <phoneticPr fontId="2" type="noConversion"/>
  </si>
  <si>
    <t>차종</t>
    <phoneticPr fontId="2" type="noConversion"/>
  </si>
  <si>
    <t>상차지</t>
    <phoneticPr fontId="2" type="noConversion"/>
  </si>
  <si>
    <t>하차지</t>
    <phoneticPr fontId="2" type="noConversion"/>
  </si>
  <si>
    <t>81러3615</t>
    <phoneticPr fontId="2" type="noConversion"/>
  </si>
  <si>
    <t>원방</t>
    <phoneticPr fontId="2" type="noConversion"/>
  </si>
  <si>
    <t>이동</t>
    <phoneticPr fontId="2" type="noConversion"/>
  </si>
  <si>
    <t>충남83아1381</t>
    <phoneticPr fontId="2" type="noConversion"/>
  </si>
  <si>
    <t>공차중량</t>
    <phoneticPr fontId="2" type="noConversion"/>
  </si>
  <si>
    <t>총중량</t>
    <phoneticPr fontId="2" type="noConversion"/>
  </si>
  <si>
    <t>서울90바3606</t>
    <phoneticPr fontId="2" type="noConversion"/>
  </si>
  <si>
    <t>충남83아2315</t>
    <phoneticPr fontId="2" type="noConversion"/>
  </si>
  <si>
    <t>충남80바5023</t>
    <phoneticPr fontId="2" type="noConversion"/>
  </si>
  <si>
    <t>경기91아7095</t>
    <phoneticPr fontId="2" type="noConversion"/>
  </si>
  <si>
    <t>반납</t>
    <phoneticPr fontId="2" type="noConversion"/>
  </si>
  <si>
    <t>현   장</t>
    <phoneticPr fontId="2" type="noConversion"/>
  </si>
  <si>
    <t>입 고 량 (kg)</t>
    <phoneticPr fontId="2" type="noConversion"/>
  </si>
  <si>
    <t>삼성 어린이집</t>
    <phoneticPr fontId="2" type="noConversion"/>
  </si>
  <si>
    <t>듀폰DM동 3층</t>
    <phoneticPr fontId="2" type="noConversion"/>
  </si>
  <si>
    <t>종기원(SR5연구동)</t>
    <phoneticPr fontId="2" type="noConversion"/>
  </si>
  <si>
    <t>합   계</t>
    <phoneticPr fontId="2" type="noConversion"/>
  </si>
  <si>
    <t>96거5789</t>
    <phoneticPr fontId="2" type="noConversion"/>
  </si>
  <si>
    <t>혼합</t>
    <phoneticPr fontId="2" type="noConversion"/>
  </si>
  <si>
    <t>STS304</t>
    <phoneticPr fontId="2" type="noConversion"/>
  </si>
  <si>
    <t>81오1758</t>
  </si>
  <si>
    <t>대신에스티에스</t>
  </si>
  <si>
    <t>96로8332</t>
  </si>
  <si>
    <t>다문산업</t>
    <phoneticPr fontId="2" type="noConversion"/>
  </si>
  <si>
    <t>잡선</t>
  </si>
  <si>
    <t>중선</t>
  </si>
  <si>
    <t>상선</t>
  </si>
  <si>
    <t>A동</t>
  </si>
  <si>
    <t>상동</t>
  </si>
  <si>
    <t>트랜스</t>
  </si>
  <si>
    <t>집게차</t>
    <phoneticPr fontId="2" type="noConversion"/>
  </si>
  <si>
    <t>거래처별 출고 현황 (2025.09.26 ~  )</t>
    <phoneticPr fontId="2" type="noConversion"/>
  </si>
  <si>
    <t>자루 1개</t>
    <phoneticPr fontId="2" type="noConversion"/>
  </si>
  <si>
    <t>윙바디 차량</t>
    <phoneticPr fontId="2" type="noConversion"/>
  </si>
  <si>
    <t>경기89아6390</t>
    <phoneticPr fontId="2" type="noConversion"/>
  </si>
  <si>
    <t>경기83사9117</t>
    <phoneticPr fontId="2" type="noConversion"/>
  </si>
  <si>
    <t>충남80아1374</t>
    <phoneticPr fontId="2" type="noConversion"/>
  </si>
  <si>
    <t>87주8410</t>
    <phoneticPr fontId="2" type="noConversion"/>
  </si>
  <si>
    <t>세화철강</t>
    <phoneticPr fontId="2" type="noConversion"/>
  </si>
  <si>
    <t>고철(중량)</t>
    <phoneticPr fontId="2" type="noConversion"/>
  </si>
  <si>
    <t>원방 계근대 검사 중으로 업체 계근으로 정산</t>
    <phoneticPr fontId="2" type="noConversion"/>
  </si>
  <si>
    <t>구분</t>
    <phoneticPr fontId="2" type="noConversion"/>
  </si>
  <si>
    <t>수량</t>
    <phoneticPr fontId="2" type="noConversion"/>
  </si>
  <si>
    <t>양중박스</t>
    <phoneticPr fontId="2" type="noConversion"/>
  </si>
  <si>
    <t>저니켈강</t>
    <phoneticPr fontId="2" type="noConversion"/>
  </si>
  <si>
    <t>경기85바6491</t>
    <phoneticPr fontId="2" type="noConversion"/>
  </si>
  <si>
    <t>9/29 입금</t>
    <phoneticPr fontId="2" type="noConversion"/>
  </si>
  <si>
    <t>819도9774</t>
    <phoneticPr fontId="2" type="noConversion"/>
  </si>
  <si>
    <t>프로파일 A</t>
    <phoneticPr fontId="2" type="noConversion"/>
  </si>
  <si>
    <t>알판재 60</t>
    <phoneticPr fontId="2" type="noConversion"/>
  </si>
  <si>
    <t>충남83아1305</t>
    <phoneticPr fontId="2" type="noConversion"/>
  </si>
  <si>
    <t>다옴금속</t>
    <phoneticPr fontId="2" type="noConversion"/>
  </si>
  <si>
    <t>9/30 입금</t>
    <phoneticPr fontId="2" type="noConversion"/>
  </si>
  <si>
    <t>SR5</t>
    <phoneticPr fontId="2" type="noConversion"/>
  </si>
  <si>
    <t>96거5789</t>
  </si>
  <si>
    <t>고철(경A)</t>
    <phoneticPr fontId="2" type="noConversion"/>
  </si>
  <si>
    <t>경기94아8163</t>
    <phoneticPr fontId="2" type="noConversion"/>
  </si>
  <si>
    <t>10월 부 양중박스 이동 건은 스크랩 반출차량 List에 정리</t>
    <phoneticPr fontId="2" type="noConversion"/>
  </si>
  <si>
    <t>방통차</t>
    <phoneticPr fontId="2" type="noConversion"/>
  </si>
  <si>
    <t>선진알앤디</t>
  </si>
  <si>
    <t>선진알앤디</t>
    <phoneticPr fontId="2" type="noConversion"/>
  </si>
  <si>
    <t>정산 중량(kg)</t>
    <phoneticPr fontId="2" type="noConversion"/>
  </si>
  <si>
    <t>거래처 감량 전
실중량(kg)</t>
    <phoneticPr fontId="2" type="noConversion"/>
  </si>
  <si>
    <t>감량(kg)</t>
    <phoneticPr fontId="2" type="noConversion"/>
  </si>
  <si>
    <t>공차중량(kg)</t>
    <phoneticPr fontId="2" type="noConversion"/>
  </si>
  <si>
    <t>총중량(kg)</t>
    <phoneticPr fontId="2" type="noConversion"/>
  </si>
  <si>
    <t>이체일</t>
    <phoneticPr fontId="2" type="noConversion"/>
  </si>
  <si>
    <t>주원</t>
    <phoneticPr fontId="2" type="noConversion"/>
  </si>
  <si>
    <t>폐기물</t>
    <phoneticPr fontId="2" type="noConversion"/>
  </si>
  <si>
    <t>대신에스티에스</t>
    <phoneticPr fontId="2" type="noConversion"/>
  </si>
  <si>
    <t>경기85사3817</t>
    <phoneticPr fontId="2" type="noConversion"/>
  </si>
  <si>
    <t>1톤트럭</t>
    <phoneticPr fontId="2" type="noConversion"/>
  </si>
  <si>
    <t>혼합</t>
  </si>
  <si>
    <t>암롤트럭</t>
    <phoneticPr fontId="2" type="noConversion"/>
  </si>
  <si>
    <t>10/2 입금</t>
    <phoneticPr fontId="2" type="noConversion"/>
  </si>
  <si>
    <t>하동</t>
    <phoneticPr fontId="2" type="noConversion"/>
  </si>
  <si>
    <t>고철</t>
    <phoneticPr fontId="2" type="noConversion"/>
  </si>
  <si>
    <t>신주 1(잡A)</t>
    <phoneticPr fontId="2" type="noConversion"/>
  </si>
  <si>
    <t>신주 2(작업신주)</t>
    <phoneticPr fontId="2" type="noConversion"/>
  </si>
  <si>
    <t>작업철(알모터)</t>
    <phoneticPr fontId="2" type="noConversion"/>
  </si>
  <si>
    <t>정산 시 차이 10kg 증량 정산</t>
    <phoneticPr fontId="2" type="noConversion"/>
  </si>
  <si>
    <t>자루 5개, 정산 시 차이 10kg 감량</t>
    <phoneticPr fontId="2" type="noConversion"/>
  </si>
  <si>
    <t>자루 1개, 정산 시 차이 10kg 감량</t>
    <phoneticPr fontId="2" type="noConversion"/>
  </si>
  <si>
    <t>업체 검수 계근</t>
    <phoneticPr fontId="2" type="noConversion"/>
  </si>
  <si>
    <t>자루 1개, 업체 검수 계근</t>
    <phoneticPr fontId="2" type="noConversion"/>
  </si>
  <si>
    <t>검수 고철</t>
    <phoneticPr fontId="2" type="noConversion"/>
  </si>
  <si>
    <t>SR5</t>
  </si>
  <si>
    <t>84라0698</t>
    <phoneticPr fontId="2" type="noConversion"/>
  </si>
  <si>
    <t>크로스창고</t>
    <phoneticPr fontId="2" type="noConversion"/>
  </si>
  <si>
    <t>파렛트</t>
    <phoneticPr fontId="2" type="noConversion"/>
  </si>
  <si>
    <t>제품명</t>
    <phoneticPr fontId="2" type="noConversion"/>
  </si>
  <si>
    <t>고철(중량장척)</t>
    <phoneticPr fontId="2" type="noConversion"/>
  </si>
  <si>
    <t>82모8185</t>
    <phoneticPr fontId="2" type="noConversion"/>
  </si>
  <si>
    <t>알루미늄 B</t>
    <phoneticPr fontId="2" type="noConversion"/>
  </si>
  <si>
    <t>고철(중량장척)</t>
  </si>
  <si>
    <t>다문산업</t>
  </si>
  <si>
    <t>세화철강</t>
  </si>
  <si>
    <t>충남83아1751</t>
    <phoneticPr fontId="2" type="noConversion"/>
  </si>
  <si>
    <t>비계파이프</t>
    <phoneticPr fontId="2" type="noConversion"/>
  </si>
  <si>
    <t>계근 후 2묶음 추가 상차,
서원이엔씨 반납</t>
    <phoneticPr fontId="2" type="noConversion"/>
  </si>
  <si>
    <t>충남80바2810</t>
  </si>
  <si>
    <t>경기96자1089</t>
  </si>
  <si>
    <t>경북80아9218</t>
  </si>
  <si>
    <t>고철(경A)</t>
  </si>
  <si>
    <t>경기84아5972</t>
    <phoneticPr fontId="2" type="noConversion"/>
  </si>
  <si>
    <t>콘데서 등</t>
    <phoneticPr fontId="2" type="noConversion"/>
  </si>
  <si>
    <t>SR5현장 반출물 반납</t>
    <phoneticPr fontId="2" type="noConversion"/>
  </si>
  <si>
    <t>STS304</t>
  </si>
  <si>
    <t>기흥 어린이집</t>
    <phoneticPr fontId="2" type="noConversion"/>
  </si>
  <si>
    <t>어테치</t>
    <phoneticPr fontId="2" type="noConversion"/>
  </si>
  <si>
    <t>6975 로베드</t>
    <phoneticPr fontId="2" type="noConversion"/>
  </si>
  <si>
    <t>DX320 굴착기</t>
    <phoneticPr fontId="2" type="noConversion"/>
  </si>
  <si>
    <t>입고</t>
    <phoneticPr fontId="2" type="noConversion"/>
  </si>
  <si>
    <t>버켓</t>
    <phoneticPr fontId="2" type="noConversion"/>
  </si>
  <si>
    <t>채버켓, 펄버라이저</t>
    <phoneticPr fontId="2" type="noConversion"/>
  </si>
  <si>
    <t>인천80아8306</t>
  </si>
  <si>
    <t>고철(철근)</t>
  </si>
  <si>
    <t>고철(철근)</t>
    <phoneticPr fontId="2" type="noConversion"/>
  </si>
  <si>
    <t>살수기</t>
    <phoneticPr fontId="2" type="noConversion"/>
  </si>
  <si>
    <t>철판</t>
    <phoneticPr fontId="2" type="noConversion"/>
  </si>
  <si>
    <t>충남83아1815</t>
    <phoneticPr fontId="2" type="noConversion"/>
  </si>
  <si>
    <t>035굴착기</t>
    <phoneticPr fontId="2" type="noConversion"/>
  </si>
  <si>
    <t>전북80사5648</t>
  </si>
  <si>
    <t>SR5 현장 살수기 하차 후 어린이집 하차</t>
    <phoneticPr fontId="2" type="noConversion"/>
  </si>
  <si>
    <t>검수 저니켈강</t>
    <phoneticPr fontId="2" type="noConversion"/>
  </si>
  <si>
    <t>350굴착기, 어테치</t>
    <phoneticPr fontId="2" type="noConversion"/>
  </si>
  <si>
    <t>경기85자5663</t>
    <phoneticPr fontId="2" type="noConversion"/>
  </si>
  <si>
    <t>로베드, 명일 10/31 하차</t>
    <phoneticPr fontId="2" type="noConversion"/>
  </si>
  <si>
    <t>인천80자1932</t>
  </si>
  <si>
    <t>인천95바4643</t>
  </si>
  <si>
    <t>충남94바3226</t>
  </si>
  <si>
    <t>서울 상계동</t>
    <phoneticPr fontId="2" type="noConversion"/>
  </si>
  <si>
    <t>로베드</t>
    <phoneticPr fontId="2" type="noConversion"/>
  </si>
  <si>
    <t>30T지게차</t>
    <phoneticPr fontId="2" type="noConversion"/>
  </si>
  <si>
    <t>부산99사8605</t>
    <phoneticPr fontId="2" type="noConversion"/>
  </si>
  <si>
    <t>세화철강 들러서 추가 어테치 상차</t>
    <phoneticPr fontId="2" type="noConversion"/>
  </si>
  <si>
    <t>인천80자1912</t>
  </si>
  <si>
    <t>인천80자1923</t>
  </si>
  <si>
    <t>인천85바3859</t>
  </si>
  <si>
    <t>인천83사9675</t>
  </si>
  <si>
    <t>인천80자1903</t>
  </si>
  <si>
    <t>다옴금속</t>
  </si>
  <si>
    <t>인천80자1904</t>
  </si>
  <si>
    <t>인천80자1917</t>
  </si>
  <si>
    <t>어린이집</t>
    <phoneticPr fontId="2" type="noConversion"/>
  </si>
  <si>
    <t>마대 3개 9kg 감량</t>
    <phoneticPr fontId="2" type="noConversion"/>
  </si>
  <si>
    <t>서울88아3514</t>
  </si>
  <si>
    <t>서울87아7712</t>
  </si>
  <si>
    <t>89러0134</t>
  </si>
  <si>
    <t>중동</t>
  </si>
  <si>
    <t>신안산업개발</t>
    <phoneticPr fontId="2" type="noConversion"/>
  </si>
  <si>
    <t>82모8185</t>
  </si>
  <si>
    <t>대구84아9559</t>
  </si>
  <si>
    <t>기간 25/10/31 ~</t>
    <phoneticPr fontId="2" type="noConversion"/>
  </si>
  <si>
    <t>기간 25/09/17~ 25/10/15(완료)</t>
    <phoneticPr fontId="2" type="noConversion"/>
  </si>
  <si>
    <t>기간 25/11/19 ~ 25/11/21(완료)</t>
    <phoneticPr fontId="2" type="noConversion"/>
  </si>
  <si>
    <t>87주8410</t>
  </si>
  <si>
    <t>삼성물산</t>
    <phoneticPr fontId="2" type="noConversion"/>
  </si>
  <si>
    <t>삼성물산 2차</t>
    <phoneticPr fontId="2" type="noConversion"/>
  </si>
  <si>
    <t>다옴메탈</t>
    <phoneticPr fontId="2" type="noConversion"/>
  </si>
  <si>
    <t>기간 25/11/20 ~ 25/11/26(완료)</t>
    <phoneticPr fontId="2" type="noConversion"/>
  </si>
  <si>
    <t>안산공장</t>
    <phoneticPr fontId="2" type="noConversion"/>
  </si>
  <si>
    <t>충남82바1054</t>
  </si>
  <si>
    <t>대전87아8321</t>
  </si>
  <si>
    <t>구매</t>
    <phoneticPr fontId="2" type="noConversion"/>
  </si>
  <si>
    <t>STS 안산공장</t>
    <phoneticPr fontId="2" type="noConversion"/>
  </si>
  <si>
    <t>카고</t>
    <phoneticPr fontId="2" type="noConversion"/>
  </si>
  <si>
    <t>대전87아5975</t>
  </si>
  <si>
    <t>정민산업</t>
    <phoneticPr fontId="2" type="noConversion"/>
  </si>
  <si>
    <t>대전89아7686</t>
  </si>
  <si>
    <t>투플러스</t>
    <phoneticPr fontId="2" type="noConversion"/>
  </si>
  <si>
    <t>자회사 출고</t>
    <phoneticPr fontId="2" type="noConversion"/>
  </si>
  <si>
    <t>인천85바9168</t>
  </si>
  <si>
    <t>폐전선</t>
    <phoneticPr fontId="2" type="noConversion"/>
  </si>
  <si>
    <t>출고</t>
  </si>
  <si>
    <t>폐판넬</t>
    <phoneticPr fontId="2" type="noConversion"/>
  </si>
  <si>
    <t>STS304장척</t>
    <phoneticPr fontId="2" type="noConversion"/>
  </si>
  <si>
    <t>기간 25/12/01 ~25/12/11(완료)</t>
    <phoneticPr fontId="2" type="noConversion"/>
  </si>
  <si>
    <t>고철(중A)</t>
  </si>
  <si>
    <t>파란 양중박스 1개
안산공장 -&gt;원방 일부 하차 후 이동
양중박스 반납 완료</t>
    <phoneticPr fontId="2" type="noConversion"/>
  </si>
  <si>
    <t>부산 삼성전기</t>
    <phoneticPr fontId="2" type="noConversion"/>
  </si>
  <si>
    <t>STS316</t>
    <phoneticPr fontId="2" type="noConversion"/>
  </si>
  <si>
    <t>검수 STS304</t>
    <phoneticPr fontId="2" type="noConversion"/>
  </si>
  <si>
    <t>신주</t>
    <phoneticPr fontId="2" type="noConversion"/>
  </si>
  <si>
    <t>기간 12/19(완료)
유리하이텍 매매 반납 설비</t>
    <phoneticPr fontId="2" type="noConversion"/>
  </si>
  <si>
    <t>기타(그린코리아)</t>
    <phoneticPr fontId="2" type="noConversion"/>
  </si>
  <si>
    <t>경기85사3405</t>
    <phoneticPr fontId="2" type="noConversion"/>
  </si>
  <si>
    <t>기간 25/12/27(완료)</t>
    <phoneticPr fontId="2" type="noConversion"/>
  </si>
  <si>
    <t>SK하이닉스 유휴설비</t>
    <phoneticPr fontId="2" type="noConversion"/>
  </si>
  <si>
    <t>기간 25/12/12 ~25/12/27(완료)</t>
    <phoneticPr fontId="2" type="noConversion"/>
  </si>
  <si>
    <t>86노1445</t>
    <phoneticPr fontId="2" type="noConversion"/>
  </si>
  <si>
    <t>탱크</t>
    <phoneticPr fontId="2" type="noConversion"/>
  </si>
  <si>
    <t>삼성</t>
    <phoneticPr fontId="2" type="noConversion"/>
  </si>
  <si>
    <t>기간 25/12/30(완료)</t>
    <phoneticPr fontId="2" type="noConversion"/>
  </si>
  <si>
    <t>크로스특수</t>
    <phoneticPr fontId="2" type="noConversion"/>
  </si>
  <si>
    <t>에스아이케미칼</t>
    <phoneticPr fontId="2" type="noConversion"/>
  </si>
  <si>
    <t>PP파렛트</t>
    <phoneticPr fontId="2" type="noConversion"/>
  </si>
  <si>
    <t>rpp자재,잡자재</t>
    <phoneticPr fontId="2" type="noConversion"/>
  </si>
  <si>
    <t>충남85아1162</t>
    <phoneticPr fontId="2" type="noConversion"/>
  </si>
  <si>
    <t>경기80바1502</t>
    <phoneticPr fontId="2" type="noConversion"/>
  </si>
  <si>
    <t>전진유압상사</t>
    <phoneticPr fontId="2" type="noConversion"/>
  </si>
  <si>
    <t>고철(산소장척)</t>
    <phoneticPr fontId="2" type="noConversion"/>
  </si>
  <si>
    <t>인천 LT메탈</t>
    <phoneticPr fontId="2" type="noConversion"/>
  </si>
  <si>
    <t>기간 26/01/09 ~</t>
    <phoneticPr fontId="2" type="noConversion"/>
  </si>
  <si>
    <t>인천85아5409</t>
  </si>
  <si>
    <t>(기간25/07/16~25/09/01)-17,240kg
듀폰 출고현황에 정리
기간 25/09/12 ~ 26/01/14(완료)</t>
    <phoneticPr fontId="2" type="noConversion"/>
  </si>
  <si>
    <t>덤프트럭</t>
    <phoneticPr fontId="2" type="noConversion"/>
  </si>
  <si>
    <t>라지에이타</t>
    <phoneticPr fontId="2" type="noConversion"/>
  </si>
  <si>
    <t>덤프트럭</t>
  </si>
  <si>
    <t>인천86아1820</t>
  </si>
  <si>
    <t>현장별 출고량(kg)</t>
    <phoneticPr fontId="2" type="noConversion"/>
  </si>
  <si>
    <t>혼합 출고량</t>
    <phoneticPr fontId="2" type="noConversion"/>
  </si>
  <si>
    <t>82서3367</t>
  </si>
  <si>
    <t>오성금속</t>
  </si>
  <si>
    <t>STS304CU</t>
  </si>
  <si>
    <t>크로스 창고</t>
    <phoneticPr fontId="2" type="noConversion"/>
  </si>
  <si>
    <t>도림리 창고</t>
    <phoneticPr fontId="2" type="noConversion"/>
  </si>
  <si>
    <t>크로스 재고 원방 입고 후 출고</t>
    <phoneticPr fontId="2" type="noConversion"/>
  </si>
  <si>
    <t>작업철</t>
    <phoneticPr fontId="2" type="noConversion"/>
  </si>
  <si>
    <t>86노1445</t>
  </si>
  <si>
    <t>고철(경B)</t>
    <phoneticPr fontId="2" type="noConversion"/>
  </si>
  <si>
    <t>기타(한양 듀폰)</t>
    <phoneticPr fontId="2" type="noConversion"/>
  </si>
  <si>
    <t>서울 잠실동</t>
    <phoneticPr fontId="2" type="noConversion"/>
  </si>
  <si>
    <t>암롤트럭</t>
  </si>
  <si>
    <t>기타</t>
    <phoneticPr fontId="2" type="noConversion"/>
  </si>
  <si>
    <t>포스코_KM_안산</t>
    <phoneticPr fontId="2" type="noConversion"/>
  </si>
  <si>
    <t>현대_크로스_군산</t>
  </si>
  <si>
    <t>현대_크로스_군산</t>
    <phoneticPr fontId="2" type="noConversion"/>
  </si>
  <si>
    <t>삼성_대도_온양</t>
  </si>
  <si>
    <t>삼성_대도_온양</t>
    <phoneticPr fontId="2" type="noConversion"/>
  </si>
  <si>
    <t>고철(경A+B)</t>
  </si>
  <si>
    <t>최명동 집게차</t>
    <phoneticPr fontId="2" type="noConversion"/>
  </si>
  <si>
    <t>고철(경B)</t>
  </si>
  <si>
    <t>운전자</t>
    <phoneticPr fontId="2" type="noConversion"/>
  </si>
  <si>
    <t>배민국</t>
    <phoneticPr fontId="2" type="noConversion"/>
  </si>
  <si>
    <t>최명동</t>
    <phoneticPr fontId="2" type="noConversion"/>
  </si>
  <si>
    <t>김현수</t>
    <phoneticPr fontId="2" type="noConversion"/>
  </si>
  <si>
    <t>원방에서 계근 후 직납</t>
  </si>
  <si>
    <t>이민수</t>
    <phoneticPr fontId="2" type="noConversion"/>
  </si>
  <si>
    <t>고철(경량)</t>
  </si>
  <si>
    <t>고철(중AL)</t>
    <phoneticPr fontId="2" type="noConversion"/>
  </si>
  <si>
    <t>이민수</t>
  </si>
  <si>
    <t>이윤희</t>
  </si>
  <si>
    <t>010-8770-9101</t>
  </si>
  <si>
    <t>연락처</t>
    <phoneticPr fontId="2" type="noConversion"/>
  </si>
  <si>
    <t>방통차</t>
  </si>
  <si>
    <t>원방</t>
  </si>
  <si>
    <t>집게차</t>
  </si>
  <si>
    <t>포스코_KM_안산</t>
  </si>
  <si>
    <t>김태정</t>
    <phoneticPr fontId="2" type="noConversion"/>
  </si>
  <si>
    <t>도솔환경</t>
    <phoneticPr fontId="2" type="noConversion"/>
  </si>
  <si>
    <t>내화벽돌</t>
    <phoneticPr fontId="2" type="noConversion"/>
  </si>
  <si>
    <t>기간 26/03/06 ~</t>
    <phoneticPr fontId="2" type="noConversion"/>
  </si>
  <si>
    <t>최명동</t>
  </si>
  <si>
    <t>010-7997-2485</t>
  </si>
  <si>
    <t>고철(빔장척)</t>
  </si>
  <si>
    <t>고철(중량)</t>
  </si>
  <si>
    <t>삼성바이오_대도_송도</t>
    <phoneticPr fontId="2" type="noConversion"/>
  </si>
  <si>
    <t>카고</t>
  </si>
  <si>
    <t>기간 26/02/24 ~</t>
    <phoneticPr fontId="2" type="noConversion"/>
  </si>
  <si>
    <t>투플러스</t>
  </si>
  <si>
    <t>폐판넬</t>
  </si>
  <si>
    <t>010-3311-8084</t>
    <phoneticPr fontId="2" type="noConversion"/>
  </si>
  <si>
    <t>010-8282-5885</t>
  </si>
  <si>
    <t>010-5315-1508</t>
    <phoneticPr fontId="2" type="noConversion"/>
  </si>
  <si>
    <t>김현수</t>
  </si>
  <si>
    <t>010-5315-1508</t>
  </si>
  <si>
    <t>고철(산소장척)</t>
  </si>
  <si>
    <t>기간 26/03/04 ~</t>
    <phoneticPr fontId="2" type="noConversion"/>
  </si>
  <si>
    <t>폐합성수지</t>
    <phoneticPr fontId="2" type="noConversion"/>
  </si>
  <si>
    <t>폐합성수지</t>
  </si>
  <si>
    <t>재 고 량(kg)</t>
    <phoneticPr fontId="2" type="noConversion"/>
  </si>
  <si>
    <t>도솔환경</t>
  </si>
  <si>
    <t>김태정</t>
  </si>
  <si>
    <t>010-3311-8084</t>
  </si>
  <si>
    <t>배민국</t>
  </si>
  <si>
    <t>010-9110-0126</t>
  </si>
  <si>
    <t>저니켈강</t>
  </si>
  <si>
    <t>도림리 창고 출고분 반영</t>
    <phoneticPr fontId="2" type="noConversion"/>
  </si>
  <si>
    <t>기간 26/02/13 ~26/03/23</t>
    <phoneticPr fontId="2" type="noConversion"/>
  </si>
  <si>
    <t>기간 25/09/26 ~26/03/16</t>
    <phoneticPr fontId="2" type="noConversion"/>
  </si>
  <si>
    <t>*캔디가 상동보다 300원 더 비쌈</t>
    <phoneticPr fontId="2" type="noConversion"/>
  </si>
  <si>
    <t>크로스-&gt;원방</t>
    <phoneticPr fontId="2" type="noConversion"/>
  </si>
  <si>
    <t>투플러스-&gt;원방</t>
    <phoneticPr fontId="2" type="noConversion"/>
  </si>
  <si>
    <t>스크랩 이동</t>
    <phoneticPr fontId="2" type="noConversion"/>
  </si>
  <si>
    <t>에어컨, 실외기</t>
    <phoneticPr fontId="2" type="noConversion"/>
  </si>
  <si>
    <t>크로스에서 판매 예정</t>
    <phoneticPr fontId="2" type="noConversion"/>
  </si>
  <si>
    <t>기간 26/02/13 ~26/04/02</t>
    <phoneticPr fontId="2" type="noConversion"/>
  </si>
  <si>
    <t>현대제철_대도_당진</t>
    <phoneticPr fontId="2" type="noConversion"/>
  </si>
  <si>
    <t>현대제철_대도_당진</t>
  </si>
  <si>
    <t>기간 26/04/10 ~</t>
    <phoneticPr fontId="2" type="noConversion"/>
  </si>
  <si>
    <t>기간 26/02/10, 03/03, 03/13, 4/13</t>
    <phoneticPr fontId="2" type="noConversion"/>
  </si>
  <si>
    <t>무상</t>
    <phoneticPr fontId="2" type="noConversion"/>
  </si>
  <si>
    <t>기타 현장</t>
    <phoneticPr fontId="2" type="noConversion"/>
  </si>
  <si>
    <t>84러0698</t>
    <phoneticPr fontId="2" type="noConversion"/>
  </si>
  <si>
    <t>기간 25/12/16(젠스엠),
26/01/06 ~ 26/04/18(진풍, 대도)</t>
    <phoneticPr fontId="2" type="noConversion"/>
  </si>
  <si>
    <t>84나4888</t>
    <phoneticPr fontId="2" type="noConversion"/>
  </si>
  <si>
    <t>기타 현장</t>
  </si>
  <si>
    <t>동우PL1린텍_크로스_평택</t>
  </si>
  <si>
    <t>동우PL1린텍_크로스_평택</t>
    <phoneticPr fontId="2" type="noConversion"/>
  </si>
  <si>
    <t>이용화</t>
  </si>
  <si>
    <t>010-3323-9265</t>
  </si>
  <si>
    <t>기간 26/04/21 ~</t>
    <phoneticPr fontId="2" type="noConversion"/>
  </si>
  <si>
    <t>김상철</t>
  </si>
  <si>
    <t>010-7107-6000</t>
  </si>
  <si>
    <t>대도_서울 상계동</t>
    <phoneticPr fontId="2" type="noConversion"/>
  </si>
  <si>
    <t>잠실동 실내철거</t>
    <phoneticPr fontId="2" type="noConversion"/>
  </si>
  <si>
    <t>서울82바4890</t>
  </si>
  <si>
    <t>인천80사7274</t>
  </si>
  <si>
    <t>경기80바7145</t>
  </si>
  <si>
    <t>충북91아2060</t>
  </si>
  <si>
    <t>조병태</t>
  </si>
  <si>
    <t>010-9082-6354</t>
  </si>
  <si>
    <t>서건식</t>
  </si>
  <si>
    <t>010-9037-6416</t>
  </si>
  <si>
    <t>고철(경C)</t>
  </si>
  <si>
    <t>서울87아8165</t>
  </si>
  <si>
    <t>서울88아4910</t>
  </si>
  <si>
    <t>84나4888</t>
  </si>
  <si>
    <t>이민규</t>
    <phoneticPr fontId="2" type="noConversion"/>
  </si>
  <si>
    <t>010-5899-9660</t>
    <phoneticPr fontId="2" type="noConversion"/>
  </si>
  <si>
    <t>듀폰3공장</t>
    <phoneticPr fontId="2" type="noConversion"/>
  </si>
  <si>
    <t>거래처별 출고 현황 (2025.10.10 ~  )</t>
    <phoneticPr fontId="2" type="noConversion"/>
  </si>
  <si>
    <t>NO.</t>
    <phoneticPr fontId="3" type="noConversion"/>
  </si>
  <si>
    <t>프로젝트명</t>
    <phoneticPr fontId="3" type="noConversion"/>
  </si>
  <si>
    <t>스크랩
소계</t>
    <phoneticPr fontId="3" type="noConversion"/>
  </si>
  <si>
    <t>폐기물
소계</t>
    <phoneticPr fontId="3" type="noConversion"/>
  </si>
  <si>
    <t>비고</t>
    <phoneticPr fontId="3" type="noConversion"/>
  </si>
  <si>
    <t>대도_서울 상계동</t>
  </si>
  <si>
    <t>현대_크로스_군산</t>
    <phoneticPr fontId="3" type="noConversion"/>
  </si>
  <si>
    <t>잠실동 실내철거</t>
  </si>
  <si>
    <t>기타 현장</t>
    <phoneticPr fontId="3" type="noConversion"/>
  </si>
  <si>
    <t>종료 현장</t>
    <phoneticPr fontId="3" type="noConversion"/>
  </si>
  <si>
    <t>총 합계</t>
    <phoneticPr fontId="3" type="noConversion"/>
  </si>
  <si>
    <t>※ 종료된 현장 제외</t>
    <phoneticPr fontId="3" type="noConversion"/>
  </si>
  <si>
    <t>단위 : kg</t>
    <phoneticPr fontId="3" type="noConversion"/>
  </si>
  <si>
    <t>폐기물</t>
    <phoneticPr fontId="3" type="noConversion"/>
  </si>
  <si>
    <t>스크랩</t>
    <phoneticPr fontId="3" type="noConversion"/>
  </si>
  <si>
    <t>총 출고량</t>
    <phoneticPr fontId="3" type="noConversion"/>
  </si>
  <si>
    <t>고철(세화, 선진)</t>
    <phoneticPr fontId="3" type="noConversion"/>
  </si>
  <si>
    <t>스텐(대신)</t>
    <phoneticPr fontId="3" type="noConversion"/>
  </si>
  <si>
    <t>AL(다옴)</t>
    <phoneticPr fontId="2" type="noConversion"/>
  </si>
  <si>
    <t>LT메탈_대도_인천</t>
    <phoneticPr fontId="3" type="noConversion"/>
  </si>
  <si>
    <t>전선 외(다문)</t>
    <phoneticPr fontId="3" type="noConversion"/>
  </si>
  <si>
    <t>주원</t>
    <phoneticPr fontId="3" type="noConversion"/>
  </si>
  <si>
    <t>주원(KM)</t>
  </si>
  <si>
    <t>주원(KM)</t>
    <phoneticPr fontId="3" type="noConversion"/>
  </si>
  <si>
    <t>스크랩 금액</t>
    <phoneticPr fontId="2" type="noConversion"/>
  </si>
  <si>
    <t>폐기물 금액</t>
    <phoneticPr fontId="2" type="noConversion"/>
  </si>
  <si>
    <t>비   고</t>
    <phoneticPr fontId="2" type="noConversion"/>
  </si>
  <si>
    <t>스크랩 입고량</t>
    <phoneticPr fontId="2" type="noConversion"/>
  </si>
  <si>
    <t>스크랩 출고량</t>
    <phoneticPr fontId="2" type="noConversion"/>
  </si>
  <si>
    <t>폐기물 입고량</t>
    <phoneticPr fontId="2" type="noConversion"/>
  </si>
  <si>
    <t>스크랩 재고량</t>
    <phoneticPr fontId="2" type="noConversion"/>
  </si>
  <si>
    <t>폐기물 재고량</t>
    <phoneticPr fontId="2" type="noConversion"/>
  </si>
  <si>
    <t>폐기물 출고량</t>
    <phoneticPr fontId="2" type="noConversion"/>
  </si>
  <si>
    <t>종료 현장</t>
    <phoneticPr fontId="2" type="noConversion"/>
  </si>
  <si>
    <t>크로스에서 정산</t>
    <phoneticPr fontId="2" type="noConversion"/>
  </si>
  <si>
    <t>ㅁ 현장별 총 입출고량 및 재고량</t>
    <phoneticPr fontId="2" type="noConversion"/>
  </si>
  <si>
    <t>5/6 입금</t>
    <phoneticPr fontId="2" type="noConversion"/>
  </si>
  <si>
    <t>5/7부 10원 인상</t>
    <phoneticPr fontId="2" type="noConversion"/>
  </si>
  <si>
    <t>검수 316장척</t>
    <phoneticPr fontId="2" type="noConversion"/>
  </si>
  <si>
    <t>STS316장척</t>
    <phoneticPr fontId="2" type="noConversion"/>
  </si>
  <si>
    <t>4/22 분류계근량 입력</t>
  </si>
  <si>
    <t>총중량에서 상계동 510kg 차감</t>
  </si>
  <si>
    <t>작년 재고, 마대 2개 감량</t>
  </si>
  <si>
    <t>마대3개 감량</t>
  </si>
  <si>
    <t>5/7 입금</t>
    <phoneticPr fontId="2" type="noConversion"/>
  </si>
  <si>
    <t>5/4상차 명일 하차</t>
    <phoneticPr fontId="2" type="noConversion"/>
  </si>
  <si>
    <t>계근차</t>
    <phoneticPr fontId="2" type="noConversion"/>
  </si>
  <si>
    <t>블로어</t>
    <phoneticPr fontId="2" type="noConversion"/>
  </si>
  <si>
    <t>투플 계근, 블로어(송풍기)필요</t>
    <phoneticPr fontId="2" type="noConversion"/>
  </si>
  <si>
    <t>인계일</t>
    <phoneticPr fontId="2" type="noConversion"/>
  </si>
  <si>
    <t>올바로</t>
    <phoneticPr fontId="2" type="noConversion"/>
  </si>
  <si>
    <t>프로젝트명</t>
  </si>
  <si>
    <t>프로젝트명</t>
    <phoneticPr fontId="2" type="noConversion"/>
  </si>
  <si>
    <t>총 재고량
(스크랩,폐기물)</t>
    <phoneticPr fontId="2" type="noConversion"/>
  </si>
  <si>
    <t>분류계근 5/9 60kg</t>
    <phoneticPr fontId="2" type="noConversion"/>
  </si>
  <si>
    <t>분류계근 4/23 10kg, 5/8 90kg</t>
    <phoneticPr fontId="2" type="noConversion"/>
  </si>
  <si>
    <t>듀폰3공장(2025년 반출물), 기타현장으로 정리(4/28 SR5 분류계근 1,810kg포함)</t>
    <phoneticPr fontId="2" type="noConversion"/>
  </si>
  <si>
    <t>분류계근 4/29 120kg,
4/29 780kg예상</t>
    <phoneticPr fontId="2" type="noConversion"/>
  </si>
  <si>
    <t>5/8 분류계근 건 입력, 5/9 출고</t>
  </si>
  <si>
    <t>5/8 분류계근 건 입력, 5/9 출고</t>
    <phoneticPr fontId="2" type="noConversion"/>
  </si>
  <si>
    <t>O</t>
  </si>
  <si>
    <t>도솔환경산업</t>
  </si>
  <si>
    <t>폐콘크리트</t>
  </si>
  <si>
    <t>010-9992-4447</t>
  </si>
  <si>
    <t>5/11 입금</t>
    <phoneticPr fontId="2" type="noConversion"/>
  </si>
  <si>
    <t>직납, 주원 계근</t>
    <phoneticPr fontId="2" type="noConversion"/>
  </si>
  <si>
    <t>O</t>
    <phoneticPr fontId="2" type="noConversion"/>
  </si>
  <si>
    <t>주원(KM)</t>
    <phoneticPr fontId="2" type="noConversion"/>
  </si>
  <si>
    <t>명일 5/8 하차</t>
  </si>
  <si>
    <t>분류계근 4/25 710kg, 5/4 230kg외
마대 5개 10kg 감량</t>
    <phoneticPr fontId="2" type="noConversion"/>
  </si>
  <si>
    <t>충남94바3450</t>
  </si>
  <si>
    <t>구형서</t>
  </si>
  <si>
    <t>010-4889-4456</t>
  </si>
  <si>
    <t>전남80바2667</t>
  </si>
  <si>
    <t>김기용</t>
  </si>
  <si>
    <t>010-2811-2300</t>
  </si>
  <si>
    <t>캔디</t>
  </si>
  <si>
    <t>전남86바1578</t>
  </si>
  <si>
    <t>김영윤</t>
  </si>
  <si>
    <t>010-3999-1056</t>
  </si>
  <si>
    <t>4/3 분류, 4/22 입고분 반영</t>
  </si>
  <si>
    <t>4/8, 5/9 분류계근</t>
  </si>
  <si>
    <t>4/3 분류계근 반영</t>
  </si>
  <si>
    <t>5/11 분류계근 건</t>
  </si>
  <si>
    <t>안산 반정도씩 담긴 7자루</t>
  </si>
  <si>
    <t>3/26, 4/1, 4/20 분류계근,
4/9 이동 재고 반영</t>
    <phoneticPr fontId="2" type="noConversion"/>
  </si>
  <si>
    <t>상계동, 군산 차감 후</t>
    <phoneticPr fontId="2" type="noConversion"/>
  </si>
  <si>
    <t>군산, 당진 차감 후</t>
    <phoneticPr fontId="2" type="noConversion"/>
  </si>
  <si>
    <t>5/12 입금</t>
    <phoneticPr fontId="2" type="noConversion"/>
  </si>
  <si>
    <t>LT메탈 남동공장</t>
    <phoneticPr fontId="3" type="noConversion"/>
  </si>
  <si>
    <t>총합계</t>
  </si>
  <si>
    <t>2025년</t>
  </si>
  <si>
    <t>9월</t>
  </si>
  <si>
    <t>2026년</t>
  </si>
  <si>
    <t>5월</t>
  </si>
  <si>
    <t>출고일(년, 월)</t>
  </si>
  <si>
    <t>정산 금액(원)</t>
  </si>
  <si>
    <t>1톤트럭</t>
  </si>
  <si>
    <t>81구6225</t>
  </si>
  <si>
    <t>모넬400</t>
  </si>
  <si>
    <t>마대 1개 감량</t>
  </si>
  <si>
    <t>현장</t>
  </si>
  <si>
    <t>경기90자2889</t>
  </si>
  <si>
    <t>배조성</t>
  </si>
  <si>
    <t>010-4737-6803</t>
  </si>
  <si>
    <t>경기80바7139</t>
  </si>
  <si>
    <t>정민산업</t>
  </si>
  <si>
    <t>탱크</t>
  </si>
  <si>
    <t>반납</t>
  </si>
  <si>
    <t>페이퍼허니컴판넬</t>
  </si>
  <si>
    <t>직납, 포스코 계근 8,220kg</t>
  </si>
  <si>
    <t>직납, 포스코 계근 5,420kg</t>
  </si>
  <si>
    <t>X</t>
    <phoneticPr fontId="2" type="noConversion"/>
  </si>
  <si>
    <t>배출자</t>
    <phoneticPr fontId="2" type="noConversion"/>
  </si>
  <si>
    <t>케이엠티엘에스</t>
  </si>
  <si>
    <t>케이엠티엘에스</t>
    <phoneticPr fontId="2" type="noConversion"/>
  </si>
  <si>
    <t>크로스특수</t>
  </si>
  <si>
    <t>5/14 입금</t>
    <phoneticPr fontId="2" type="noConversion"/>
  </si>
  <si>
    <t>5/8, 5/12 STS304장척 검수</t>
    <phoneticPr fontId="2" type="noConversion"/>
  </si>
  <si>
    <t>5/4부 중, 경량 10원, 5/7 10원 인상</t>
    <phoneticPr fontId="2" type="noConversion"/>
  </si>
  <si>
    <t>5/12부 15원 인상 경량 455원, 중량 480원</t>
    <phoneticPr fontId="2" type="noConversion"/>
  </si>
  <si>
    <t>트렌스 작업철</t>
  </si>
  <si>
    <t>자루 2개-&gt;6개</t>
    <phoneticPr fontId="2" type="noConversion"/>
  </si>
  <si>
    <t>현장에서 알려 줌</t>
    <phoneticPr fontId="2" type="noConversion"/>
  </si>
  <si>
    <t>안산꺼 차감, 자루2개</t>
    <phoneticPr fontId="2" type="noConversion"/>
  </si>
  <si>
    <t>잡선(47%)</t>
    <phoneticPr fontId="2" type="noConversion"/>
  </si>
  <si>
    <t>단선_2mm선(65%)</t>
    <phoneticPr fontId="2" type="noConversion"/>
  </si>
  <si>
    <r>
      <t xml:space="preserve">3/23 ~ 4/9 분류계근 건 일부, </t>
    </r>
    <r>
      <rPr>
        <sz val="11"/>
        <rFont val="돋움"/>
        <family val="3"/>
        <charset val="129"/>
      </rPr>
      <t>자루7개</t>
    </r>
    <phoneticPr fontId="2" type="noConversion"/>
  </si>
  <si>
    <t>수율 47%</t>
    <phoneticPr fontId="2" type="noConversion"/>
  </si>
  <si>
    <t>중동기준 단가</t>
    <phoneticPr fontId="2" type="noConversion"/>
  </si>
  <si>
    <t>상차일</t>
    <phoneticPr fontId="2" type="noConversion"/>
  </si>
  <si>
    <t>이종화</t>
  </si>
  <si>
    <t>010-5396-9846</t>
  </si>
  <si>
    <t>경기80바6092</t>
  </si>
  <si>
    <t>5/15 입금</t>
    <phoneticPr fontId="2" type="noConversion"/>
  </si>
  <si>
    <t>김문중</t>
  </si>
  <si>
    <t>010-6667-8255</t>
  </si>
  <si>
    <t>김기범</t>
  </si>
  <si>
    <t>010-7700-7041</t>
  </si>
  <si>
    <t>임상현</t>
  </si>
  <si>
    <t>010-4714-8294</t>
  </si>
  <si>
    <t>김태동</t>
  </si>
  <si>
    <t>010-7504-1068</t>
  </si>
  <si>
    <t>박인규</t>
  </si>
  <si>
    <t>010-5332-9890</t>
  </si>
  <si>
    <t>홍정희</t>
  </si>
  <si>
    <t>010-6224-9825</t>
  </si>
  <si>
    <t>경기93자8201</t>
  </si>
  <si>
    <t>김민욱</t>
  </si>
  <si>
    <t>010-7139-2998</t>
  </si>
  <si>
    <t>최원곤</t>
  </si>
  <si>
    <t>010-6495-2983</t>
  </si>
  <si>
    <t>이종하</t>
  </si>
  <si>
    <t>이민규</t>
  </si>
  <si>
    <t>010-5899-9660</t>
  </si>
  <si>
    <t>정현철</t>
  </si>
  <si>
    <t>010-3873-2063</t>
  </si>
  <si>
    <t>계근차 90kg</t>
  </si>
  <si>
    <t>이물질 500kg 감량</t>
    <phoneticPr fontId="2" type="noConversion"/>
  </si>
  <si>
    <t>5/18 입금</t>
    <phoneticPr fontId="2" type="noConversion"/>
  </si>
  <si>
    <t>최한영</t>
  </si>
  <si>
    <t>010-9651-9909</t>
  </si>
  <si>
    <t>박영재</t>
  </si>
  <si>
    <t>010-5063-2467</t>
  </si>
  <si>
    <t>2025년 재고, 하스텔로이</t>
    <phoneticPr fontId="2" type="noConversion"/>
  </si>
  <si>
    <t>마대 1개 감량, 몰디브덴</t>
    <phoneticPr fontId="2" type="noConversion"/>
  </si>
  <si>
    <t>안산 60%, 자루 7개 감량</t>
    <phoneticPr fontId="2" type="noConversion"/>
  </si>
  <si>
    <t>군산 40%, 자루 4개 감량</t>
    <phoneticPr fontId="2" type="noConversion"/>
  </si>
  <si>
    <t>자루 13개 감량</t>
    <phoneticPr fontId="2" type="noConversion"/>
  </si>
  <si>
    <t>C-22(하스텔로이)</t>
    <phoneticPr fontId="2" type="noConversion"/>
  </si>
  <si>
    <t>MO(몰디브덴)</t>
    <phoneticPr fontId="2" type="noConversion"/>
  </si>
  <si>
    <t>서재하</t>
  </si>
  <si>
    <t>010-9027-1162</t>
  </si>
  <si>
    <t>더스트 400kg 감량</t>
    <phoneticPr fontId="2" type="noConversion"/>
  </si>
  <si>
    <t>5/18분 부터 20원 인상해 줌</t>
    <phoneticPr fontId="2" type="noConversion"/>
  </si>
  <si>
    <t xml:space="preserve">일부 상차하여 세화 계근 정산 </t>
    <phoneticPr fontId="2" type="noConversion"/>
  </si>
  <si>
    <t>마대 1개 감량</t>
    <phoneticPr fontId="2" type="noConversion"/>
  </si>
  <si>
    <t>5/19 입금</t>
    <phoneticPr fontId="2" type="noConversion"/>
  </si>
  <si>
    <t>마대 2개 감량</t>
    <phoneticPr fontId="2" type="noConversion"/>
  </si>
  <si>
    <t>고무롤</t>
  </si>
  <si>
    <t>충남80바7815</t>
  </si>
  <si>
    <t>5/20 입금</t>
    <phoneticPr fontId="2" type="noConversion"/>
  </si>
  <si>
    <t>4/29 당진 분류 STS304</t>
    <phoneticPr fontId="2" type="noConversion"/>
  </si>
  <si>
    <t>LT메탈 남동공장</t>
    <phoneticPr fontId="2" type="noConversion"/>
  </si>
  <si>
    <t>세화 계근 중량 입력</t>
    <phoneticPr fontId="2" type="noConversion"/>
  </si>
  <si>
    <t>충남06노1592</t>
  </si>
  <si>
    <t>전종식</t>
  </si>
  <si>
    <t>충남06노1598</t>
  </si>
  <si>
    <t>임지환</t>
  </si>
  <si>
    <t>충남06고1626</t>
  </si>
  <si>
    <t>양명석</t>
  </si>
  <si>
    <t>충남06고3191</t>
  </si>
  <si>
    <t>이준호</t>
  </si>
  <si>
    <t>충남06모5639</t>
  </si>
  <si>
    <t>조성환</t>
  </si>
  <si>
    <t>크로스 정산</t>
  </si>
  <si>
    <t>크로스 정산</t>
    <phoneticPr fontId="2" type="noConversion"/>
  </si>
  <si>
    <t>원방 운반</t>
    <phoneticPr fontId="2" type="noConversion"/>
  </si>
  <si>
    <t>곽노하</t>
  </si>
  <si>
    <t>010-5315-3802</t>
  </si>
  <si>
    <t>5/19 동우 폐기물 입고분</t>
    <phoneticPr fontId="2" type="noConversion"/>
  </si>
  <si>
    <t>동우 차감한 중량</t>
    <phoneticPr fontId="2" type="noConversion"/>
  </si>
  <si>
    <t>LT메탈 남동공장</t>
  </si>
  <si>
    <t>(모두)</t>
  </si>
  <si>
    <t>원방 실중량(kg)</t>
  </si>
  <si>
    <t>정산중량(kg)</t>
  </si>
  <si>
    <t>정산금액(원)</t>
  </si>
  <si>
    <t>배출자</t>
  </si>
  <si>
    <t>■ 현장별 스크랩 출고 현황</t>
    <phoneticPr fontId="3" type="noConversion"/>
  </si>
  <si>
    <t>■ 현장별 폐기물 출고 현황</t>
    <phoneticPr fontId="3" type="noConversion"/>
  </si>
  <si>
    <t>■ 월별 스크랩 출고현황</t>
    <phoneticPr fontId="3" type="noConversion"/>
  </si>
  <si>
    <t>5/21 입금</t>
    <phoneticPr fontId="2" type="noConversion"/>
  </si>
  <si>
    <t>입고량</t>
    <phoneticPr fontId="2" type="noConversion"/>
  </si>
  <si>
    <t>재고량</t>
    <phoneticPr fontId="2" type="noConversion"/>
  </si>
  <si>
    <t>93버4384</t>
  </si>
  <si>
    <t>한강그린</t>
  </si>
  <si>
    <t>변압기</t>
  </si>
  <si>
    <t>인천86아6863</t>
  </si>
  <si>
    <t>86가7213</t>
  </si>
  <si>
    <t>806거1970</t>
  </si>
  <si>
    <t>81부6706</t>
  </si>
  <si>
    <t>1차중량에 자석 300kg 증량</t>
    <phoneticPr fontId="2" type="noConversion"/>
  </si>
  <si>
    <t>작업철</t>
  </si>
  <si>
    <t>올바로 입력 값으로 정산예정</t>
    <phoneticPr fontId="2" type="noConversion"/>
  </si>
  <si>
    <t>고철(중철C)</t>
  </si>
  <si>
    <t>STS310</t>
  </si>
  <si>
    <t>벽돌 있었지만 감량x</t>
    <phoneticPr fontId="2" type="noConversion"/>
  </si>
  <si>
    <t>개수 정산, 통 계산</t>
  </si>
  <si>
    <t>개수 정산, 통 계산</t>
    <phoneticPr fontId="2" type="noConversion"/>
  </si>
  <si>
    <t>탱크로리</t>
    <phoneticPr fontId="2" type="noConversion"/>
  </si>
  <si>
    <t>84두0416</t>
    <phoneticPr fontId="2" type="noConversion"/>
  </si>
  <si>
    <t>한강그린</t>
    <phoneticPr fontId="2" type="noConversion"/>
  </si>
  <si>
    <t>절연유</t>
    <phoneticPr fontId="2" type="noConversion"/>
  </si>
  <si>
    <t>5/22 입금</t>
    <phoneticPr fontId="2" type="noConversion"/>
  </si>
  <si>
    <t>심충우</t>
  </si>
  <si>
    <t>010-2801-5063</t>
  </si>
  <si>
    <t>자루 2개</t>
  </si>
  <si>
    <t>세화 계근으로 정산</t>
  </si>
  <si>
    <t>계근량 동일하여 세화계근으로 입력</t>
  </si>
  <si>
    <t>듀폰 천안공장</t>
    <phoneticPr fontId="2" type="noConversion"/>
  </si>
  <si>
    <t>STS304(작업철)</t>
  </si>
  <si>
    <t>대신에서 계근, 마대3개 감량, 열교환기 포함(단가 1,500원)</t>
  </si>
  <si>
    <t>81구3225</t>
  </si>
  <si>
    <t>STS304롤</t>
  </si>
  <si>
    <t>현장 혼합, 5/12 부 전품목 15원 인상 후 추가 인상</t>
    <phoneticPr fontId="2" type="noConversion"/>
  </si>
  <si>
    <t>경기82바8403</t>
    <phoneticPr fontId="2" type="noConversion"/>
  </si>
  <si>
    <t>주호중</t>
    <phoneticPr fontId="2" type="noConversion"/>
  </si>
  <si>
    <t>010-5482-1235</t>
    <phoneticPr fontId="2" type="noConversion"/>
  </si>
  <si>
    <t>동우 일부 섞임.</t>
  </si>
  <si>
    <t>주원 계근 정산</t>
  </si>
  <si>
    <t>주원 계근 정산</t>
    <phoneticPr fontId="2" type="noConversion"/>
  </si>
  <si>
    <t>일부 동우 반출물 섞임.</t>
  </si>
  <si>
    <t>동우 혼합 반출량 차감</t>
  </si>
  <si>
    <t>안산10%정도 혼합량 차감</t>
  </si>
  <si>
    <t>유압유</t>
    <phoneticPr fontId="2" type="noConversion"/>
  </si>
  <si>
    <t>5/26 입금</t>
    <phoneticPr fontId="2" type="noConversion"/>
  </si>
  <si>
    <t>5/8 파이프 구매</t>
    <phoneticPr fontId="2" type="noConversion"/>
  </si>
  <si>
    <t>5/15 드럼 5개 구매</t>
    <phoneticPr fontId="2" type="noConversion"/>
  </si>
  <si>
    <t>파이프</t>
    <phoneticPr fontId="2" type="noConversion"/>
  </si>
  <si>
    <t>드럼</t>
    <phoneticPr fontId="2" type="noConversion"/>
  </si>
  <si>
    <t>5/27 입금</t>
    <phoneticPr fontId="2" type="noConversion"/>
  </si>
  <si>
    <t>탱크 2개</t>
    <phoneticPr fontId="2" type="noConversion"/>
  </si>
  <si>
    <t>충남80아4034</t>
  </si>
  <si>
    <t>충남80아4034</t>
    <phoneticPr fontId="2" type="noConversion"/>
  </si>
  <si>
    <t>5/25부 10원 인상</t>
    <phoneticPr fontId="2" type="noConversion"/>
  </si>
  <si>
    <t>동우와 혼합 출고분, 검수고철 차감</t>
    <phoneticPr fontId="2" type="noConversion"/>
  </si>
  <si>
    <t>검수 304 차감</t>
    <phoneticPr fontId="2" type="noConversion"/>
  </si>
  <si>
    <t>검수 고철 차감</t>
    <phoneticPr fontId="2" type="noConversion"/>
  </si>
  <si>
    <t>5/28 입금</t>
    <phoneticPr fontId="2" type="noConversion"/>
  </si>
  <si>
    <t>대전87아5426</t>
  </si>
  <si>
    <t>노성래</t>
  </si>
  <si>
    <t>010-5421-2238</t>
  </si>
  <si>
    <t>한창용</t>
  </si>
  <si>
    <t>010-2566-7740</t>
  </si>
  <si>
    <t>송악계량증명소 계근</t>
  </si>
  <si>
    <t>세화 계근</t>
  </si>
  <si>
    <t>5/29 입금</t>
    <phoneticPr fontId="2" type="noConversion"/>
  </si>
  <si>
    <t>송악계량증명소 계근, 이물질 감량</t>
    <phoneticPr fontId="2" type="noConversion"/>
  </si>
  <si>
    <t xml:space="preserve">DC모터 분류_상동 5/28 140kg, 5/29 760kg </t>
    <phoneticPr fontId="2" type="noConversion"/>
  </si>
  <si>
    <t>비젼월드</t>
    <phoneticPr fontId="2" type="noConversion"/>
  </si>
  <si>
    <t>폐목재</t>
    <phoneticPr fontId="2" type="noConversion"/>
  </si>
  <si>
    <t>당진 1,100kg 차감</t>
  </si>
  <si>
    <t>5/28 입고분</t>
    <phoneticPr fontId="2" type="noConversion"/>
  </si>
  <si>
    <t>당진 원방에서 계근 후 직납</t>
    <phoneticPr fontId="2" type="noConversion"/>
  </si>
  <si>
    <t>충남80아4194</t>
    <phoneticPr fontId="2" type="noConversion"/>
  </si>
  <si>
    <t>이근학</t>
    <phoneticPr fontId="2" type="noConversion"/>
  </si>
  <si>
    <t>010-3198-8472</t>
    <phoneticPr fontId="2" type="noConversion"/>
  </si>
  <si>
    <t>공주 단지리 74-1</t>
  </si>
  <si>
    <t>공주 단지리 74-1</t>
    <phoneticPr fontId="2" type="noConversion"/>
  </si>
  <si>
    <t>조상갑</t>
    <phoneticPr fontId="2" type="noConversion"/>
  </si>
  <si>
    <t>010-5408-0449</t>
    <phoneticPr fontId="2" type="noConversion"/>
  </si>
  <si>
    <t>모터</t>
  </si>
  <si>
    <t>규소 강판</t>
  </si>
  <si>
    <t>6월</t>
  </si>
  <si>
    <t>5/31자 발행
6/1 입금</t>
    <phoneticPr fontId="2" type="noConversion"/>
  </si>
  <si>
    <t>6/1기준 단가</t>
    <phoneticPr fontId="2" type="noConversion"/>
  </si>
  <si>
    <t>일괄 안산으로 마대 5개 10kg 감량</t>
    <phoneticPr fontId="2" type="noConversion"/>
  </si>
  <si>
    <t>마대 1개 감량, 6/1부 100원 인상</t>
    <phoneticPr fontId="2" type="noConversion"/>
  </si>
  <si>
    <t>자석 중간 하차로 원방 1차중량에서 300kg 차감함</t>
    <phoneticPr fontId="2" type="noConversion"/>
  </si>
  <si>
    <t>성태규</t>
  </si>
  <si>
    <t>010-9049-6769</t>
  </si>
  <si>
    <t>명일 하차</t>
  </si>
  <si>
    <t>6/2 입금</t>
    <phoneticPr fontId="2" type="noConversion"/>
  </si>
  <si>
    <t>폐아스콘</t>
  </si>
  <si>
    <t>도솔 계근 정산</t>
    <phoneticPr fontId="2" type="noConversion"/>
  </si>
  <si>
    <t>6/1 입금</t>
    <phoneticPr fontId="2" type="noConversion"/>
  </si>
  <si>
    <t>AL 라지에이타</t>
  </si>
  <si>
    <t>경북82아6875</t>
  </si>
  <si>
    <t>아마추어</t>
  </si>
  <si>
    <t>자루 1개</t>
  </si>
  <si>
    <t>자루 5개, 중동 37% 작업비 450원 차감</t>
  </si>
  <si>
    <t>마대 2개</t>
  </si>
  <si>
    <t>자루 8개</t>
  </si>
  <si>
    <t>STS400</t>
  </si>
  <si>
    <t>STS316</t>
  </si>
  <si>
    <t>인코넬</t>
  </si>
  <si>
    <t>MO(몰디브덴)</t>
  </si>
  <si>
    <t>마대 1개</t>
  </si>
  <si>
    <t>대신에 인코넬 한번에 하차</t>
  </si>
  <si>
    <t>자루 1개, 캔디에 상동 60kg 포함 상차</t>
    <phoneticPr fontId="2" type="noConversion"/>
  </si>
  <si>
    <t>자루 9개, 캔디 상차 분 추가</t>
    <phoneticPr fontId="2" type="noConversion"/>
  </si>
  <si>
    <t>6/4 입금</t>
    <phoneticPr fontId="2" type="noConversion"/>
  </si>
  <si>
    <t>드럼통 11개</t>
    <phoneticPr fontId="2" type="noConversion"/>
  </si>
  <si>
    <t>마대 1개, 6/1 안산 분류계근</t>
    <phoneticPr fontId="2" type="noConversion"/>
  </si>
  <si>
    <t>STS304장척</t>
  </si>
  <si>
    <t>충남80아3416</t>
  </si>
  <si>
    <t>오인섭</t>
  </si>
  <si>
    <t>010-2403-9428</t>
  </si>
  <si>
    <t>sus 탱크</t>
  </si>
  <si>
    <t>010-8282-5885</t>
    <phoneticPr fontId="2" type="noConversion"/>
  </si>
  <si>
    <t>sus 탱크랑 혼합 반출</t>
  </si>
  <si>
    <t>비철 240kg 원방 하차 후 출고</t>
    <phoneticPr fontId="2" type="noConversion"/>
  </si>
  <si>
    <t>6/5 입금</t>
    <phoneticPr fontId="2" type="noConversion"/>
  </si>
  <si>
    <t>자루 10개, 등급 절봉,
4/1, 4/29, 5/9 분류계근 일부</t>
    <phoneticPr fontId="2" type="noConversion"/>
  </si>
  <si>
    <t>5/27~6/1 모터 분류 분, 자루 1개</t>
    <phoneticPr fontId="2" type="noConversion"/>
  </si>
  <si>
    <t>알코아, 마대 1개, 안산 반출물 200kg 차감</t>
    <phoneticPr fontId="2" type="noConversion"/>
  </si>
  <si>
    <t>알코아, 트렌스랑 혼합 반출</t>
    <phoneticPr fontId="2" type="noConversion"/>
  </si>
  <si>
    <t>트렌스 작업철</t>
    <phoneticPr fontId="2" type="noConversion"/>
  </si>
  <si>
    <t>탱크 반출, sus304 혼합량 차감</t>
    <phoneticPr fontId="2" type="noConversion"/>
  </si>
  <si>
    <t>인코넬, 몰디브덴 혼합 반출, 몰디브덴 90%</t>
    <phoneticPr fontId="2" type="noConversion"/>
  </si>
  <si>
    <t>인코넬(NI35%), 마대 1개</t>
    <phoneticPr fontId="2" type="noConversion"/>
  </si>
  <si>
    <t>6/9 입금</t>
    <phoneticPr fontId="2" type="noConversion"/>
  </si>
  <si>
    <t>6/5 발행
6/8 입금</t>
    <phoneticPr fontId="2" type="noConversion"/>
  </si>
  <si>
    <t>5/15 발행
5/15 5억 입금
5/18 4억 입금
외 분할 입금완료</t>
    <phoneticPr fontId="2" type="noConversion"/>
  </si>
  <si>
    <t>6/10 입금</t>
    <phoneticPr fontId="2" type="noConversion"/>
  </si>
  <si>
    <t>전남90바1977</t>
  </si>
  <si>
    <t>삼성전자_이텍솔루션_안성</t>
    <phoneticPr fontId="2" type="noConversion"/>
  </si>
  <si>
    <t>레이</t>
    <phoneticPr fontId="2" type="noConversion"/>
  </si>
  <si>
    <t>196모1540</t>
    <phoneticPr fontId="2" type="noConversion"/>
  </si>
  <si>
    <t>이텍솔루션</t>
    <phoneticPr fontId="2" type="noConversion"/>
  </si>
  <si>
    <t>설비부품</t>
    <phoneticPr fontId="2" type="noConversion"/>
  </si>
  <si>
    <t>현장 계약 금액에 차감되어 구매</t>
    <phoneticPr fontId="2" type="noConversion"/>
  </si>
  <si>
    <t>크로스</t>
    <phoneticPr fontId="2" type="noConversion"/>
  </si>
  <si>
    <t>제일특수</t>
    <phoneticPr fontId="2" type="noConversion"/>
  </si>
  <si>
    <t>김성호</t>
    <phoneticPr fontId="2" type="noConversion"/>
  </si>
  <si>
    <t>010-5495-4460</t>
    <phoneticPr fontId="2" type="noConversion"/>
  </si>
  <si>
    <t>대차</t>
    <phoneticPr fontId="2" type="noConversion"/>
  </si>
  <si>
    <t>5/19 발행,추후 입금</t>
    <phoneticPr fontId="2" type="noConversion"/>
  </si>
  <si>
    <t>6/12 입금</t>
    <phoneticPr fontId="2" type="noConversion"/>
  </si>
  <si>
    <t>듀폰 천안공장</t>
  </si>
  <si>
    <t>삼성전자_이텍솔루션_안성</t>
  </si>
  <si>
    <t>6/13 당진 반출물 출고</t>
  </si>
  <si>
    <t>당진현장과 혼합 출고</t>
  </si>
  <si>
    <t>소화기, 질소통, 작년 SR5 반출물</t>
  </si>
  <si>
    <t>6/13 당진 철거 반출물</t>
  </si>
  <si>
    <t>6/13 당진 반출물</t>
  </si>
  <si>
    <t>혼합 반출물</t>
  </si>
  <si>
    <t>6/15 입금</t>
    <phoneticPr fontId="2" type="noConversion"/>
  </si>
  <si>
    <t>포스코</t>
    <phoneticPr fontId="2" type="noConversion"/>
  </si>
  <si>
    <t>서윤산업</t>
    <phoneticPr fontId="2" type="noConversion"/>
  </si>
  <si>
    <t>폐기물(솔트류)</t>
    <phoneticPr fontId="2" type="noConversion"/>
  </si>
  <si>
    <t>6/8, 6/11 동우 반출물 입고분 이동</t>
    <phoneticPr fontId="2" type="noConversion"/>
  </si>
  <si>
    <t>투플 계근량 입력</t>
    <phoneticPr fontId="2" type="noConversion"/>
  </si>
  <si>
    <t>에코코리아</t>
    <phoneticPr fontId="2" type="noConversion"/>
  </si>
  <si>
    <t>알판재 A</t>
    <phoneticPr fontId="2" type="noConversion"/>
  </si>
  <si>
    <t>알판재 B</t>
    <phoneticPr fontId="2" type="noConversion"/>
  </si>
  <si>
    <t>전북86사3075</t>
    <phoneticPr fontId="2" type="noConversion"/>
  </si>
  <si>
    <t>이창민</t>
    <phoneticPr fontId="2" type="noConversion"/>
  </si>
  <si>
    <t>010-8369-1270</t>
    <phoneticPr fontId="2" type="noConversion"/>
  </si>
  <si>
    <t>마대 14개 28kg 감량</t>
    <phoneticPr fontId="2" type="noConversion"/>
  </si>
  <si>
    <t>마대 2개 4kg 감량</t>
    <phoneticPr fontId="2" type="noConversion"/>
  </si>
  <si>
    <t>6/18 입금</t>
    <phoneticPr fontId="2" type="noConversion"/>
  </si>
  <si>
    <t>우레탄 판넬 일부 포함</t>
  </si>
  <si>
    <t>우레탄 판넬 일부 포함</t>
    <phoneticPr fontId="2" type="noConversion"/>
  </si>
  <si>
    <t>투플 계근량 입력</t>
  </si>
  <si>
    <t>설비부품</t>
  </si>
  <si>
    <t>알판재 A</t>
  </si>
  <si>
    <t>합계 금액(원)</t>
  </si>
  <si>
    <t>에코코리아</t>
  </si>
  <si>
    <t>※ 재고량 :  비철 작업 후 폐기물 포함</t>
    <phoneticPr fontId="2" type="noConversion"/>
  </si>
  <si>
    <t>■ 현장별 제품별 출고 현황</t>
    <phoneticPr fontId="3" type="noConversion"/>
  </si>
  <si>
    <t>마대 4개 12kg, 타현장 1,890kg 차감</t>
    <phoneticPr fontId="2" type="noConversion"/>
  </si>
  <si>
    <t>6/11 반출물 분류 건</t>
  </si>
  <si>
    <t>전북86사4238</t>
    <phoneticPr fontId="2" type="noConversion"/>
  </si>
  <si>
    <t>세화 직납, 감율 1.08%</t>
    <phoneticPr fontId="2" type="noConversion"/>
  </si>
  <si>
    <t>6/23 입금</t>
    <phoneticPr fontId="2" type="noConversion"/>
  </si>
  <si>
    <t>무상, 명일 출고</t>
    <phoneticPr fontId="2" type="noConversion"/>
  </si>
  <si>
    <t>이원영</t>
    <phoneticPr fontId="2" type="noConversion"/>
  </si>
  <si>
    <t>010-9992-4447</t>
    <phoneticPr fontId="2" type="noConversion"/>
  </si>
  <si>
    <t>-</t>
    <phoneticPr fontId="2" type="noConversion"/>
  </si>
  <si>
    <t>88어1563</t>
  </si>
  <si>
    <t>88어1563</t>
    <phoneticPr fontId="2" type="noConversion"/>
  </si>
  <si>
    <t>처리자</t>
    <phoneticPr fontId="2" type="noConversion"/>
  </si>
  <si>
    <t>운반자</t>
    <phoneticPr fontId="2" type="noConversion"/>
  </si>
  <si>
    <t>루베 적용</t>
    <phoneticPr fontId="2" type="noConversion"/>
  </si>
  <si>
    <t>차량회차</t>
    <phoneticPr fontId="2" type="noConversion"/>
  </si>
  <si>
    <t>6/25 삼성_대도_온양 분류 2,070kg</t>
    <phoneticPr fontId="2" type="noConversion"/>
  </si>
  <si>
    <t>6/25 삼성_대도_온양 4,250kg 분류</t>
    <phoneticPr fontId="2" type="noConversion"/>
  </si>
  <si>
    <t>6/26 입금</t>
    <phoneticPr fontId="2" type="noConversion"/>
  </si>
  <si>
    <t>도솔환경산업</t>
    <phoneticPr fontId="2" type="noConversion"/>
  </si>
  <si>
    <t>폐콘크리트</t>
    <phoneticPr fontId="2" type="noConversion"/>
  </si>
  <si>
    <t>회차 차량</t>
    <phoneticPr fontId="2" type="noConversion"/>
  </si>
  <si>
    <t>혼합 2,240kg 차감, 마대 3개 감량</t>
  </si>
  <si>
    <t>6/25 분류</t>
  </si>
  <si>
    <t>6/22 분류</t>
  </si>
  <si>
    <t>NO.</t>
    <phoneticPr fontId="2" type="noConversion"/>
  </si>
  <si>
    <t>페이퍼허니컴판넬</t>
    <phoneticPr fontId="2" type="noConversion"/>
  </si>
  <si>
    <t>경A 단가로 정산</t>
  </si>
  <si>
    <t>경A 단가로 정산</t>
    <phoneticPr fontId="2" type="noConversion"/>
  </si>
  <si>
    <t>6/30 입금</t>
    <phoneticPr fontId="2" type="noConversion"/>
  </si>
  <si>
    <t>경기84아5691</t>
  </si>
  <si>
    <t>이필선</t>
  </si>
  <si>
    <t>010-5877-2833</t>
  </si>
  <si>
    <t>프로파일 A</t>
  </si>
  <si>
    <t>알판재 60</t>
  </si>
  <si>
    <t>삼성 이텍 3,808kg 차감</t>
  </si>
  <si>
    <t>마대 5개 10kg 감량</t>
  </si>
  <si>
    <t>서울88아6699</t>
    <phoneticPr fontId="2" type="noConversion"/>
  </si>
  <si>
    <t>마대 15개 30kg 감량, 에코코리아 1,392kg 차감</t>
    <phoneticPr fontId="2" type="noConversion"/>
  </si>
  <si>
    <t>6/30-451000</t>
    <phoneticPr fontId="2" type="noConversion"/>
  </si>
  <si>
    <t>7/1 입금</t>
    <phoneticPr fontId="2" type="noConversion"/>
  </si>
  <si>
    <t>세화 직납</t>
    <phoneticPr fontId="2" type="noConversion"/>
  </si>
  <si>
    <t>7/2 업체 발행</t>
    <phoneticPr fontId="2" type="noConversion"/>
  </si>
  <si>
    <t>7/2 입금</t>
    <phoneticPr fontId="2" type="noConversion"/>
  </si>
  <si>
    <t>A 샷시</t>
    <phoneticPr fontId="2" type="noConversion"/>
  </si>
  <si>
    <r>
      <t xml:space="preserve">마대 13개 26kg 감량, </t>
    </r>
    <r>
      <rPr>
        <sz val="11"/>
        <color rgb="FF0000FF"/>
        <rFont val="돋움"/>
        <family val="3"/>
        <charset val="129"/>
      </rPr>
      <t>투플 물량</t>
    </r>
    <phoneticPr fontId="2" type="noConversion"/>
  </si>
  <si>
    <t>7/6부 중, 경량 10원 인하</t>
    <phoneticPr fontId="2" type="noConversion"/>
  </si>
  <si>
    <t>차량 회차</t>
    <phoneticPr fontId="2" type="noConversion"/>
  </si>
  <si>
    <t>■ 현장별 재고 현황</t>
    <phoneticPr fontId="3" type="noConversion"/>
  </si>
  <si>
    <t>6/30
출고량</t>
    <phoneticPr fontId="2" type="noConversion"/>
  </si>
  <si>
    <t>6/30
출고 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</si>
</sst>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&quot; 원&quot;"/>
    <numFmt numFmtId="177" formatCode="#,##0&quot; kg&quot;"/>
    <numFmt numFmtId="178" formatCode="#,##0\ &quot; &quot;"/>
    <numFmt numFmtId="179" formatCode="mm&quot;월&quot;\ dd&quot;일&quot;"/>
    <numFmt numFmtId="180" formatCode="_-* #,##0.0_-;\-* #,##0.0_-;_-* &quot;-&quot;_-;_-@_-"/>
    <numFmt numFmtId="181" formatCode="_-* #,##0.00_-;\-* #,##0.00_-;_-* &quot;-&quot;_-;_-@_-"/>
    <numFmt numFmtId="182" formatCode="_-* #,##0.0_-;\-* #,##0.0_-;_-* &quot;-&quot;?_-;_-@_-"/>
    <numFmt numFmtId="183" formatCode="&quot;기준일&quot;\ yyyy/mm/dd"/>
    <numFmt numFmtId="184" formatCode="#,##0_ &quot;원&quot;"/>
    <numFmt numFmtId="185" formatCode="0.0,&quot; t&quot;"/>
  </numFmts>
  <fonts count="4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theme="1"/>
      <name val="돋움"/>
      <family val="3"/>
      <charset val="129"/>
    </font>
    <font>
      <b/>
      <sz val="14"/>
      <color theme="1"/>
      <name val="돋움"/>
      <family val="3"/>
      <charset val="129"/>
    </font>
    <font>
      <sz val="11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돋움"/>
      <family val="3"/>
      <charset val="129"/>
    </font>
    <font>
      <b/>
      <sz val="26"/>
      <color theme="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9"/>
      <color theme="1"/>
      <name val="돋움"/>
      <family val="3"/>
      <charset val="129"/>
    </font>
    <font>
      <sz val="11"/>
      <name val="맑은 고딕"/>
      <family val="3"/>
      <charset val="129"/>
    </font>
    <font>
      <b/>
      <sz val="16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Calibri"/>
      <family val="2"/>
    </font>
    <font>
      <b/>
      <sz val="13"/>
      <color theme="1"/>
      <name val="돋움"/>
      <family val="3"/>
      <charset val="129"/>
    </font>
    <font>
      <sz val="12"/>
      <name val="Malgun Gothic"/>
      <family val="3"/>
      <charset val="129"/>
    </font>
    <font>
      <b/>
      <sz val="8"/>
      <color theme="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</font>
    <font>
      <sz val="11"/>
      <color rgb="FF0000FF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5" tint="0.39997558519241921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auto="1"/>
      </top>
      <bottom style="thin">
        <color theme="0" tint="-0.34998626667073579"/>
      </bottom>
      <diagonal/>
    </border>
    <border>
      <left/>
      <right/>
      <top style="medium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auto="1"/>
      </bottom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/>
      <diagonal/>
    </border>
    <border>
      <left style="medium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/>
      <diagonal/>
    </border>
    <border>
      <left style="thin">
        <color theme="0" tint="-0.34998626667073579"/>
      </left>
      <right style="medium">
        <color auto="1"/>
      </right>
      <top/>
      <bottom style="thin">
        <color theme="0" tint="-0.34998626667073579"/>
      </bottom>
      <diagonal/>
    </border>
    <border>
      <left style="thin">
        <color indexed="64"/>
      </left>
      <right/>
      <top style="medium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medium">
        <color auto="1"/>
      </top>
      <bottom style="thin">
        <color theme="0" tint="-0.34998626667073579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theme="0" tint="-0.34998626667073579"/>
      </top>
      <bottom style="medium">
        <color indexed="64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5"/>
      </top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3" fillId="0" borderId="0"/>
  </cellStyleXfs>
  <cellXfs count="2064">
    <xf numFmtId="0" fontId="0" fillId="0" borderId="0" xfId="0">
      <alignment vertical="center"/>
    </xf>
    <xf numFmtId="41" fontId="4" fillId="0" borderId="0" xfId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7" fillId="3" borderId="1" xfId="1" applyFont="1" applyFill="1" applyBorder="1" applyAlignment="1" applyProtection="1">
      <alignment horizontal="center" vertical="center"/>
    </xf>
    <xf numFmtId="41" fontId="7" fillId="4" borderId="1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41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right" vertical="center"/>
    </xf>
    <xf numFmtId="1" fontId="8" fillId="7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41" fontId="8" fillId="7" borderId="0" xfId="1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41" fontId="0" fillId="7" borderId="0" xfId="1" applyFont="1" applyFill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0" fontId="6" fillId="0" borderId="12" xfId="0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3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3" borderId="13" xfId="1" applyFont="1" applyFill="1" applyBorder="1" applyAlignment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3" borderId="14" xfId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1" fontId="6" fillId="3" borderId="14" xfId="1" applyFont="1" applyFill="1" applyBorder="1" applyAlignment="1" applyProtection="1">
      <alignment horizontal="center" vertical="center"/>
    </xf>
    <xf numFmtId="0" fontId="6" fillId="0" borderId="12" xfId="0" applyFont="1" applyBorder="1" applyAlignment="1">
      <alignment horizontal="left" vertical="center" shrinkToFit="1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shrinkToFit="1"/>
    </xf>
    <xf numFmtId="14" fontId="6" fillId="7" borderId="12" xfId="1" applyNumberFormat="1" applyFont="1" applyFill="1" applyBorder="1" applyAlignment="1" applyProtection="1">
      <alignment horizontal="center" vertical="center"/>
    </xf>
    <xf numFmtId="41" fontId="6" fillId="7" borderId="12" xfId="1" applyFont="1" applyFill="1" applyBorder="1" applyAlignment="1" applyProtection="1">
      <alignment horizontal="center" vertical="center"/>
    </xf>
    <xf numFmtId="41" fontId="6" fillId="3" borderId="12" xfId="1" applyFont="1" applyFill="1" applyBorder="1" applyAlignment="1" applyProtection="1">
      <alignment horizontal="center" vertical="center"/>
    </xf>
    <xf numFmtId="14" fontId="6" fillId="0" borderId="13" xfId="1" applyNumberFormat="1" applyFont="1" applyFill="1" applyBorder="1" applyAlignment="1" applyProtection="1">
      <alignment horizontal="center" vertical="center"/>
    </xf>
    <xf numFmtId="41" fontId="6" fillId="7" borderId="13" xfId="1" applyFont="1" applyFill="1" applyBorder="1" applyAlignment="1" applyProtection="1">
      <alignment horizontal="center" vertical="center"/>
    </xf>
    <xf numFmtId="41" fontId="6" fillId="3" borderId="13" xfId="1" applyFont="1" applyFill="1" applyBorder="1" applyAlignment="1" applyProtection="1">
      <alignment horizontal="center" vertical="center"/>
    </xf>
    <xf numFmtId="41" fontId="6" fillId="0" borderId="22" xfId="1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14" fontId="6" fillId="4" borderId="22" xfId="1" applyNumberFormat="1" applyFont="1" applyFill="1" applyBorder="1" applyAlignment="1" applyProtection="1">
      <alignment horizontal="center" vertical="center"/>
    </xf>
    <xf numFmtId="41" fontId="6" fillId="4" borderId="22" xfId="1" applyFont="1" applyFill="1" applyBorder="1" applyAlignment="1" applyProtection="1">
      <alignment horizontal="center" vertical="center"/>
    </xf>
    <xf numFmtId="0" fontId="16" fillId="4" borderId="25" xfId="0" applyFont="1" applyFill="1" applyBorder="1" applyAlignment="1">
      <alignment horizontal="left" vertical="center" wrapText="1"/>
    </xf>
    <xf numFmtId="0" fontId="16" fillId="4" borderId="26" xfId="0" applyFont="1" applyFill="1" applyBorder="1" applyAlignment="1">
      <alignment horizontal="left" vertical="center" wrapText="1"/>
    </xf>
    <xf numFmtId="0" fontId="16" fillId="4" borderId="27" xfId="0" applyFont="1" applyFill="1" applyBorder="1" applyAlignment="1">
      <alignment horizontal="left" vertical="center" wrapText="1"/>
    </xf>
    <xf numFmtId="41" fontId="6" fillId="3" borderId="15" xfId="1" applyFont="1" applyFill="1" applyBorder="1" applyAlignment="1" applyProtection="1">
      <alignment horizontal="center" vertical="center"/>
    </xf>
    <xf numFmtId="14" fontId="6" fillId="0" borderId="22" xfId="1" applyNumberFormat="1" applyFont="1" applyFill="1" applyBorder="1" applyAlignment="1" applyProtection="1">
      <alignment horizontal="center" vertical="center"/>
    </xf>
    <xf numFmtId="41" fontId="6" fillId="3" borderId="23" xfId="1" applyFont="1" applyFill="1" applyBorder="1" applyAlignment="1" applyProtection="1">
      <alignment horizontal="center" vertical="center"/>
    </xf>
    <xf numFmtId="41" fontId="6" fillId="4" borderId="1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41" fontId="6" fillId="3" borderId="3" xfId="1" applyFont="1" applyFill="1" applyBorder="1" applyAlignment="1" applyProtection="1">
      <alignment horizontal="center" vertical="center"/>
    </xf>
    <xf numFmtId="0" fontId="6" fillId="0" borderId="3" xfId="0" applyFont="1" applyBorder="1" applyAlignment="1">
      <alignment horizontal="center" vertical="center" shrinkToFit="1"/>
    </xf>
    <xf numFmtId="41" fontId="6" fillId="0" borderId="13" xfId="1" applyFont="1" applyFill="1" applyBorder="1" applyAlignment="1" applyProtection="1">
      <alignment horizontal="center" vertical="center"/>
    </xf>
    <xf numFmtId="41" fontId="6" fillId="3" borderId="2" xfId="1" applyFont="1" applyFill="1" applyBorder="1" applyAlignment="1">
      <alignment horizontal="center" vertical="center"/>
    </xf>
    <xf numFmtId="14" fontId="6" fillId="0" borderId="14" xfId="1" applyNumberFormat="1" applyFont="1" applyFill="1" applyBorder="1" applyAlignment="1" applyProtection="1">
      <alignment horizontal="center" vertical="center"/>
    </xf>
    <xf numFmtId="41" fontId="6" fillId="3" borderId="23" xfId="1" applyFont="1" applyFill="1" applyBorder="1" applyAlignment="1">
      <alignment horizontal="center" vertical="center"/>
    </xf>
    <xf numFmtId="14" fontId="6" fillId="8" borderId="14" xfId="0" applyNumberFormat="1" applyFont="1" applyFill="1" applyBorder="1" applyAlignment="1">
      <alignment horizontal="center" vertical="center"/>
    </xf>
    <xf numFmtId="14" fontId="6" fillId="0" borderId="30" xfId="0" applyNumberFormat="1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center" vertical="center"/>
    </xf>
    <xf numFmtId="41" fontId="6" fillId="0" borderId="30" xfId="1" applyFont="1" applyFill="1" applyBorder="1" applyAlignment="1">
      <alignment horizontal="center" vertical="center"/>
    </xf>
    <xf numFmtId="41" fontId="6" fillId="0" borderId="30" xfId="1" applyFont="1" applyFill="1" applyBorder="1" applyAlignment="1" applyProtection="1">
      <alignment horizontal="center" vertical="center"/>
    </xf>
    <xf numFmtId="41" fontId="6" fillId="3" borderId="30" xfId="1" applyFont="1" applyFill="1" applyBorder="1" applyAlignment="1">
      <alignment horizontal="center" vertical="center"/>
    </xf>
    <xf numFmtId="178" fontId="6" fillId="0" borderId="30" xfId="1" applyNumberFormat="1" applyFont="1" applyFill="1" applyBorder="1" applyAlignment="1" applyProtection="1">
      <alignment horizontal="right" vertical="center"/>
    </xf>
    <xf numFmtId="41" fontId="7" fillId="4" borderId="1" xfId="0" applyNumberFormat="1" applyFont="1" applyFill="1" applyBorder="1" applyAlignment="1">
      <alignment horizontal="center" vertical="center"/>
    </xf>
    <xf numFmtId="41" fontId="12" fillId="2" borderId="1" xfId="1" applyFont="1" applyFill="1" applyBorder="1" applyAlignment="1" applyProtection="1">
      <alignment horizontal="center" vertical="center" wrapText="1"/>
    </xf>
    <xf numFmtId="41" fontId="7" fillId="9" borderId="1" xfId="1" applyFont="1" applyFill="1" applyBorder="1" applyAlignment="1" applyProtection="1">
      <alignment horizontal="center" vertical="center"/>
    </xf>
    <xf numFmtId="41" fontId="12" fillId="6" borderId="1" xfId="1" applyFont="1" applyFill="1" applyBorder="1" applyAlignment="1" applyProtection="1">
      <alignment horizontal="center" vertical="center"/>
    </xf>
    <xf numFmtId="41" fontId="7" fillId="10" borderId="1" xfId="1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>
      <alignment horizontal="left" vertical="center" shrinkToFit="1"/>
    </xf>
    <xf numFmtId="1" fontId="6" fillId="11" borderId="1" xfId="0" applyNumberFormat="1" applyFont="1" applyFill="1" applyBorder="1" applyAlignment="1">
      <alignment horizontal="center" vertical="center"/>
    </xf>
    <xf numFmtId="14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1" fontId="6" fillId="11" borderId="1" xfId="1" applyFont="1" applyFill="1" applyBorder="1" applyAlignment="1">
      <alignment horizontal="center" vertical="center"/>
    </xf>
    <xf numFmtId="41" fontId="7" fillId="11" borderId="1" xfId="0" applyNumberFormat="1" applyFont="1" applyFill="1" applyBorder="1" applyAlignment="1">
      <alignment horizontal="center" vertical="center"/>
    </xf>
    <xf numFmtId="41" fontId="6" fillId="11" borderId="1" xfId="0" applyNumberFormat="1" applyFont="1" applyFill="1" applyBorder="1" applyAlignment="1">
      <alignment horizontal="center" vertical="center"/>
    </xf>
    <xf numFmtId="41" fontId="7" fillId="11" borderId="1" xfId="1" applyFont="1" applyFill="1" applyBorder="1" applyAlignment="1" applyProtection="1">
      <alignment horizontal="center" vertical="center"/>
    </xf>
    <xf numFmtId="41" fontId="7" fillId="11" borderId="1" xfId="1" applyFont="1" applyFill="1" applyBorder="1" applyAlignment="1" applyProtection="1">
      <alignment horizontal="center" vertical="center" shrinkToFit="1"/>
    </xf>
    <xf numFmtId="0" fontId="13" fillId="11" borderId="1" xfId="0" applyFont="1" applyFill="1" applyBorder="1" applyAlignment="1">
      <alignment horizontal="center" vertical="center"/>
    </xf>
    <xf numFmtId="41" fontId="8" fillId="0" borderId="0" xfId="1" applyFont="1" applyFill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1" fontId="6" fillId="0" borderId="1" xfId="1" applyFont="1" applyFill="1" applyBorder="1" applyAlignment="1" applyProtection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178" fontId="6" fillId="0" borderId="1" xfId="1" applyNumberFormat="1" applyFont="1" applyFill="1" applyBorder="1" applyAlignment="1" applyProtection="1">
      <alignment horizontal="right" vertical="center"/>
    </xf>
    <xf numFmtId="41" fontId="6" fillId="0" borderId="3" xfId="1" applyFont="1" applyFill="1" applyBorder="1" applyAlignment="1" applyProtection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horizontal="left" vertical="center" shrinkToFit="1"/>
    </xf>
    <xf numFmtId="0" fontId="11" fillId="0" borderId="3" xfId="0" applyFont="1" applyBorder="1" applyAlignment="1">
      <alignment horizontal="left" vertical="center" shrinkToFit="1"/>
    </xf>
    <xf numFmtId="41" fontId="6" fillId="3" borderId="31" xfId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shrinkToFit="1"/>
    </xf>
    <xf numFmtId="14" fontId="6" fillId="0" borderId="3" xfId="0" applyNumberFormat="1" applyFont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14" fontId="6" fillId="0" borderId="3" xfId="0" applyNumberFormat="1" applyFont="1" applyFill="1" applyBorder="1" applyAlignment="1">
      <alignment horizontal="center" vertical="center"/>
    </xf>
    <xf numFmtId="179" fontId="13" fillId="0" borderId="0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 vertical="center" wrapText="1" shrinkToFit="1"/>
    </xf>
    <xf numFmtId="178" fontId="8" fillId="0" borderId="0" xfId="0" applyNumberFormat="1" applyFont="1" applyAlignment="1">
      <alignment horizontal="center" vertical="center"/>
    </xf>
    <xf numFmtId="14" fontId="6" fillId="0" borderId="1" xfId="1" applyNumberFormat="1" applyFont="1" applyFill="1" applyBorder="1" applyAlignment="1" applyProtection="1">
      <alignment horizontal="center" vertical="center"/>
    </xf>
    <xf numFmtId="41" fontId="6" fillId="3" borderId="1" xfId="1" applyFont="1" applyFill="1" applyBorder="1" applyAlignment="1" applyProtection="1">
      <alignment horizontal="center" vertical="center"/>
    </xf>
    <xf numFmtId="14" fontId="6" fillId="0" borderId="12" xfId="1" applyNumberFormat="1" applyFont="1" applyFill="1" applyBorder="1" applyAlignment="1" applyProtection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3" borderId="3" xfId="1" applyFont="1" applyFill="1" applyBorder="1" applyAlignment="1">
      <alignment horizontal="center" vertical="center"/>
    </xf>
    <xf numFmtId="14" fontId="6" fillId="0" borderId="3" xfId="1" applyNumberFormat="1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>
      <alignment horizontal="left" vertical="center" wrapText="1" shrinkToFit="1"/>
    </xf>
    <xf numFmtId="41" fontId="10" fillId="0" borderId="1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22" xfId="1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1" fontId="10" fillId="0" borderId="2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6" fillId="8" borderId="14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178" fontId="10" fillId="0" borderId="12" xfId="1" applyNumberFormat="1" applyFont="1" applyFill="1" applyBorder="1" applyAlignment="1" applyProtection="1">
      <alignment horizontal="right" vertical="center"/>
    </xf>
    <xf numFmtId="0" fontId="10" fillId="0" borderId="1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 shrinkToFit="1"/>
    </xf>
    <xf numFmtId="0" fontId="16" fillId="0" borderId="35" xfId="0" applyFont="1" applyFill="1" applyBorder="1" applyAlignment="1">
      <alignment horizontal="left" vertical="center" wrapText="1"/>
    </xf>
    <xf numFmtId="0" fontId="16" fillId="0" borderId="36" xfId="0" applyFont="1" applyFill="1" applyBorder="1" applyAlignment="1">
      <alignment horizontal="left" vertical="center" wrapText="1"/>
    </xf>
    <xf numFmtId="0" fontId="16" fillId="0" borderId="37" xfId="0" applyFont="1" applyFill="1" applyBorder="1" applyAlignment="1">
      <alignment horizontal="left" vertical="center" wrapText="1"/>
    </xf>
    <xf numFmtId="14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178" fontId="10" fillId="0" borderId="1" xfId="1" applyNumberFormat="1" applyFont="1" applyFill="1" applyBorder="1" applyAlignment="1" applyProtection="1">
      <alignment horizontal="right" vertical="center"/>
    </xf>
    <xf numFmtId="0" fontId="6" fillId="0" borderId="23" xfId="0" applyFont="1" applyFill="1" applyBorder="1" applyAlignment="1">
      <alignment horizontal="left" vertical="center" wrapText="1" shrinkToFit="1"/>
    </xf>
    <xf numFmtId="0" fontId="15" fillId="0" borderId="0" xfId="0" applyFont="1">
      <alignment vertical="center"/>
    </xf>
    <xf numFmtId="0" fontId="8" fillId="0" borderId="0" xfId="0" applyFont="1">
      <alignment vertical="center"/>
    </xf>
    <xf numFmtId="0" fontId="13" fillId="0" borderId="28" xfId="0" applyFont="1" applyBorder="1" applyAlignment="1">
      <alignment horizontal="center" vertical="center"/>
    </xf>
    <xf numFmtId="0" fontId="6" fillId="0" borderId="15" xfId="0" applyFont="1" applyFill="1" applyBorder="1" applyAlignment="1">
      <alignment horizontal="left" vertical="center" wrapText="1" shrinkToFit="1"/>
    </xf>
    <xf numFmtId="0" fontId="6" fillId="0" borderId="22" xfId="0" applyFont="1" applyFill="1" applyBorder="1" applyAlignment="1">
      <alignment horizontal="left" vertical="center" wrapText="1" shrinkToFit="1"/>
    </xf>
    <xf numFmtId="0" fontId="10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 shrinkToFit="1"/>
    </xf>
    <xf numFmtId="14" fontId="6" fillId="0" borderId="3" xfId="0" applyNumberFormat="1" applyFont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3" borderId="3" xfId="1" applyFont="1" applyFill="1" applyBorder="1" applyAlignment="1">
      <alignment horizontal="center" vertical="center"/>
    </xf>
    <xf numFmtId="41" fontId="13" fillId="11" borderId="28" xfId="1" applyFont="1" applyFill="1" applyBorder="1" applyAlignment="1">
      <alignment horizontal="center" vertical="center"/>
    </xf>
    <xf numFmtId="41" fontId="8" fillId="11" borderId="1" xfId="1" applyFont="1" applyFill="1" applyBorder="1" applyAlignment="1">
      <alignment horizontal="center" vertical="center"/>
    </xf>
    <xf numFmtId="0" fontId="13" fillId="11" borderId="28" xfId="0" applyFont="1" applyFill="1" applyBorder="1" applyAlignment="1">
      <alignment horizontal="center" vertical="center"/>
    </xf>
    <xf numFmtId="41" fontId="8" fillId="11" borderId="1" xfId="0" applyNumberFormat="1" applyFont="1" applyFill="1" applyBorder="1">
      <alignment vertical="center"/>
    </xf>
    <xf numFmtId="0" fontId="11" fillId="0" borderId="3" xfId="0" applyFont="1" applyFill="1" applyBorder="1" applyAlignment="1">
      <alignment horizontal="left" vertical="center" wrapText="1" shrinkToFit="1"/>
    </xf>
    <xf numFmtId="0" fontId="0" fillId="0" borderId="0" xfId="0" applyFill="1" applyAlignment="1">
      <alignment horizontal="center" vertical="center"/>
    </xf>
    <xf numFmtId="41" fontId="10" fillId="0" borderId="13" xfId="1" applyFont="1" applyFill="1" applyBorder="1" applyAlignment="1">
      <alignment vertical="center"/>
    </xf>
    <xf numFmtId="41" fontId="6" fillId="0" borderId="3" xfId="1" applyFont="1" applyFill="1" applyBorder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41" fontId="13" fillId="11" borderId="28" xfId="1" applyFont="1" applyFill="1" applyBorder="1" applyAlignment="1">
      <alignment horizontal="center" vertical="center" shrinkToFit="1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 shrinkToFit="1"/>
    </xf>
    <xf numFmtId="14" fontId="6" fillId="0" borderId="23" xfId="0" applyNumberFormat="1" applyFont="1" applyFill="1" applyBorder="1" applyAlignment="1">
      <alignment horizontal="center" vertical="center"/>
    </xf>
    <xf numFmtId="41" fontId="6" fillId="0" borderId="23" xfId="1" applyFont="1" applyFill="1" applyBorder="1" applyAlignment="1" applyProtection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left" vertical="center" shrinkToFit="1"/>
    </xf>
    <xf numFmtId="0" fontId="10" fillId="0" borderId="13" xfId="0" applyFont="1" applyFill="1" applyBorder="1" applyAlignment="1">
      <alignment horizontal="left" vertical="center" shrinkToFit="1"/>
    </xf>
    <xf numFmtId="0" fontId="10" fillId="0" borderId="14" xfId="0" applyFont="1" applyFill="1" applyBorder="1" applyAlignment="1">
      <alignment horizontal="left" vertical="center" shrinkToFit="1"/>
    </xf>
    <xf numFmtId="0" fontId="13" fillId="11" borderId="28" xfId="0" applyFont="1" applyFill="1" applyBorder="1" applyAlignment="1">
      <alignment horizontal="center" vertical="center" shrinkToFit="1"/>
    </xf>
    <xf numFmtId="41" fontId="6" fillId="0" borderId="13" xfId="1" applyFont="1" applyFill="1" applyBorder="1" applyAlignment="1" applyProtection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6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24" xfId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41" fontId="6" fillId="3" borderId="24" xfId="1" applyFont="1" applyFill="1" applyBorder="1" applyAlignment="1">
      <alignment horizontal="center" vertical="center"/>
    </xf>
    <xf numFmtId="0" fontId="6" fillId="0" borderId="30" xfId="0" applyFont="1" applyFill="1" applyBorder="1" applyAlignment="1">
      <alignment horizontal="left" vertical="center" wrapText="1" shrinkToFit="1"/>
    </xf>
    <xf numFmtId="0" fontId="6" fillId="0" borderId="30" xfId="0" applyFont="1" applyFill="1" applyBorder="1" applyAlignment="1">
      <alignment horizontal="left" vertical="center" shrinkToFit="1"/>
    </xf>
    <xf numFmtId="0" fontId="10" fillId="0" borderId="30" xfId="0" applyFont="1" applyFill="1" applyBorder="1" applyAlignment="1">
      <alignment horizontal="center" vertical="center" shrinkToFit="1"/>
    </xf>
    <xf numFmtId="0" fontId="6" fillId="0" borderId="30" xfId="0" applyFont="1" applyBorder="1" applyAlignment="1">
      <alignment horizontal="center" vertical="center"/>
    </xf>
    <xf numFmtId="41" fontId="6" fillId="0" borderId="24" xfId="1" applyFont="1" applyFill="1" applyBorder="1" applyAlignment="1">
      <alignment horizontal="center" vertical="center"/>
    </xf>
    <xf numFmtId="178" fontId="6" fillId="0" borderId="24" xfId="1" applyNumberFormat="1" applyFont="1" applyFill="1" applyBorder="1" applyAlignment="1" applyProtection="1">
      <alignment horizontal="right" vertical="center"/>
    </xf>
    <xf numFmtId="0" fontId="10" fillId="0" borderId="24" xfId="0" applyFont="1" applyBorder="1" applyAlignment="1">
      <alignment horizontal="center" vertical="center" shrinkToFit="1"/>
    </xf>
    <xf numFmtId="0" fontId="6" fillId="0" borderId="30" xfId="0" applyFont="1" applyBorder="1" applyAlignment="1">
      <alignment horizontal="left" vertical="center" shrinkToFit="1"/>
    </xf>
    <xf numFmtId="14" fontId="6" fillId="8" borderId="12" xfId="0" applyNumberFormat="1" applyFont="1" applyFill="1" applyBorder="1" applyAlignment="1">
      <alignment horizontal="center" vertical="center"/>
    </xf>
    <xf numFmtId="14" fontId="6" fillId="8" borderId="30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10" fillId="0" borderId="14" xfId="1" applyFont="1" applyFill="1" applyBorder="1" applyAlignment="1" applyProtection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0" borderId="1" xfId="0" quotePrefix="1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left" vertical="center" shrinkToFit="1"/>
    </xf>
    <xf numFmtId="3" fontId="6" fillId="0" borderId="3" xfId="0" applyNumberFormat="1" applyFont="1" applyBorder="1" applyAlignment="1">
      <alignment horizontal="center" vertical="center"/>
    </xf>
    <xf numFmtId="178" fontId="10" fillId="0" borderId="31" xfId="1" applyNumberFormat="1" applyFont="1" applyFill="1" applyBorder="1" applyAlignment="1" applyProtection="1">
      <alignment horizontal="right" vertical="center"/>
    </xf>
    <xf numFmtId="180" fontId="8" fillId="0" borderId="0" xfId="1" applyNumberFormat="1" applyFont="1" applyAlignment="1">
      <alignment horizontal="center" vertical="center"/>
    </xf>
    <xf numFmtId="181" fontId="8" fillId="0" borderId="0" xfId="1" applyNumberFormat="1" applyFont="1" applyAlignment="1">
      <alignment horizontal="center" vertical="center"/>
    </xf>
    <xf numFmtId="41" fontId="8" fillId="11" borderId="1" xfId="1" applyFont="1" applyFill="1" applyBorder="1" applyAlignment="1">
      <alignment horizontal="right" vertical="center"/>
    </xf>
    <xf numFmtId="41" fontId="8" fillId="0" borderId="1" xfId="1" applyFont="1" applyFill="1" applyBorder="1" applyAlignment="1">
      <alignment horizontal="right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 shrinkToFit="1"/>
    </xf>
    <xf numFmtId="41" fontId="6" fillId="0" borderId="3" xfId="1" applyFont="1" applyFill="1" applyBorder="1" applyAlignment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0" fillId="0" borderId="0" xfId="0" applyNumberFormat="1" applyAlignment="1">
      <alignment horizontal="center" vertical="center"/>
    </xf>
    <xf numFmtId="0" fontId="13" fillId="0" borderId="41" xfId="0" applyFont="1" applyFill="1" applyBorder="1" applyAlignment="1">
      <alignment vertical="center"/>
    </xf>
    <xf numFmtId="0" fontId="0" fillId="0" borderId="41" xfId="0" applyBorder="1" applyAlignment="1">
      <alignment horizontal="center" vertical="center"/>
    </xf>
    <xf numFmtId="41" fontId="6" fillId="0" borderId="13" xfId="1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/>
    </xf>
    <xf numFmtId="14" fontId="6" fillId="8" borderId="22" xfId="0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182" fontId="0" fillId="0" borderId="0" xfId="0" applyNumberFormat="1" applyAlignment="1">
      <alignment horizontal="center" vertical="center"/>
    </xf>
    <xf numFmtId="179" fontId="10" fillId="0" borderId="3" xfId="0" applyNumberFormat="1" applyFont="1" applyFill="1" applyBorder="1" applyAlignment="1">
      <alignment horizontal="left" vertical="center" shrinkToFit="1"/>
    </xf>
    <xf numFmtId="41" fontId="10" fillId="0" borderId="14" xfId="1" applyFont="1" applyFill="1" applyBorder="1" applyAlignment="1">
      <alignment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30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>
      <alignment vertical="center"/>
    </xf>
    <xf numFmtId="0" fontId="15" fillId="5" borderId="44" xfId="0" applyFont="1" applyFill="1" applyBorder="1" applyAlignment="1">
      <alignment horizontal="center" vertical="center"/>
    </xf>
    <xf numFmtId="1" fontId="8" fillId="0" borderId="0" xfId="0" applyNumberFormat="1" applyFont="1" applyAlignment="1">
      <alignment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14" fontId="6" fillId="0" borderId="24" xfId="0" applyNumberFormat="1" applyFont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6" fillId="8" borderId="24" xfId="0" applyNumberFormat="1" applyFont="1" applyFill="1" applyBorder="1" applyAlignment="1">
      <alignment horizontal="center" vertical="center"/>
    </xf>
    <xf numFmtId="14" fontId="6" fillId="8" borderId="23" xfId="0" applyNumberFormat="1" applyFont="1" applyFill="1" applyBorder="1" applyAlignment="1">
      <alignment horizontal="center" vertical="center"/>
    </xf>
    <xf numFmtId="41" fontId="10" fillId="3" borderId="12" xfId="1" applyFont="1" applyFill="1" applyBorder="1" applyAlignment="1">
      <alignment horizontal="center" vertical="center"/>
    </xf>
    <xf numFmtId="41" fontId="10" fillId="3" borderId="13" xfId="1" applyFont="1" applyFill="1" applyBorder="1" applyAlignment="1">
      <alignment horizontal="center" vertical="center"/>
    </xf>
    <xf numFmtId="41" fontId="10" fillId="3" borderId="22" xfId="1" applyFont="1" applyFill="1" applyBorder="1" applyAlignment="1">
      <alignment horizontal="center" vertical="center"/>
    </xf>
    <xf numFmtId="41" fontId="10" fillId="0" borderId="3" xfId="1" applyFont="1" applyFill="1" applyBorder="1" applyAlignment="1">
      <alignment vertical="center"/>
    </xf>
    <xf numFmtId="41" fontId="10" fillId="3" borderId="15" xfId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vertical="center"/>
    </xf>
    <xf numFmtId="0" fontId="10" fillId="0" borderId="1" xfId="0" applyFont="1" applyFill="1" applyBorder="1" applyAlignment="1">
      <alignment horizontal="left" vertical="center" wrapText="1" shrinkToFit="1"/>
    </xf>
    <xf numFmtId="178" fontId="10" fillId="0" borderId="2" xfId="1" applyNumberFormat="1" applyFont="1" applyFill="1" applyBorder="1" applyAlignment="1" applyProtection="1">
      <alignment horizontal="right" vertical="center"/>
    </xf>
    <xf numFmtId="41" fontId="10" fillId="3" borderId="14" xfId="1" applyFont="1" applyFill="1" applyBorder="1" applyAlignment="1">
      <alignment horizontal="center" vertical="center"/>
    </xf>
    <xf numFmtId="41" fontId="8" fillId="11" borderId="1" xfId="0" applyNumberFormat="1" applyFont="1" applyFill="1" applyBorder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/>
    </xf>
    <xf numFmtId="0" fontId="15" fillId="5" borderId="40" xfId="0" applyFont="1" applyFill="1" applyBorder="1" applyAlignment="1">
      <alignment horizontal="center" vertical="center" wrapText="1"/>
    </xf>
    <xf numFmtId="41" fontId="13" fillId="0" borderId="28" xfId="1" applyFont="1" applyBorder="1" applyAlignment="1">
      <alignment horizontal="center" vertical="center"/>
    </xf>
    <xf numFmtId="41" fontId="15" fillId="5" borderId="39" xfId="0" applyNumberFormat="1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left" vertical="center" wrapText="1" shrinkToFit="1"/>
    </xf>
    <xf numFmtId="41" fontId="13" fillId="0" borderId="0" xfId="1" applyFont="1" applyFill="1" applyBorder="1" applyAlignment="1">
      <alignment horizontal="center" vertical="center"/>
    </xf>
    <xf numFmtId="177" fontId="13" fillId="0" borderId="0" xfId="1" applyNumberFormat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shrinkToFit="1"/>
    </xf>
    <xf numFmtId="41" fontId="10" fillId="11" borderId="1" xfId="0" applyNumberFormat="1" applyFont="1" applyFill="1" applyBorder="1">
      <alignment vertical="center"/>
    </xf>
    <xf numFmtId="178" fontId="10" fillId="0" borderId="3" xfId="1" applyNumberFormat="1" applyFont="1" applyFill="1" applyBorder="1" applyAlignment="1" applyProtection="1">
      <alignment horizontal="right" vertical="center"/>
    </xf>
    <xf numFmtId="178" fontId="10" fillId="0" borderId="22" xfId="1" applyNumberFormat="1" applyFont="1" applyFill="1" applyBorder="1" applyAlignment="1" applyProtection="1">
      <alignment horizontal="right" vertical="center"/>
    </xf>
    <xf numFmtId="41" fontId="10" fillId="3" borderId="1" xfId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 shrinkToFit="1"/>
    </xf>
    <xf numFmtId="14" fontId="10" fillId="8" borderId="3" xfId="0" applyNumberFormat="1" applyFont="1" applyFill="1" applyBorder="1" applyAlignment="1">
      <alignment horizontal="center" vertical="center"/>
    </xf>
    <xf numFmtId="14" fontId="10" fillId="8" borderId="3" xfId="0" quotePrefix="1" applyNumberFormat="1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41" fontId="10" fillId="8" borderId="3" xfId="1" applyFont="1" applyFill="1" applyBorder="1" applyAlignment="1">
      <alignment horizontal="center" vertical="center"/>
    </xf>
    <xf numFmtId="41" fontId="10" fillId="8" borderId="3" xfId="1" applyFont="1" applyFill="1" applyBorder="1" applyAlignment="1" applyProtection="1">
      <alignment horizontal="center" vertical="center"/>
    </xf>
    <xf numFmtId="41" fontId="6" fillId="8" borderId="3" xfId="1" applyFont="1" applyFill="1" applyBorder="1" applyAlignment="1">
      <alignment horizontal="center" vertical="center"/>
    </xf>
    <xf numFmtId="178" fontId="10" fillId="8" borderId="3" xfId="1" applyNumberFormat="1" applyFont="1" applyFill="1" applyBorder="1" applyAlignment="1" applyProtection="1">
      <alignment horizontal="right" vertical="center"/>
    </xf>
    <xf numFmtId="0" fontId="10" fillId="8" borderId="3" xfId="0" applyFont="1" applyFill="1" applyBorder="1" applyAlignment="1">
      <alignment horizontal="center" vertical="center" shrinkToFit="1"/>
    </xf>
    <xf numFmtId="41" fontId="6" fillId="0" borderId="46" xfId="1" applyFont="1" applyFill="1" applyBorder="1" applyAlignment="1">
      <alignment horizontal="center" vertical="center"/>
    </xf>
    <xf numFmtId="41" fontId="6" fillId="0" borderId="46" xfId="1" applyFont="1" applyFill="1" applyBorder="1" applyAlignment="1" applyProtection="1">
      <alignment horizontal="center" vertical="center"/>
    </xf>
    <xf numFmtId="41" fontId="6" fillId="3" borderId="46" xfId="1" applyFont="1" applyFill="1" applyBorder="1" applyAlignment="1">
      <alignment horizontal="center" vertical="center"/>
    </xf>
    <xf numFmtId="178" fontId="6" fillId="0" borderId="46" xfId="1" applyNumberFormat="1" applyFont="1" applyFill="1" applyBorder="1" applyAlignment="1" applyProtection="1">
      <alignment horizontal="right" vertical="center"/>
    </xf>
    <xf numFmtId="14" fontId="6" fillId="0" borderId="46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14" fontId="6" fillId="8" borderId="47" xfId="0" applyNumberFormat="1" applyFont="1" applyFill="1" applyBorder="1" applyAlignment="1">
      <alignment horizontal="center" vertical="center"/>
    </xf>
    <xf numFmtId="14" fontId="6" fillId="0" borderId="30" xfId="0" applyNumberFormat="1" applyFont="1" applyFill="1" applyBorder="1" applyAlignment="1">
      <alignment horizontal="center" vertical="center"/>
    </xf>
    <xf numFmtId="41" fontId="10" fillId="3" borderId="3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47" xfId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 shrinkToFit="1"/>
    </xf>
    <xf numFmtId="0" fontId="10" fillId="0" borderId="23" xfId="0" applyFont="1" applyFill="1" applyBorder="1" applyAlignment="1">
      <alignment horizontal="center" vertical="center" wrapText="1" shrinkToFit="1"/>
    </xf>
    <xf numFmtId="179" fontId="23" fillId="0" borderId="0" xfId="0" applyNumberFormat="1" applyFont="1" applyFill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 shrinkToFit="1"/>
    </xf>
    <xf numFmtId="0" fontId="22" fillId="0" borderId="48" xfId="0" applyFont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 shrinkToFit="1"/>
    </xf>
    <xf numFmtId="41" fontId="6" fillId="0" borderId="13" xfId="1" applyFont="1" applyFill="1" applyBorder="1" applyAlignment="1" applyProtection="1">
      <alignment horizontal="center" vertical="center" shrinkToFit="1"/>
    </xf>
    <xf numFmtId="41" fontId="6" fillId="0" borderId="14" xfId="1" applyFont="1" applyFill="1" applyBorder="1" applyAlignment="1" applyProtection="1">
      <alignment horizontal="center" vertical="center" shrinkToFit="1"/>
    </xf>
    <xf numFmtId="41" fontId="10" fillId="14" borderId="1" xfId="0" applyNumberFormat="1" applyFont="1" applyFill="1" applyBorder="1">
      <alignment vertical="center"/>
    </xf>
    <xf numFmtId="41" fontId="8" fillId="14" borderId="1" xfId="0" applyNumberFormat="1" applyFont="1" applyFill="1" applyBorder="1">
      <alignment vertical="center"/>
    </xf>
    <xf numFmtId="41" fontId="10" fillId="14" borderId="2" xfId="0" applyNumberFormat="1" applyFont="1" applyFill="1" applyBorder="1">
      <alignment vertical="center"/>
    </xf>
    <xf numFmtId="41" fontId="8" fillId="14" borderId="1" xfId="1" applyFont="1" applyFill="1" applyBorder="1" applyAlignment="1">
      <alignment horizontal="center" vertical="center"/>
    </xf>
    <xf numFmtId="183" fontId="24" fillId="0" borderId="0" xfId="0" applyNumberFormat="1" applyFont="1" applyAlignment="1">
      <alignment horizontal="right"/>
    </xf>
    <xf numFmtId="41" fontId="10" fillId="0" borderId="0" xfId="0" applyNumberFormat="1" applyFont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41" fontId="10" fillId="0" borderId="12" xfId="1" applyFont="1" applyFill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15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47" xfId="0" applyNumberFormat="1" applyFont="1" applyBorder="1" applyAlignment="1">
      <alignment horizontal="center" vertical="center"/>
    </xf>
    <xf numFmtId="41" fontId="10" fillId="0" borderId="31" xfId="1" applyFont="1" applyFill="1" applyBorder="1" applyAlignment="1">
      <alignment horizontal="center" vertical="center"/>
    </xf>
    <xf numFmtId="41" fontId="10" fillId="0" borderId="30" xfId="1" applyFont="1" applyFill="1" applyBorder="1" applyAlignment="1">
      <alignment horizontal="center" vertical="center"/>
    </xf>
    <xf numFmtId="178" fontId="10" fillId="0" borderId="30" xfId="1" applyNumberFormat="1" applyFont="1" applyFill="1" applyBorder="1" applyAlignment="1" applyProtection="1">
      <alignment horizontal="right" vertical="center"/>
    </xf>
    <xf numFmtId="14" fontId="6" fillId="8" borderId="15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left" vertical="center" wrapText="1" shrinkToFit="1"/>
    </xf>
    <xf numFmtId="0" fontId="0" fillId="0" borderId="41" xfId="0" applyFill="1" applyBorder="1" applyAlignment="1">
      <alignment horizontal="center" vertical="center"/>
    </xf>
    <xf numFmtId="14" fontId="6" fillId="0" borderId="3" xfId="0" applyNumberFormat="1" applyFont="1" applyBorder="1" applyAlignment="1">
      <alignment vertical="center"/>
    </xf>
    <xf numFmtId="1" fontId="0" fillId="0" borderId="0" xfId="0" applyNumberFormat="1" applyAlignment="1">
      <alignment vertical="center"/>
    </xf>
    <xf numFmtId="41" fontId="0" fillId="0" borderId="0" xfId="0" applyNumberFormat="1">
      <alignment vertical="center"/>
    </xf>
    <xf numFmtId="41" fontId="6" fillId="8" borderId="1" xfId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left" vertical="center" wrapText="1" shrinkToFit="1"/>
    </xf>
    <xf numFmtId="0" fontId="22" fillId="11" borderId="28" xfId="0" applyFont="1" applyFill="1" applyBorder="1" applyAlignment="1">
      <alignment horizontal="center" vertical="center" shrinkToFit="1"/>
    </xf>
    <xf numFmtId="41" fontId="8" fillId="0" borderId="1" xfId="0" applyNumberFormat="1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41" fontId="6" fillId="3" borderId="22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left" vertical="center" wrapText="1" shrinkToFit="1"/>
    </xf>
    <xf numFmtId="0" fontId="10" fillId="0" borderId="13" xfId="0" applyFont="1" applyFill="1" applyBorder="1" applyAlignment="1">
      <alignment horizontal="left" vertical="center" wrapText="1" shrinkToFit="1"/>
    </xf>
    <xf numFmtId="0" fontId="10" fillId="0" borderId="14" xfId="0" applyFont="1" applyFill="1" applyBorder="1" applyAlignment="1">
      <alignment horizontal="left" vertical="center" wrapText="1" shrinkToFit="1"/>
    </xf>
    <xf numFmtId="0" fontId="24" fillId="0" borderId="0" xfId="0" applyFont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 vertical="center"/>
    </xf>
    <xf numFmtId="41" fontId="24" fillId="0" borderId="50" xfId="1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/>
    </xf>
    <xf numFmtId="41" fontId="24" fillId="5" borderId="54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7" fillId="5" borderId="53" xfId="0" applyFont="1" applyFill="1" applyBorder="1" applyAlignment="1">
      <alignment horizontal="center" vertical="center"/>
    </xf>
    <xf numFmtId="0" fontId="27" fillId="13" borderId="50" xfId="0" applyFont="1" applyFill="1" applyBorder="1" applyAlignment="1">
      <alignment horizontal="center" vertical="center"/>
    </xf>
    <xf numFmtId="0" fontId="27" fillId="13" borderId="51" xfId="0" applyFont="1" applyFill="1" applyBorder="1" applyAlignment="1">
      <alignment horizontal="center" vertical="center"/>
    </xf>
    <xf numFmtId="41" fontId="24" fillId="0" borderId="52" xfId="1" applyFont="1" applyBorder="1" applyAlignment="1">
      <alignment horizontal="center" vertical="center"/>
    </xf>
    <xf numFmtId="41" fontId="24" fillId="5" borderId="55" xfId="0" applyNumberFormat="1" applyFont="1" applyFill="1" applyBorder="1" applyAlignment="1">
      <alignment horizontal="center" vertical="center"/>
    </xf>
    <xf numFmtId="41" fontId="28" fillId="0" borderId="50" xfId="1" applyFont="1" applyBorder="1" applyAlignment="1">
      <alignment horizontal="center" vertical="center"/>
    </xf>
    <xf numFmtId="41" fontId="28" fillId="0" borderId="52" xfId="1" applyFont="1" applyBorder="1" applyAlignment="1">
      <alignment horizontal="center" vertical="center"/>
    </xf>
    <xf numFmtId="0" fontId="0" fillId="0" borderId="58" xfId="0" applyBorder="1" applyAlignment="1">
      <alignment vertical="center" shrinkToFit="1"/>
    </xf>
    <xf numFmtId="0" fontId="27" fillId="13" borderId="60" xfId="0" applyFont="1" applyFill="1" applyBorder="1" applyAlignment="1">
      <alignment horizontal="center" vertical="center"/>
    </xf>
    <xf numFmtId="41" fontId="24" fillId="0" borderId="60" xfId="1" applyFont="1" applyBorder="1" applyAlignment="1">
      <alignment horizontal="center" vertical="center"/>
    </xf>
    <xf numFmtId="41" fontId="28" fillId="0" borderId="60" xfId="1" applyFont="1" applyBorder="1" applyAlignment="1">
      <alignment horizontal="center" vertical="center"/>
    </xf>
    <xf numFmtId="41" fontId="24" fillId="5" borderId="61" xfId="0" applyNumberFormat="1" applyFont="1" applyFill="1" applyBorder="1" applyAlignment="1">
      <alignment horizontal="center" vertical="center"/>
    </xf>
    <xf numFmtId="41" fontId="27" fillId="12" borderId="63" xfId="1" applyFont="1" applyFill="1" applyBorder="1" applyAlignment="1">
      <alignment horizontal="center" vertical="center"/>
    </xf>
    <xf numFmtId="41" fontId="27" fillId="12" borderId="64" xfId="0" applyNumberFormat="1" applyFont="1" applyFill="1" applyBorder="1" applyAlignment="1">
      <alignment horizontal="center" vertical="center"/>
    </xf>
    <xf numFmtId="0" fontId="29" fillId="5" borderId="54" xfId="0" applyFont="1" applyFill="1" applyBorder="1" applyAlignment="1">
      <alignment horizontal="center" vertical="center"/>
    </xf>
    <xf numFmtId="0" fontId="0" fillId="5" borderId="59" xfId="0" applyFill="1" applyBorder="1" applyAlignment="1">
      <alignment vertical="center" shrinkToFit="1"/>
    </xf>
    <xf numFmtId="184" fontId="0" fillId="10" borderId="50" xfId="1" applyNumberFormat="1" applyFont="1" applyFill="1" applyBorder="1">
      <alignment vertical="center"/>
    </xf>
    <xf numFmtId="184" fontId="30" fillId="10" borderId="54" xfId="1" applyNumberFormat="1" applyFont="1" applyFill="1" applyBorder="1">
      <alignment vertical="center"/>
    </xf>
    <xf numFmtId="184" fontId="0" fillId="10" borderId="54" xfId="1" applyNumberFormat="1" applyFont="1" applyFill="1" applyBorder="1">
      <alignment vertical="center"/>
    </xf>
    <xf numFmtId="41" fontId="6" fillId="0" borderId="12" xfId="1" applyFont="1" applyFill="1" applyBorder="1" applyAlignment="1" applyProtection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6" fillId="0" borderId="3" xfId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1" fontId="6" fillId="0" borderId="30" xfId="1" applyFont="1" applyFill="1" applyBorder="1" applyAlignment="1" applyProtection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 shrinkToFit="1"/>
    </xf>
    <xf numFmtId="41" fontId="10" fillId="3" borderId="2" xfId="1" applyFont="1" applyFill="1" applyBorder="1" applyAlignment="1">
      <alignment horizontal="center" vertical="center"/>
    </xf>
    <xf numFmtId="41" fontId="6" fillId="0" borderId="15" xfId="1" applyFont="1" applyFill="1" applyBorder="1" applyAlignment="1" applyProtection="1">
      <alignment horizontal="center" vertical="center" shrinkToFit="1"/>
    </xf>
    <xf numFmtId="41" fontId="31" fillId="0" borderId="0" xfId="1" applyFont="1" applyAlignment="1">
      <alignment horizontal="center" vertical="center"/>
    </xf>
    <xf numFmtId="41" fontId="6" fillId="0" borderId="1" xfId="1" applyFont="1" applyFill="1" applyBorder="1" applyAlignment="1" applyProtection="1">
      <alignment horizontal="center" vertical="center" shrinkToFit="1"/>
    </xf>
    <xf numFmtId="0" fontId="0" fillId="0" borderId="0" xfId="0" applyAlignment="1">
      <alignment horizontal="center" vertical="center"/>
    </xf>
    <xf numFmtId="185" fontId="0" fillId="0" borderId="50" xfId="0" applyNumberFormat="1" applyBorder="1" applyAlignment="1">
      <alignment horizontal="center" vertical="center"/>
    </xf>
    <xf numFmtId="185" fontId="5" fillId="0" borderId="50" xfId="0" applyNumberFormat="1" applyFont="1" applyBorder="1" applyAlignment="1">
      <alignment horizontal="center" vertical="center"/>
    </xf>
    <xf numFmtId="185" fontId="30" fillId="5" borderId="54" xfId="0" applyNumberFormat="1" applyFont="1" applyFill="1" applyBorder="1" applyAlignment="1">
      <alignment horizontal="center" vertical="center"/>
    </xf>
    <xf numFmtId="185" fontId="0" fillId="0" borderId="60" xfId="0" applyNumberFormat="1" applyBorder="1" applyAlignment="1">
      <alignment horizontal="center" vertical="center"/>
    </xf>
    <xf numFmtId="185" fontId="0" fillId="5" borderId="61" xfId="0" applyNumberFormat="1" applyFill="1" applyBorder="1" applyAlignment="1">
      <alignment horizontal="center" vertical="center"/>
    </xf>
    <xf numFmtId="185" fontId="0" fillId="5" borderId="54" xfId="0" applyNumberForma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shrinkToFit="1"/>
    </xf>
    <xf numFmtId="41" fontId="10" fillId="0" borderId="2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41" fontId="6" fillId="0" borderId="22" xfId="1" applyFont="1" applyFill="1" applyBorder="1" applyAlignment="1" applyProtection="1">
      <alignment horizontal="center" vertical="center"/>
    </xf>
    <xf numFmtId="41" fontId="6" fillId="3" borderId="22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63" xfId="1" applyFont="1" applyFill="1" applyBorder="1" applyAlignment="1">
      <alignment horizontal="center" vertical="center"/>
    </xf>
    <xf numFmtId="41" fontId="6" fillId="0" borderId="63" xfId="1" applyFont="1" applyFill="1" applyBorder="1" applyAlignment="1" applyProtection="1">
      <alignment horizontal="center" vertical="center"/>
    </xf>
    <xf numFmtId="14" fontId="6" fillId="0" borderId="63" xfId="0" applyNumberFormat="1" applyFont="1" applyFill="1" applyBorder="1" applyAlignment="1">
      <alignment horizontal="center" vertical="center"/>
    </xf>
    <xf numFmtId="0" fontId="6" fillId="0" borderId="63" xfId="0" applyFont="1" applyFill="1" applyBorder="1" applyAlignment="1">
      <alignment horizontal="center" vertical="center"/>
    </xf>
    <xf numFmtId="41" fontId="7" fillId="3" borderId="63" xfId="1" applyFont="1" applyFill="1" applyBorder="1" applyAlignment="1">
      <alignment horizontal="center" vertical="center"/>
    </xf>
    <xf numFmtId="0" fontId="6" fillId="0" borderId="63" xfId="0" applyFont="1" applyFill="1" applyBorder="1" applyAlignment="1">
      <alignment horizontal="left" vertical="center" wrapText="1" shrinkToFit="1"/>
    </xf>
    <xf numFmtId="41" fontId="10" fillId="0" borderId="63" xfId="1" applyFont="1" applyFill="1" applyBorder="1" applyAlignment="1" applyProtection="1">
      <alignment horizontal="center" vertical="center"/>
    </xf>
    <xf numFmtId="14" fontId="6" fillId="0" borderId="65" xfId="0" applyNumberFormat="1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41" fontId="6" fillId="0" borderId="65" xfId="1" applyFont="1" applyFill="1" applyBorder="1" applyAlignment="1" applyProtection="1">
      <alignment horizontal="center" vertical="center"/>
    </xf>
    <xf numFmtId="41" fontId="6" fillId="0" borderId="65" xfId="1" applyFont="1" applyFill="1" applyBorder="1" applyAlignment="1">
      <alignment horizontal="center" vertical="center"/>
    </xf>
    <xf numFmtId="41" fontId="6" fillId="3" borderId="65" xfId="1" applyFont="1" applyFill="1" applyBorder="1" applyAlignment="1" applyProtection="1">
      <alignment horizontal="center" vertical="center"/>
    </xf>
    <xf numFmtId="0" fontId="6" fillId="0" borderId="65" xfId="0" applyFont="1" applyFill="1" applyBorder="1" applyAlignment="1">
      <alignment horizontal="center" vertical="center" shrinkToFit="1"/>
    </xf>
    <xf numFmtId="0" fontId="11" fillId="0" borderId="65" xfId="0" applyFont="1" applyFill="1" applyBorder="1" applyAlignment="1">
      <alignment horizontal="left" vertical="center" shrinkToFit="1"/>
    </xf>
    <xf numFmtId="14" fontId="6" fillId="0" borderId="62" xfId="0" applyNumberFormat="1" applyFont="1" applyFill="1" applyBorder="1" applyAlignment="1">
      <alignment horizontal="center" vertical="center"/>
    </xf>
    <xf numFmtId="0" fontId="6" fillId="0" borderId="62" xfId="0" applyFont="1" applyFill="1" applyBorder="1" applyAlignment="1">
      <alignment horizontal="center" vertical="center"/>
    </xf>
    <xf numFmtId="41" fontId="6" fillId="0" borderId="62" xfId="1" applyFont="1" applyFill="1" applyBorder="1" applyAlignment="1" applyProtection="1">
      <alignment horizontal="center" vertical="center"/>
    </xf>
    <xf numFmtId="0" fontId="6" fillId="0" borderId="62" xfId="0" applyFont="1" applyFill="1" applyBorder="1" applyAlignment="1">
      <alignment horizontal="left" vertical="center" wrapText="1" shrinkToFit="1"/>
    </xf>
    <xf numFmtId="0" fontId="6" fillId="0" borderId="1" xfId="0" applyFont="1" applyBorder="1" applyAlignment="1">
      <alignment horizontal="center" vertical="center"/>
    </xf>
    <xf numFmtId="41" fontId="10" fillId="0" borderId="62" xfId="1" applyFont="1" applyFill="1" applyBorder="1" applyAlignment="1" applyProtection="1">
      <alignment horizontal="center" vertical="center"/>
    </xf>
    <xf numFmtId="41" fontId="6" fillId="3" borderId="62" xfId="1" applyFont="1" applyFill="1" applyBorder="1" applyAlignment="1">
      <alignment horizontal="center" vertical="center"/>
    </xf>
    <xf numFmtId="41" fontId="32" fillId="0" borderId="0" xfId="1" applyFont="1" applyAlignment="1">
      <alignment horizontal="center" vertical="center"/>
    </xf>
    <xf numFmtId="185" fontId="5" fillId="4" borderId="52" xfId="1" applyNumberFormat="1" applyFont="1" applyFill="1" applyBorder="1" applyAlignment="1">
      <alignment horizontal="center" vertical="center"/>
    </xf>
    <xf numFmtId="185" fontId="5" fillId="4" borderId="54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41" fontId="6" fillId="3" borderId="15" xfId="1" applyFont="1" applyFill="1" applyBorder="1" applyAlignment="1">
      <alignment horizontal="center" vertical="center"/>
    </xf>
    <xf numFmtId="0" fontId="27" fillId="5" borderId="53" xfId="0" applyFont="1" applyFill="1" applyBorder="1" applyAlignment="1">
      <alignment horizontal="center" vertical="center"/>
    </xf>
    <xf numFmtId="0" fontId="27" fillId="5" borderId="54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0" fontId="6" fillId="8" borderId="2" xfId="0" applyFont="1" applyFill="1" applyBorder="1" applyAlignment="1">
      <alignment horizontal="center" vertical="center" shrinkToFit="1"/>
    </xf>
    <xf numFmtId="0" fontId="6" fillId="8" borderId="15" xfId="0" applyFont="1" applyFill="1" applyBorder="1" applyAlignment="1">
      <alignment horizontal="center" vertical="center" shrinkToFit="1"/>
    </xf>
    <xf numFmtId="0" fontId="6" fillId="8" borderId="22" xfId="0" applyFont="1" applyFill="1" applyBorder="1" applyAlignment="1">
      <alignment horizontal="center" vertical="center" shrinkToFit="1"/>
    </xf>
    <xf numFmtId="0" fontId="6" fillId="8" borderId="23" xfId="0" applyFont="1" applyFill="1" applyBorder="1" applyAlignment="1">
      <alignment horizontal="center" vertical="center" shrinkToFit="1"/>
    </xf>
    <xf numFmtId="0" fontId="6" fillId="8" borderId="3" xfId="0" applyFont="1" applyFill="1" applyBorder="1" applyAlignment="1">
      <alignment horizontal="center" vertical="center" shrinkToFit="1"/>
    </xf>
    <xf numFmtId="0" fontId="6" fillId="8" borderId="47" xfId="0" applyFont="1" applyFill="1" applyBorder="1" applyAlignment="1">
      <alignment horizontal="center" vertical="center" shrinkToFit="1"/>
    </xf>
    <xf numFmtId="41" fontId="6" fillId="0" borderId="2" xfId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41" fontId="6" fillId="0" borderId="2" xfId="1" applyFont="1" applyFill="1" applyBorder="1" applyAlignment="1" applyProtection="1">
      <alignment horizontal="center" vertical="center"/>
    </xf>
    <xf numFmtId="41" fontId="6" fillId="0" borderId="15" xfId="1" applyFont="1" applyFill="1" applyBorder="1" applyAlignment="1" applyProtection="1">
      <alignment horizontal="center" vertical="center"/>
    </xf>
    <xf numFmtId="41" fontId="6" fillId="0" borderId="22" xfId="1" applyFont="1" applyFill="1" applyBorder="1" applyAlignment="1" applyProtection="1">
      <alignment horizontal="center" vertical="center"/>
    </xf>
    <xf numFmtId="41" fontId="6" fillId="3" borderId="22" xfId="1" applyFont="1" applyFill="1" applyBorder="1" applyAlignment="1">
      <alignment horizontal="center" vertical="center"/>
    </xf>
    <xf numFmtId="41" fontId="6" fillId="3" borderId="15" xfId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178" fontId="6" fillId="0" borderId="15" xfId="1" applyNumberFormat="1" applyFont="1" applyFill="1" applyBorder="1" applyAlignment="1" applyProtection="1">
      <alignment horizontal="right" vertical="center"/>
    </xf>
    <xf numFmtId="178" fontId="10" fillId="0" borderId="23" xfId="1" applyNumberFormat="1" applyFont="1" applyFill="1" applyBorder="1" applyAlignment="1" applyProtection="1">
      <alignment horizontal="right" vertical="center"/>
    </xf>
    <xf numFmtId="41" fontId="10" fillId="0" borderId="2" xfId="1" applyFont="1" applyFill="1" applyBorder="1" applyAlignment="1">
      <alignment horizontal="center" vertical="center"/>
    </xf>
    <xf numFmtId="178" fontId="6" fillId="0" borderId="2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6" fillId="0" borderId="3" xfId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30" xfId="1" applyFont="1" applyFill="1" applyBorder="1" applyAlignment="1" applyProtection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41" fontId="6" fillId="0" borderId="12" xfId="1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41" fontId="6" fillId="0" borderId="14" xfId="1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6" fillId="8" borderId="23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2" xfId="0" quotePrefix="1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 applyProtection="1">
      <alignment horizontal="center" vertical="center"/>
    </xf>
    <xf numFmtId="0" fontId="6" fillId="0" borderId="3" xfId="0" applyFont="1" applyFill="1" applyBorder="1" applyAlignment="1">
      <alignment horizontal="left" vertical="center" wrapText="1" shrinkToFit="1"/>
    </xf>
    <xf numFmtId="178" fontId="6" fillId="0" borderId="12" xfId="1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pivotButton="1" applyAlignment="1">
      <alignment horizontal="center" vertical="center"/>
    </xf>
    <xf numFmtId="41" fontId="7" fillId="11" borderId="11" xfId="1" applyFont="1" applyFill="1" applyBorder="1" applyAlignment="1" applyProtection="1">
      <alignment horizontal="center" vertical="center"/>
    </xf>
    <xf numFmtId="14" fontId="6" fillId="0" borderId="18" xfId="0" applyNumberFormat="1" applyFont="1" applyFill="1" applyBorder="1" applyAlignment="1">
      <alignment horizontal="center" vertical="center"/>
    </xf>
    <xf numFmtId="14" fontId="6" fillId="0" borderId="11" xfId="0" applyNumberFormat="1" applyFont="1" applyFill="1" applyBorder="1" applyAlignment="1">
      <alignment horizontal="center" vertical="center"/>
    </xf>
    <xf numFmtId="14" fontId="6" fillId="0" borderId="34" xfId="0" applyNumberFormat="1" applyFont="1" applyFill="1" applyBorder="1" applyAlignment="1">
      <alignment horizontal="center" vertical="center"/>
    </xf>
    <xf numFmtId="14" fontId="6" fillId="0" borderId="21" xfId="0" applyNumberFormat="1" applyFont="1" applyFill="1" applyBorder="1" applyAlignment="1">
      <alignment horizontal="center" vertical="center"/>
    </xf>
    <xf numFmtId="14" fontId="6" fillId="0" borderId="37" xfId="0" applyNumberFormat="1" applyFont="1" applyFill="1" applyBorder="1" applyAlignment="1">
      <alignment horizontal="center" vertical="center"/>
    </xf>
    <xf numFmtId="41" fontId="7" fillId="11" borderId="37" xfId="1" applyFont="1" applyFill="1" applyBorder="1" applyAlignment="1" applyProtection="1">
      <alignment horizontal="center" vertical="center"/>
    </xf>
    <xf numFmtId="41" fontId="7" fillId="11" borderId="3" xfId="1" applyFont="1" applyFill="1" applyBorder="1" applyAlignment="1" applyProtection="1">
      <alignment horizontal="center" vertical="center" shrinkToFit="1"/>
    </xf>
    <xf numFmtId="41" fontId="7" fillId="11" borderId="3" xfId="1" applyFont="1" applyFill="1" applyBorder="1" applyAlignment="1" applyProtection="1">
      <alignment horizontal="center" vertical="center"/>
    </xf>
    <xf numFmtId="41" fontId="7" fillId="3" borderId="3" xfId="1" applyFont="1" applyFill="1" applyBorder="1" applyAlignment="1" applyProtection="1">
      <alignment horizontal="center" vertical="center"/>
    </xf>
    <xf numFmtId="41" fontId="12" fillId="2" borderId="3" xfId="1" applyFont="1" applyFill="1" applyBorder="1" applyAlignment="1" applyProtection="1">
      <alignment horizontal="center" vertical="center" wrapText="1"/>
    </xf>
    <xf numFmtId="41" fontId="7" fillId="9" borderId="3" xfId="1" applyFont="1" applyFill="1" applyBorder="1" applyAlignment="1" applyProtection="1">
      <alignment horizontal="center" vertical="center"/>
    </xf>
    <xf numFmtId="41" fontId="12" fillId="6" borderId="3" xfId="1" applyFont="1" applyFill="1" applyBorder="1" applyAlignment="1" applyProtection="1">
      <alignment horizontal="center" vertical="center"/>
    </xf>
    <xf numFmtId="41" fontId="7" fillId="10" borderId="3" xfId="1" applyFont="1" applyFill="1" applyBorder="1" applyAlignment="1" applyProtection="1">
      <alignment horizontal="center" vertical="center"/>
    </xf>
    <xf numFmtId="41" fontId="7" fillId="4" borderId="3" xfId="1" applyFont="1" applyFill="1" applyBorder="1" applyAlignment="1" applyProtection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8" fillId="8" borderId="68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center" vertical="center"/>
    </xf>
    <xf numFmtId="0" fontId="8" fillId="8" borderId="69" xfId="0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68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8" fillId="0" borderId="37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41" fontId="6" fillId="0" borderId="2" xfId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41" fontId="6" fillId="0" borderId="2" xfId="1" applyFont="1" applyFill="1" applyBorder="1" applyAlignment="1" applyProtection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14" fontId="6" fillId="0" borderId="3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6" fillId="8" borderId="24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24" xfId="0" applyNumberFormat="1" applyFont="1" applyBorder="1" applyAlignment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10" fillId="0" borderId="3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2" xfId="1" applyNumberFormat="1" applyFont="1" applyFill="1" applyBorder="1" applyAlignment="1" applyProtection="1">
      <alignment horizontal="right" vertical="center"/>
    </xf>
    <xf numFmtId="179" fontId="21" fillId="0" borderId="1" xfId="0" applyNumberFormat="1" applyFont="1" applyFill="1" applyBorder="1" applyAlignment="1">
      <alignment horizontal="center" vertical="center" wrapText="1"/>
    </xf>
    <xf numFmtId="14" fontId="10" fillId="0" borderId="3" xfId="0" applyNumberFormat="1" applyFont="1" applyFill="1" applyBorder="1" applyAlignment="1">
      <alignment horizontal="center" vertical="center"/>
    </xf>
    <xf numFmtId="14" fontId="10" fillId="0" borderId="3" xfId="0" quotePrefix="1" applyNumberFormat="1" applyFont="1" applyFill="1" applyBorder="1" applyAlignment="1">
      <alignment horizontal="center" vertical="center"/>
    </xf>
    <xf numFmtId="41" fontId="10" fillId="0" borderId="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41" fontId="8" fillId="0" borderId="0" xfId="0" applyNumberFormat="1" applyFont="1" applyFill="1" applyBorder="1" applyAlignment="1">
      <alignment vertical="center"/>
    </xf>
    <xf numFmtId="41" fontId="8" fillId="0" borderId="0" xfId="1" applyFont="1" applyFill="1" applyBorder="1" applyAlignment="1">
      <alignment vertical="center"/>
    </xf>
    <xf numFmtId="41" fontId="15" fillId="0" borderId="0" xfId="1" applyFont="1" applyFill="1" applyBorder="1" applyAlignment="1">
      <alignment vertical="center"/>
    </xf>
    <xf numFmtId="179" fontId="10" fillId="8" borderId="3" xfId="0" applyNumberFormat="1" applyFont="1" applyFill="1" applyBorder="1" applyAlignment="1">
      <alignment horizontal="left" vertical="center" wrapText="1" shrinkToFit="1"/>
    </xf>
    <xf numFmtId="14" fontId="6" fillId="0" borderId="13" xfId="0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14" fontId="6" fillId="0" borderId="14" xfId="0" applyNumberFormat="1" applyFont="1" applyFill="1" applyBorder="1" applyAlignment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41" fontId="6" fillId="0" borderId="13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 wrapText="1" shrinkToFit="1"/>
    </xf>
    <xf numFmtId="0" fontId="5" fillId="0" borderId="0" xfId="0" applyFont="1" applyAlignment="1">
      <alignment horizontal="center" vertical="center"/>
    </xf>
    <xf numFmtId="0" fontId="10" fillId="0" borderId="3" xfId="0" applyFont="1" applyFill="1" applyBorder="1" applyAlignment="1">
      <alignment horizontal="left" vertical="center" wrapText="1" shrinkToFit="1"/>
    </xf>
    <xf numFmtId="0" fontId="8" fillId="8" borderId="37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shrinkToFit="1"/>
    </xf>
    <xf numFmtId="0" fontId="8" fillId="0" borderId="22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6" fillId="0" borderId="2" xfId="1" applyFont="1" applyFill="1" applyBorder="1" applyAlignment="1" applyProtection="1">
      <alignment horizontal="center" vertical="center"/>
    </xf>
    <xf numFmtId="0" fontId="10" fillId="0" borderId="2" xfId="0" applyFont="1" applyBorder="1" applyAlignment="1">
      <alignment horizontal="center" vertical="center" shrinkToFit="1"/>
    </xf>
    <xf numFmtId="41" fontId="6" fillId="0" borderId="15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0" fontId="10" fillId="0" borderId="15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41" fontId="6" fillId="0" borderId="22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10" fillId="0" borderId="3" xfId="0" applyFont="1" applyBorder="1" applyAlignment="1">
      <alignment horizontal="center" vertical="center" shrinkToFit="1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0" fontId="10" fillId="0" borderId="12" xfId="0" applyFont="1" applyBorder="1" applyAlignment="1">
      <alignment horizontal="center" vertical="center" shrinkToFit="1"/>
    </xf>
    <xf numFmtId="0" fontId="6" fillId="0" borderId="2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2" xfId="1" applyNumberFormat="1" applyFont="1" applyFill="1" applyBorder="1" applyAlignment="1" applyProtection="1">
      <alignment horizontal="right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0" fillId="0" borderId="23" xfId="0" applyFont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4" fontId="6" fillId="0" borderId="2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22" xfId="0" applyNumberFormat="1" applyFont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14" fontId="6" fillId="0" borderId="23" xfId="0" applyNumberFormat="1" applyFont="1" applyBorder="1" applyAlignment="1">
      <alignment horizontal="center" vertical="center"/>
    </xf>
    <xf numFmtId="41" fontId="6" fillId="0" borderId="2" xfId="1" applyFont="1" applyFill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178" fontId="6" fillId="0" borderId="15" xfId="1" applyNumberFormat="1" applyFont="1" applyFill="1" applyBorder="1" applyAlignment="1" applyProtection="1">
      <alignment horizontal="right" vertical="center"/>
    </xf>
    <xf numFmtId="41" fontId="10" fillId="0" borderId="14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41" fontId="10" fillId="0" borderId="22" xfId="1" applyFont="1" applyFill="1" applyBorder="1" applyAlignment="1" applyProtection="1">
      <alignment horizontal="center" vertical="center"/>
    </xf>
    <xf numFmtId="41" fontId="10" fillId="0" borderId="23" xfId="1" applyFont="1" applyFill="1" applyBorder="1" applyAlignment="1" applyProtection="1">
      <alignment horizontal="center" vertical="center"/>
    </xf>
    <xf numFmtId="41" fontId="10" fillId="0" borderId="3" xfId="1" applyFont="1" applyFill="1" applyBorder="1" applyAlignment="1" applyProtection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6" fillId="0" borderId="22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10" fillId="0" borderId="14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0" fillId="0" borderId="63" xfId="0" applyFont="1" applyFill="1" applyBorder="1" applyAlignment="1">
      <alignment horizontal="center" vertical="center" shrinkToFit="1"/>
    </xf>
    <xf numFmtId="0" fontId="10" fillId="0" borderId="62" xfId="0" applyFont="1" applyFill="1" applyBorder="1" applyAlignment="1">
      <alignment horizontal="center" vertical="center" shrinkToFit="1"/>
    </xf>
    <xf numFmtId="0" fontId="10" fillId="0" borderId="22" xfId="0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0" xfId="0" applyFont="1" applyAlignment="1">
      <alignment horizontal="left" vertical="center" wrapText="1" shrinkToFit="1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75" xfId="0" applyFont="1" applyBorder="1" applyAlignment="1">
      <alignment horizontal="left" vertical="center" shrinkToFit="1"/>
    </xf>
    <xf numFmtId="0" fontId="10" fillId="0" borderId="76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0" fontId="10" fillId="0" borderId="32" xfId="0" applyFont="1" applyBorder="1" applyAlignment="1">
      <alignment horizontal="left" vertical="center" shrinkToFit="1"/>
    </xf>
    <xf numFmtId="0" fontId="10" fillId="0" borderId="25" xfId="0" applyFont="1" applyBorder="1" applyAlignment="1">
      <alignment horizontal="left" vertical="center" shrinkToFit="1"/>
    </xf>
    <xf numFmtId="0" fontId="10" fillId="0" borderId="41" xfId="0" applyFont="1" applyBorder="1" applyAlignment="1">
      <alignment horizontal="left" vertical="center" shrinkToFit="1"/>
    </xf>
    <xf numFmtId="0" fontId="10" fillId="0" borderId="35" xfId="0" applyFont="1" applyBorder="1" applyAlignment="1">
      <alignment horizontal="left" vertical="center" shrinkToFit="1"/>
    </xf>
    <xf numFmtId="0" fontId="10" fillId="0" borderId="19" xfId="0" applyFont="1" applyBorder="1" applyAlignment="1">
      <alignment horizontal="left" vertical="center" shrinkToFit="1"/>
    </xf>
    <xf numFmtId="41" fontId="12" fillId="11" borderId="3" xfId="1" applyFont="1" applyFill="1" applyBorder="1" applyAlignment="1" applyProtection="1">
      <alignment horizontal="center" vertical="center" wrapText="1"/>
    </xf>
    <xf numFmtId="41" fontId="7" fillId="11" borderId="35" xfId="1" applyFont="1" applyFill="1" applyBorder="1" applyAlignment="1" applyProtection="1">
      <alignment horizontal="center" vertical="center"/>
    </xf>
    <xf numFmtId="0" fontId="8" fillId="0" borderId="68" xfId="0" applyFont="1" applyBorder="1" applyAlignment="1">
      <alignment horizontal="center" vertical="center"/>
    </xf>
    <xf numFmtId="41" fontId="6" fillId="0" borderId="2" xfId="1" applyFont="1" applyFill="1" applyBorder="1" applyAlignment="1" applyProtection="1">
      <alignment horizontal="center" vertical="center" shrinkToFit="1"/>
    </xf>
    <xf numFmtId="0" fontId="10" fillId="0" borderId="73" xfId="0" applyFont="1" applyBorder="1" applyAlignment="1">
      <alignment horizontal="left" vertical="center" shrinkToFit="1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0" fontId="10" fillId="0" borderId="15" xfId="0" applyFont="1" applyFill="1" applyBorder="1" applyAlignment="1">
      <alignment horizontal="center" vertical="center" shrinkToFit="1"/>
    </xf>
    <xf numFmtId="14" fontId="6" fillId="0" borderId="12" xfId="0" applyNumberFormat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14" fontId="6" fillId="0" borderId="14" xfId="0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left" vertical="center" shrinkToFit="1"/>
    </xf>
    <xf numFmtId="0" fontId="10" fillId="0" borderId="19" xfId="0" applyFont="1" applyFill="1" applyBorder="1" applyAlignment="1">
      <alignment horizontal="left" vertical="center" shrinkToFit="1"/>
    </xf>
    <xf numFmtId="14" fontId="34" fillId="13" borderId="70" xfId="1" applyNumberFormat="1" applyFont="1" applyFill="1" applyBorder="1" applyAlignment="1">
      <alignment horizontal="center" vertical="center" wrapText="1" shrinkToFit="1"/>
    </xf>
    <xf numFmtId="0" fontId="34" fillId="12" borderId="70" xfId="0" applyFont="1" applyFill="1" applyBorder="1" applyAlignment="1">
      <alignment horizontal="center" vertical="center" wrapText="1" shrinkToFit="1"/>
    </xf>
    <xf numFmtId="41" fontId="6" fillId="0" borderId="62" xfId="1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41" fontId="6" fillId="0" borderId="22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5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5" xfId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10" fillId="0" borderId="14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14" fontId="10" fillId="0" borderId="22" xfId="0" quotePrefix="1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41" fontId="6" fillId="0" borderId="31" xfId="1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left" vertical="center" wrapText="1" shrinkToFit="1"/>
    </xf>
    <xf numFmtId="14" fontId="6" fillId="0" borderId="31" xfId="0" applyNumberFormat="1" applyFont="1" applyFill="1" applyBorder="1" applyAlignment="1">
      <alignment horizontal="center" vertical="center"/>
    </xf>
    <xf numFmtId="41" fontId="6" fillId="0" borderId="31" xfId="1" applyFont="1" applyFill="1" applyBorder="1" applyAlignment="1" applyProtection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180" fontId="10" fillId="0" borderId="12" xfId="1" applyNumberFormat="1" applyFont="1" applyFill="1" applyBorder="1" applyAlignment="1">
      <alignment vertical="center"/>
    </xf>
    <xf numFmtId="180" fontId="10" fillId="0" borderId="13" xfId="1" applyNumberFormat="1" applyFont="1" applyFill="1" applyBorder="1" applyAlignment="1">
      <alignment vertical="center"/>
    </xf>
    <xf numFmtId="180" fontId="10" fillId="0" borderId="22" xfId="1" applyNumberFormat="1" applyFont="1" applyFill="1" applyBorder="1" applyAlignment="1">
      <alignment vertical="center"/>
    </xf>
    <xf numFmtId="0" fontId="10" fillId="0" borderId="15" xfId="0" applyFont="1" applyFill="1" applyBorder="1" applyAlignment="1">
      <alignment horizontal="left" vertical="center" wrapText="1" shrinkToFit="1"/>
    </xf>
    <xf numFmtId="41" fontId="6" fillId="0" borderId="22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horizontal="center" vertical="center" shrinkToFit="1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22" xfId="0" quotePrefix="1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41" fontId="8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8" fillId="0" borderId="0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5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5" xfId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178" fontId="6" fillId="0" borderId="15" xfId="1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10" fillId="0" borderId="14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41" fontId="10" fillId="0" borderId="12" xfId="1" applyNumberFormat="1" applyFont="1" applyFill="1" applyBorder="1" applyAlignment="1">
      <alignment vertical="center"/>
    </xf>
    <xf numFmtId="41" fontId="10" fillId="0" borderId="12" xfId="1" applyNumberFormat="1" applyFont="1" applyFill="1" applyBorder="1" applyAlignment="1">
      <alignment horizontal="center" vertical="center"/>
    </xf>
    <xf numFmtId="41" fontId="10" fillId="0" borderId="13" xfId="1" applyNumberFormat="1" applyFont="1" applyFill="1" applyBorder="1" applyAlignment="1">
      <alignment vertical="center"/>
    </xf>
    <xf numFmtId="41" fontId="10" fillId="0" borderId="13" xfId="1" applyNumberFormat="1" applyFont="1" applyFill="1" applyBorder="1" applyAlignment="1">
      <alignment horizontal="center" vertical="center"/>
    </xf>
    <xf numFmtId="14" fontId="6" fillId="0" borderId="13" xfId="0" quotePrefix="1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left" vertical="center" shrinkToFit="1"/>
    </xf>
    <xf numFmtId="0" fontId="0" fillId="0" borderId="0" xfId="0" applyBorder="1">
      <alignment vertical="center"/>
    </xf>
    <xf numFmtId="41" fontId="10" fillId="0" borderId="14" xfId="1" applyNumberFormat="1" applyFont="1" applyFill="1" applyBorder="1" applyAlignment="1">
      <alignment vertical="center"/>
    </xf>
    <xf numFmtId="41" fontId="10" fillId="0" borderId="14" xfId="1" applyNumberFormat="1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left" vertical="center" shrinkToFit="1"/>
    </xf>
    <xf numFmtId="0" fontId="0" fillId="0" borderId="0" xfId="0" pivotButton="1">
      <alignment vertical="center"/>
    </xf>
    <xf numFmtId="0" fontId="0" fillId="0" borderId="0" xfId="0" applyFill="1" applyAlignment="1">
      <alignment horizontal="left" vertical="center"/>
    </xf>
    <xf numFmtId="41" fontId="0" fillId="0" borderId="0" xfId="0" applyNumberFormat="1" applyFill="1">
      <alignment vertical="center"/>
    </xf>
    <xf numFmtId="41" fontId="27" fillId="12" borderId="75" xfId="1" applyFont="1" applyFill="1" applyBorder="1" applyAlignment="1">
      <alignment horizontal="center" vertical="center"/>
    </xf>
    <xf numFmtId="41" fontId="27" fillId="12" borderId="84" xfId="0" applyNumberFormat="1" applyFont="1" applyFill="1" applyBorder="1" applyAlignment="1">
      <alignment horizontal="center" vertical="center"/>
    </xf>
    <xf numFmtId="41" fontId="27" fillId="4" borderId="0" xfId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41" fontId="29" fillId="4" borderId="0" xfId="1" applyFont="1" applyFill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41" fontId="27" fillId="4" borderId="0" xfId="0" applyNumberFormat="1" applyFont="1" applyFill="1" applyBorder="1" applyAlignment="1">
      <alignment horizontal="center" vertical="center"/>
    </xf>
    <xf numFmtId="0" fontId="27" fillId="5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right" vertical="center"/>
    </xf>
    <xf numFmtId="41" fontId="0" fillId="0" borderId="0" xfId="1" applyFon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15" fillId="0" borderId="0" xfId="0" applyFont="1" applyFill="1" applyBorder="1" applyAlignment="1">
      <alignment horizontal="center" vertical="center" wrapText="1"/>
    </xf>
    <xf numFmtId="41" fontId="8" fillId="0" borderId="0" xfId="0" applyNumberFormat="1" applyFont="1" applyFill="1" applyBorder="1">
      <alignment vertical="center"/>
    </xf>
    <xf numFmtId="41" fontId="8" fillId="0" borderId="0" xfId="1" applyFont="1" applyFill="1" applyBorder="1" applyAlignment="1">
      <alignment horizontal="right" vertical="center"/>
    </xf>
    <xf numFmtId="41" fontId="13" fillId="0" borderId="0" xfId="1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 shrinkToFit="1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23" xfId="1" applyFont="1" applyFill="1" applyBorder="1" applyAlignment="1" applyProtection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10" fillId="0" borderId="23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14" fontId="6" fillId="0" borderId="43" xfId="0" applyNumberFormat="1" applyFont="1" applyFill="1" applyBorder="1" applyAlignment="1">
      <alignment horizontal="center" vertical="center"/>
    </xf>
    <xf numFmtId="41" fontId="6" fillId="0" borderId="23" xfId="1" applyFont="1" applyFill="1" applyBorder="1" applyAlignment="1" applyProtection="1">
      <alignment horizontal="center" vertical="center" shrinkToFit="1"/>
    </xf>
    <xf numFmtId="0" fontId="10" fillId="0" borderId="23" xfId="0" applyFont="1" applyFill="1" applyBorder="1" applyAlignment="1">
      <alignment horizontal="left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178" fontId="6" fillId="0" borderId="14" xfId="1" applyNumberFormat="1" applyFont="1" applyFill="1" applyBorder="1" applyAlignment="1" applyProtection="1">
      <alignment horizontal="right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0" borderId="3" xfId="0" quotePrefix="1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0" fontId="8" fillId="0" borderId="0" xfId="1" applyNumberFormat="1" applyFont="1" applyAlignment="1">
      <alignment horizontal="center" vertical="center"/>
    </xf>
    <xf numFmtId="41" fontId="10" fillId="0" borderId="3" xfId="1" applyNumberFormat="1" applyFont="1" applyFill="1" applyBorder="1" applyAlignment="1">
      <alignment vertical="center"/>
    </xf>
    <xf numFmtId="41" fontId="10" fillId="0" borderId="3" xfId="1" applyNumberFormat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41" fontId="6" fillId="0" borderId="0" xfId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left" vertical="center" shrinkToFit="1"/>
    </xf>
    <xf numFmtId="0" fontId="10" fillId="0" borderId="22" xfId="0" applyFont="1" applyFill="1" applyBorder="1" applyAlignment="1">
      <alignment horizontal="left" vertical="center" shrinkToFit="1"/>
    </xf>
    <xf numFmtId="14" fontId="6" fillId="8" borderId="1" xfId="0" applyNumberFormat="1" applyFont="1" applyFill="1" applyBorder="1" applyAlignment="1">
      <alignment horizontal="center" vertical="center"/>
    </xf>
    <xf numFmtId="41" fontId="6" fillId="8" borderId="1" xfId="1" applyFont="1" applyFill="1" applyBorder="1" applyAlignment="1" applyProtection="1">
      <alignment horizontal="center" vertical="center" shrinkToFit="1"/>
    </xf>
    <xf numFmtId="0" fontId="6" fillId="8" borderId="1" xfId="0" applyFont="1" applyFill="1" applyBorder="1" applyAlignment="1">
      <alignment horizontal="center" vertical="center"/>
    </xf>
    <xf numFmtId="41" fontId="6" fillId="8" borderId="1" xfId="1" applyFont="1" applyFill="1" applyBorder="1" applyAlignment="1" applyProtection="1">
      <alignment horizontal="center" vertical="center"/>
    </xf>
    <xf numFmtId="178" fontId="6" fillId="8" borderId="1" xfId="1" applyNumberFormat="1" applyFont="1" applyFill="1" applyBorder="1" applyAlignment="1" applyProtection="1">
      <alignment horizontal="right" vertical="center"/>
    </xf>
    <xf numFmtId="0" fontId="10" fillId="8" borderId="1" xfId="0" applyFont="1" applyFill="1" applyBorder="1" applyAlignment="1">
      <alignment horizontal="left" vertical="center" shrinkToFit="1"/>
    </xf>
    <xf numFmtId="41" fontId="6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4" fontId="10" fillId="0" borderId="12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10" fillId="0" borderId="1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left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10" fillId="0" borderId="3" xfId="1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79" fontId="21" fillId="0" borderId="1" xfId="0" applyNumberFormat="1" applyFont="1" applyFill="1" applyBorder="1" applyAlignment="1">
      <alignment horizontal="center" vertical="center" wrapText="1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0" borderId="22" xfId="0" quotePrefix="1" applyNumberFormat="1" applyFont="1" applyFill="1" applyBorder="1" applyAlignment="1">
      <alignment horizontal="center" vertical="center"/>
    </xf>
    <xf numFmtId="14" fontId="10" fillId="0" borderId="3" xfId="0" quotePrefix="1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41" fontId="6" fillId="0" borderId="13" xfId="1" applyFont="1" applyFill="1" applyBorder="1" applyAlignment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10" fillId="0" borderId="1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14" fontId="10" fillId="0" borderId="23" xfId="0" quotePrefix="1" applyNumberFormat="1" applyFont="1" applyFill="1" applyBorder="1" applyAlignment="1">
      <alignment horizontal="center" vertical="center"/>
    </xf>
    <xf numFmtId="14" fontId="10" fillId="0" borderId="3" xfId="0" quotePrefix="1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23" xfId="1" applyFont="1" applyFill="1" applyBorder="1" applyAlignment="1" applyProtection="1">
      <alignment horizontal="center" vertical="center"/>
    </xf>
    <xf numFmtId="41" fontId="10" fillId="0" borderId="23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78" fontId="6" fillId="0" borderId="15" xfId="1" applyNumberFormat="1" applyFont="1" applyFill="1" applyBorder="1" applyAlignment="1" applyProtection="1">
      <alignment horizontal="right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41" fontId="10" fillId="0" borderId="15" xfId="1" applyNumberFormat="1" applyFont="1" applyFill="1" applyBorder="1" applyAlignment="1">
      <alignment vertical="center"/>
    </xf>
    <xf numFmtId="41" fontId="10" fillId="0" borderId="15" xfId="1" applyNumberFormat="1" applyFont="1" applyFill="1" applyBorder="1" applyAlignment="1">
      <alignment horizontal="center" vertical="center"/>
    </xf>
    <xf numFmtId="179" fontId="13" fillId="0" borderId="0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5" xfId="1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>
      <alignment horizontal="center" vertical="center" shrinkToFit="1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179" fontId="6" fillId="0" borderId="12" xfId="0" applyNumberFormat="1" applyFont="1" applyFill="1" applyBorder="1" applyAlignment="1">
      <alignment horizontal="left" vertical="center" wrapText="1" shrinkToFit="1"/>
    </xf>
    <xf numFmtId="0" fontId="10" fillId="0" borderId="14" xfId="0" applyFont="1" applyFill="1" applyBorder="1" applyAlignment="1">
      <alignment horizontal="center" vertical="center" shrinkToFit="1"/>
    </xf>
    <xf numFmtId="41" fontId="10" fillId="0" borderId="14" xfId="1" applyFont="1" applyFill="1" applyBorder="1" applyAlignment="1">
      <alignment horizontal="center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14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horizontal="center" vertical="center" shrinkToFit="1"/>
    </xf>
    <xf numFmtId="41" fontId="6" fillId="0" borderId="15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0" fontId="13" fillId="0" borderId="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41" fontId="6" fillId="0" borderId="15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 applyProtection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23" xfId="0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6" fillId="0" borderId="15" xfId="1" applyNumberFormat="1" applyFont="1" applyFill="1" applyBorder="1" applyAlignment="1" applyProtection="1">
      <alignment horizontal="right" vertical="center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41" fontId="10" fillId="0" borderId="23" xfId="1" applyNumberFormat="1" applyFont="1" applyFill="1" applyBorder="1" applyAlignment="1">
      <alignment vertical="center"/>
    </xf>
    <xf numFmtId="41" fontId="10" fillId="0" borderId="23" xfId="1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30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0" fillId="0" borderId="22" xfId="0" applyFont="1" applyFill="1" applyBorder="1" applyAlignment="1">
      <alignment horizontal="center" vertical="center" shrinkToFit="1"/>
    </xf>
    <xf numFmtId="41" fontId="6" fillId="0" borderId="22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22" xfId="0" quotePrefix="1" applyNumberFormat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179" fontId="21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10" fillId="0" borderId="14" xfId="1" applyFont="1" applyFill="1" applyBorder="1" applyAlignment="1">
      <alignment horizontal="center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41" fontId="10" fillId="0" borderId="12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left" vertical="center" wrapText="1" shrinkToFit="1"/>
    </xf>
    <xf numFmtId="0" fontId="10" fillId="0" borderId="19" xfId="0" applyFont="1" applyFill="1" applyBorder="1" applyAlignment="1">
      <alignment horizontal="left" vertical="center" wrapText="1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23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6" fillId="0" borderId="23" xfId="1" applyFont="1" applyFill="1" applyBorder="1" applyAlignment="1" applyProtection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0" fontId="10" fillId="0" borderId="2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41" fontId="10" fillId="0" borderId="12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179" fontId="36" fillId="0" borderId="1" xfId="0" applyNumberFormat="1" applyFont="1" applyFill="1" applyBorder="1" applyAlignment="1">
      <alignment horizontal="center" vertical="center"/>
    </xf>
    <xf numFmtId="0" fontId="35" fillId="0" borderId="12" xfId="0" applyFont="1" applyFill="1" applyBorder="1" applyAlignment="1">
      <alignment horizontal="left" vertical="center"/>
    </xf>
    <xf numFmtId="0" fontId="35" fillId="0" borderId="23" xfId="0" applyFont="1" applyFill="1" applyBorder="1" applyAlignment="1">
      <alignment horizontal="left" vertical="center"/>
    </xf>
    <xf numFmtId="0" fontId="35" fillId="0" borderId="14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left" vertical="center" wrapText="1" shrinkToFit="1"/>
    </xf>
    <xf numFmtId="0" fontId="10" fillId="0" borderId="3" xfId="0" applyFont="1" applyBorder="1" applyAlignment="1">
      <alignment horizontal="left" vertical="center" shrinkToFit="1"/>
    </xf>
    <xf numFmtId="0" fontId="13" fillId="0" borderId="0" xfId="0" applyFont="1" applyFill="1" applyBorder="1" applyAlignment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>
      <alignment horizontal="center" vertical="center"/>
    </xf>
    <xf numFmtId="178" fontId="10" fillId="0" borderId="15" xfId="1" applyNumberFormat="1" applyFont="1" applyFill="1" applyBorder="1" applyAlignment="1" applyProtection="1">
      <alignment horizontal="right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5" xfId="0" applyNumberFormat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5" xfId="0" quotePrefix="1" applyNumberFormat="1" applyFont="1" applyFill="1" applyBorder="1" applyAlignment="1">
      <alignment horizontal="center" vertical="center"/>
    </xf>
    <xf numFmtId="41" fontId="10" fillId="0" borderId="15" xfId="1" applyFont="1" applyFill="1" applyBorder="1" applyAlignment="1" applyProtection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6" fillId="0" borderId="14" xfId="0" quotePrefix="1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0" fontId="10" fillId="0" borderId="63" xfId="0" applyFont="1" applyFill="1" applyBorder="1" applyAlignment="1">
      <alignment horizontal="center" vertical="center" shrinkToFit="1"/>
    </xf>
    <xf numFmtId="41" fontId="6" fillId="3" borderId="63" xfId="1" applyFont="1" applyFill="1" applyBorder="1" applyAlignment="1">
      <alignment horizontal="center" vertical="center"/>
    </xf>
    <xf numFmtId="41" fontId="8" fillId="0" borderId="0" xfId="0" applyNumberFormat="1" applyFont="1" applyFill="1" applyBorder="1" applyAlignment="1">
      <alignment horizontal="center" vertical="center"/>
    </xf>
    <xf numFmtId="41" fontId="8" fillId="0" borderId="0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41" fontId="6" fillId="0" borderId="22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5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78" fontId="6" fillId="0" borderId="15" xfId="1" applyNumberFormat="1" applyFont="1" applyFill="1" applyBorder="1" applyAlignment="1" applyProtection="1">
      <alignment horizontal="right" vertical="center"/>
    </xf>
    <xf numFmtId="41" fontId="6" fillId="0" borderId="13" xfId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41" fontId="0" fillId="0" borderId="0" xfId="1" applyFont="1" applyBorder="1">
      <alignment vertical="center"/>
    </xf>
    <xf numFmtId="41" fontId="31" fillId="0" borderId="0" xfId="0" applyNumberFormat="1" applyFont="1" applyBorder="1">
      <alignment vertical="center"/>
    </xf>
    <xf numFmtId="0" fontId="5" fillId="15" borderId="85" xfId="0" applyFont="1" applyFill="1" applyBorder="1" applyAlignment="1">
      <alignment horizontal="center" vertical="center"/>
    </xf>
    <xf numFmtId="0" fontId="37" fillId="4" borderId="86" xfId="0" applyFont="1" applyFill="1" applyBorder="1">
      <alignment vertical="center"/>
    </xf>
    <xf numFmtId="41" fontId="0" fillId="4" borderId="86" xfId="1" applyFont="1" applyFill="1" applyBorder="1">
      <alignment vertical="center"/>
    </xf>
    <xf numFmtId="41" fontId="31" fillId="4" borderId="86" xfId="0" applyNumberFormat="1" applyFont="1" applyFill="1" applyBorder="1">
      <alignment vertical="center"/>
    </xf>
    <xf numFmtId="0" fontId="38" fillId="0" borderId="0" xfId="0" applyFont="1" applyAlignment="1">
      <alignment vertical="center"/>
    </xf>
    <xf numFmtId="0" fontId="0" fillId="6" borderId="0" xfId="0" applyFill="1" applyAlignment="1">
      <alignment horizontal="center" vertical="center"/>
    </xf>
    <xf numFmtId="41" fontId="0" fillId="6" borderId="0" xfId="0" applyNumberFormat="1" applyFill="1">
      <alignment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0" fontId="10" fillId="0" borderId="2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22" xfId="0" quotePrefix="1" applyNumberFormat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10" fillId="3" borderId="23" xfId="1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10" fillId="0" borderId="2" xfId="1" applyFont="1" applyFill="1" applyBorder="1" applyAlignment="1">
      <alignment horizontal="center" vertical="center"/>
    </xf>
    <xf numFmtId="41" fontId="10" fillId="0" borderId="23" xfId="1" applyFont="1" applyFill="1" applyBorder="1" applyAlignment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23" xfId="0" quotePrefix="1" applyNumberFormat="1" applyFont="1" applyFill="1" applyBorder="1" applyAlignment="1">
      <alignment horizontal="center" vertical="center"/>
    </xf>
    <xf numFmtId="14" fontId="10" fillId="0" borderId="23" xfId="0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2" xfId="0" quotePrefix="1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4" fontId="6" fillId="0" borderId="23" xfId="0" applyNumberFormat="1" applyFont="1" applyBorder="1" applyAlignment="1">
      <alignment horizontal="center" vertical="center"/>
    </xf>
    <xf numFmtId="41" fontId="6" fillId="0" borderId="2" xfId="1" applyFont="1" applyFill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4" xfId="0" applyNumberFormat="1" applyFont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1" fontId="6" fillId="0" borderId="23" xfId="1" applyFont="1" applyFill="1" applyBorder="1" applyAlignment="1" applyProtection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0" fontId="10" fillId="0" borderId="23" xfId="0" applyFont="1" applyFill="1" applyBorder="1" applyAlignment="1">
      <alignment horizontal="center" vertical="center" shrinkToFit="1"/>
    </xf>
    <xf numFmtId="41" fontId="6" fillId="0" borderId="2" xfId="1" applyFont="1" applyFill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14" fontId="6" fillId="0" borderId="2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7" fillId="3" borderId="3" xfId="1" applyFont="1" applyFill="1" applyBorder="1" applyAlignment="1" applyProtection="1">
      <alignment horizontal="center" vertical="center" shrinkToFit="1"/>
    </xf>
    <xf numFmtId="41" fontId="7" fillId="8" borderId="3" xfId="1" applyFont="1" applyFill="1" applyBorder="1" applyAlignment="1" applyProtection="1">
      <alignment horizontal="center" vertical="center"/>
    </xf>
    <xf numFmtId="178" fontId="6" fillId="13" borderId="13" xfId="1" applyNumberFormat="1" applyFont="1" applyFill="1" applyBorder="1" applyAlignment="1" applyProtection="1">
      <alignment horizontal="right" vertical="center"/>
    </xf>
    <xf numFmtId="178" fontId="6" fillId="13" borderId="3" xfId="1" applyNumberFormat="1" applyFont="1" applyFill="1" applyBorder="1" applyAlignment="1" applyProtection="1">
      <alignment horizontal="right" vertical="center"/>
    </xf>
    <xf numFmtId="178" fontId="6" fillId="13" borderId="14" xfId="1" applyNumberFormat="1" applyFont="1" applyFill="1" applyBorder="1" applyAlignment="1" applyProtection="1">
      <alignment horizontal="right" vertical="center"/>
    </xf>
    <xf numFmtId="178" fontId="6" fillId="13" borderId="12" xfId="1" applyNumberFormat="1" applyFont="1" applyFill="1" applyBorder="1" applyAlignment="1" applyProtection="1">
      <alignment horizontal="right" vertical="center"/>
    </xf>
    <xf numFmtId="178" fontId="6" fillId="13" borderId="22" xfId="1" applyNumberFormat="1" applyFont="1" applyFill="1" applyBorder="1" applyAlignment="1" applyProtection="1">
      <alignment horizontal="right" vertical="center"/>
    </xf>
    <xf numFmtId="178" fontId="6" fillId="13" borderId="1" xfId="1" applyNumberFormat="1" applyFont="1" applyFill="1" applyBorder="1" applyAlignment="1" applyProtection="1">
      <alignment horizontal="right" vertical="center"/>
    </xf>
    <xf numFmtId="178" fontId="6" fillId="13" borderId="23" xfId="1" applyNumberFormat="1" applyFont="1" applyFill="1" applyBorder="1" applyAlignment="1" applyProtection="1">
      <alignment horizontal="right" vertical="center"/>
    </xf>
    <xf numFmtId="0" fontId="8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22" xfId="1" applyFont="1" applyFill="1" applyBorder="1" applyAlignment="1" applyProtection="1">
      <alignment horizontal="center" vertical="center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10" fillId="0" borderId="3" xfId="1" applyFont="1" applyFill="1" applyBorder="1" applyAlignment="1">
      <alignment horizontal="center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22" xfId="1" applyNumberFormat="1" applyFont="1" applyFill="1" applyBorder="1" applyAlignment="1" applyProtection="1">
      <alignment horizontal="right" vertical="center"/>
    </xf>
    <xf numFmtId="41" fontId="6" fillId="0" borderId="23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4" fontId="10" fillId="0" borderId="3" xfId="0" quotePrefix="1" applyNumberFormat="1" applyFont="1" applyFill="1" applyBorder="1" applyAlignment="1">
      <alignment horizontal="center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23" xfId="0" applyNumberFormat="1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78" fontId="6" fillId="13" borderId="15" xfId="1" applyNumberFormat="1" applyFont="1" applyFill="1" applyBorder="1" applyAlignment="1" applyProtection="1">
      <alignment horizontal="right" vertical="center"/>
    </xf>
    <xf numFmtId="0" fontId="10" fillId="0" borderId="35" xfId="0" applyFont="1" applyFill="1" applyBorder="1" applyAlignment="1">
      <alignment horizontal="left" vertical="center" shrinkToFit="1"/>
    </xf>
    <xf numFmtId="0" fontId="35" fillId="0" borderId="13" xfId="0" applyFont="1" applyFill="1" applyBorder="1" applyAlignment="1">
      <alignment horizontal="left" vertical="center"/>
    </xf>
    <xf numFmtId="41" fontId="10" fillId="0" borderId="22" xfId="1" applyNumberFormat="1" applyFont="1" applyFill="1" applyBorder="1" applyAlignment="1">
      <alignment vertical="center"/>
    </xf>
    <xf numFmtId="41" fontId="10" fillId="0" borderId="22" xfId="1" applyNumberFormat="1" applyFont="1" applyFill="1" applyBorder="1" applyAlignment="1">
      <alignment horizontal="center" vertical="center"/>
    </xf>
    <xf numFmtId="0" fontId="35" fillId="0" borderId="22" xfId="0" applyFont="1" applyFill="1" applyBorder="1" applyAlignment="1">
      <alignment horizontal="left" vertical="center"/>
    </xf>
    <xf numFmtId="14" fontId="6" fillId="0" borderId="12" xfId="0" quotePrefix="1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41" fontId="10" fillId="0" borderId="13" xfId="1" applyFont="1" applyFill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178" fontId="10" fillId="0" borderId="13" xfId="1" applyNumberFormat="1" applyFont="1" applyFill="1" applyBorder="1" applyAlignment="1" applyProtection="1">
      <alignment horizontal="right" vertical="center"/>
    </xf>
    <xf numFmtId="14" fontId="10" fillId="0" borderId="13" xfId="0" quotePrefix="1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41" fontId="10" fillId="0" borderId="13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3" xfId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10" fillId="0" borderId="22" xfId="0" applyNumberFormat="1" applyFont="1" applyFill="1" applyBorder="1" applyAlignment="1">
      <alignment horizontal="center" vertical="center"/>
    </xf>
    <xf numFmtId="14" fontId="10" fillId="0" borderId="22" xfId="0" quotePrefix="1" applyNumberFormat="1" applyFont="1" applyFill="1" applyBorder="1" applyAlignment="1">
      <alignment horizontal="center" vertical="center"/>
    </xf>
    <xf numFmtId="41" fontId="10" fillId="0" borderId="22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14" fontId="6" fillId="0" borderId="3" xfId="0" quotePrefix="1" applyNumberFormat="1" applyFont="1" applyFill="1" applyBorder="1" applyAlignment="1">
      <alignment horizontal="center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79" fontId="21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 shrinkToFit="1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10" fillId="0" borderId="23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41" fontId="6" fillId="0" borderId="23" xfId="1" applyFont="1" applyFill="1" applyBorder="1" applyAlignment="1" applyProtection="1">
      <alignment horizontal="center" vertical="center"/>
    </xf>
    <xf numFmtId="41" fontId="6" fillId="0" borderId="3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178" fontId="6" fillId="0" borderId="23" xfId="1" applyNumberFormat="1" applyFont="1" applyFill="1" applyBorder="1" applyAlignment="1" applyProtection="1">
      <alignment horizontal="right" vertical="center"/>
    </xf>
    <xf numFmtId="178" fontId="6" fillId="0" borderId="3" xfId="1" applyNumberFormat="1" applyFont="1" applyFill="1" applyBorder="1" applyAlignment="1" applyProtection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41" fontId="6" fillId="0" borderId="2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4" fontId="6" fillId="0" borderId="23" xfId="0" applyNumberFormat="1" applyFont="1" applyBorder="1" applyAlignment="1">
      <alignment horizontal="center" vertical="center"/>
    </xf>
    <xf numFmtId="41" fontId="6" fillId="0" borderId="23" xfId="1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4" xfId="0" applyNumberFormat="1" applyFont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22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23" xfId="0" applyNumberFormat="1" applyFont="1" applyFill="1" applyBorder="1" applyAlignment="1">
      <alignment horizontal="center" vertical="center"/>
    </xf>
    <xf numFmtId="14" fontId="6" fillId="0" borderId="3" xfId="0" applyNumberFormat="1" applyFont="1" applyFill="1" applyBorder="1" applyAlignment="1">
      <alignment horizontal="center" vertical="center"/>
    </xf>
    <xf numFmtId="41" fontId="6" fillId="0" borderId="15" xfId="1" applyFont="1" applyFill="1" applyBorder="1" applyAlignment="1">
      <alignment horizontal="center" vertical="center"/>
    </xf>
    <xf numFmtId="41" fontId="6" fillId="0" borderId="3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178" fontId="10" fillId="0" borderId="14" xfId="1" applyNumberFormat="1" applyFont="1" applyFill="1" applyBorder="1" applyAlignment="1" applyProtection="1">
      <alignment horizontal="right" vertical="center"/>
    </xf>
    <xf numFmtId="178" fontId="6" fillId="0" borderId="15" xfId="1" applyNumberFormat="1" applyFont="1" applyFill="1" applyBorder="1" applyAlignment="1" applyProtection="1">
      <alignment horizontal="right" vertical="center"/>
    </xf>
    <xf numFmtId="0" fontId="6" fillId="0" borderId="13" xfId="0" applyFont="1" applyFill="1" applyBorder="1" applyAlignment="1">
      <alignment horizontal="left" vertical="center" wrapText="1" shrinkToFit="1"/>
    </xf>
    <xf numFmtId="41" fontId="6" fillId="0" borderId="13" xfId="1" applyFont="1" applyFill="1" applyBorder="1" applyAlignment="1">
      <alignment horizontal="center" vertical="center"/>
    </xf>
    <xf numFmtId="41" fontId="10" fillId="0" borderId="12" xfId="1" applyFont="1" applyFill="1" applyBorder="1" applyAlignment="1" applyProtection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4" fontId="10" fillId="0" borderId="14" xfId="0" quotePrefix="1" applyNumberFormat="1" applyFont="1" applyFill="1" applyBorder="1" applyAlignment="1">
      <alignment horizontal="center" vertical="center"/>
    </xf>
    <xf numFmtId="0" fontId="10" fillId="0" borderId="14" xfId="0" applyFont="1" applyBorder="1" applyAlignment="1">
      <alignment horizontal="left" vertical="center" shrinkToFit="1"/>
    </xf>
    <xf numFmtId="41" fontId="7" fillId="3" borderId="1" xfId="1" applyFont="1" applyFill="1" applyBorder="1" applyAlignment="1" applyProtection="1">
      <alignment horizontal="center" vertical="center" shrinkToFit="1"/>
    </xf>
    <xf numFmtId="0" fontId="5" fillId="15" borderId="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41" fontId="0" fillId="5" borderId="0" xfId="1" applyFont="1" applyFill="1" applyBorder="1">
      <alignment vertical="center"/>
    </xf>
    <xf numFmtId="41" fontId="31" fillId="5" borderId="0" xfId="0" applyNumberFormat="1" applyFont="1" applyFill="1" applyBorder="1">
      <alignment vertical="center"/>
    </xf>
    <xf numFmtId="41" fontId="0" fillId="5" borderId="0" xfId="0" applyNumberFormat="1" applyFill="1">
      <alignment vertical="center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3" xfId="1" applyFont="1" applyFill="1" applyBorder="1" applyAlignment="1" applyProtection="1">
      <alignment horizontal="center" vertical="center"/>
    </xf>
    <xf numFmtId="41" fontId="6" fillId="0" borderId="14" xfId="1" applyFont="1" applyFill="1" applyBorder="1" applyAlignment="1" applyProtection="1">
      <alignment horizontal="center" vertical="center"/>
    </xf>
    <xf numFmtId="178" fontId="6" fillId="0" borderId="13" xfId="1" applyNumberFormat="1" applyFont="1" applyFill="1" applyBorder="1" applyAlignment="1" applyProtection="1">
      <alignment horizontal="right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41" fontId="6" fillId="0" borderId="14" xfId="1" applyFont="1" applyFill="1" applyBorder="1" applyAlignment="1">
      <alignment horizontal="center" vertical="center"/>
    </xf>
    <xf numFmtId="178" fontId="6" fillId="0" borderId="14" xfId="1" applyNumberFormat="1" applyFont="1" applyFill="1" applyBorder="1" applyAlignment="1" applyProtection="1">
      <alignment horizontal="right" vertical="center"/>
    </xf>
    <xf numFmtId="14" fontId="6" fillId="0" borderId="13" xfId="0" applyNumberFormat="1" applyFont="1" applyFill="1" applyBorder="1" applyAlignment="1">
      <alignment horizontal="center" vertical="center"/>
    </xf>
    <xf numFmtId="14" fontId="6" fillId="0" borderId="12" xfId="0" applyNumberFormat="1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10" fillId="0" borderId="13" xfId="0" applyNumberFormat="1" applyFont="1" applyFill="1" applyBorder="1" applyAlignment="1">
      <alignment horizontal="center" vertical="center"/>
    </xf>
    <xf numFmtId="41" fontId="6" fillId="0" borderId="13" xfId="1" applyFont="1" applyFill="1" applyBorder="1" applyAlignment="1">
      <alignment horizontal="center" vertical="center"/>
    </xf>
    <xf numFmtId="14" fontId="10" fillId="0" borderId="12" xfId="0" applyNumberFormat="1" applyFont="1" applyFill="1" applyBorder="1" applyAlignment="1">
      <alignment horizontal="center" vertical="center"/>
    </xf>
    <xf numFmtId="14" fontId="10" fillId="0" borderId="14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41" fontId="6" fillId="0" borderId="12" xfId="1" applyFont="1" applyFill="1" applyBorder="1" applyAlignment="1" applyProtection="1">
      <alignment horizontal="center" vertical="center"/>
    </xf>
    <xf numFmtId="41" fontId="6" fillId="0" borderId="12" xfId="1" applyFont="1" applyFill="1" applyBorder="1" applyAlignment="1">
      <alignment horizontal="center" vertical="center"/>
    </xf>
    <xf numFmtId="178" fontId="6" fillId="0" borderId="12" xfId="1" applyNumberFormat="1" applyFont="1" applyFill="1" applyBorder="1" applyAlignment="1" applyProtection="1">
      <alignment horizontal="right" vertical="center"/>
    </xf>
    <xf numFmtId="14" fontId="10" fillId="0" borderId="12" xfId="0" quotePrefix="1" applyNumberFormat="1" applyFont="1" applyFill="1" applyBorder="1" applyAlignment="1">
      <alignment horizontal="center" vertical="center"/>
    </xf>
    <xf numFmtId="183" fontId="24" fillId="0" borderId="0" xfId="0" applyNumberFormat="1" applyFont="1" applyBorder="1" applyAlignment="1">
      <alignment horizontal="right" vertical="center"/>
    </xf>
    <xf numFmtId="0" fontId="5" fillId="8" borderId="79" xfId="0" applyFont="1" applyFill="1" applyBorder="1" applyAlignment="1">
      <alignment horizontal="center" vertical="center"/>
    </xf>
    <xf numFmtId="0" fontId="5" fillId="8" borderId="80" xfId="0" applyFont="1" applyFill="1" applyBorder="1" applyAlignment="1">
      <alignment horizontal="center" vertical="center"/>
    </xf>
    <xf numFmtId="0" fontId="5" fillId="8" borderId="66" xfId="0" applyFont="1" applyFill="1" applyBorder="1" applyAlignment="1">
      <alignment horizontal="center" vertical="center" wrapText="1"/>
    </xf>
    <xf numFmtId="0" fontId="5" fillId="8" borderId="67" xfId="0" applyFont="1" applyFill="1" applyBorder="1" applyAlignment="1">
      <alignment horizontal="center" vertical="center" wrapText="1"/>
    </xf>
    <xf numFmtId="0" fontId="5" fillId="10" borderId="66" xfId="0" applyFont="1" applyFill="1" applyBorder="1" applyAlignment="1">
      <alignment horizontal="center" vertical="center" wrapText="1"/>
    </xf>
    <xf numFmtId="0" fontId="5" fillId="10" borderId="67" xfId="0" applyFont="1" applyFill="1" applyBorder="1" applyAlignment="1">
      <alignment horizontal="center" vertical="center" wrapText="1"/>
    </xf>
    <xf numFmtId="0" fontId="5" fillId="8" borderId="66" xfId="0" applyFont="1" applyFill="1" applyBorder="1" applyAlignment="1">
      <alignment horizontal="center" vertical="center"/>
    </xf>
    <xf numFmtId="0" fontId="5" fillId="8" borderId="67" xfId="0" applyFont="1" applyFill="1" applyBorder="1" applyAlignment="1">
      <alignment horizontal="center" vertical="center"/>
    </xf>
    <xf numFmtId="0" fontId="26" fillId="8" borderId="77" xfId="0" applyFont="1" applyFill="1" applyBorder="1" applyAlignment="1">
      <alignment horizontal="center" vertical="center"/>
    </xf>
    <xf numFmtId="0" fontId="26" fillId="8" borderId="78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0" fontId="26" fillId="8" borderId="67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 wrapText="1"/>
    </xf>
    <xf numFmtId="0" fontId="5" fillId="4" borderId="67" xfId="0" applyFont="1" applyFill="1" applyBorder="1" applyAlignment="1">
      <alignment horizontal="center" vertical="center" wrapText="1"/>
    </xf>
    <xf numFmtId="0" fontId="5" fillId="10" borderId="66" xfId="0" applyFont="1" applyFill="1" applyBorder="1" applyAlignment="1">
      <alignment horizontal="center" vertical="center"/>
    </xf>
    <xf numFmtId="0" fontId="5" fillId="10" borderId="67" xfId="0" applyFont="1" applyFill="1" applyBorder="1" applyAlignment="1">
      <alignment horizontal="center" vertical="center"/>
    </xf>
    <xf numFmtId="0" fontId="26" fillId="13" borderId="56" xfId="0" applyFont="1" applyFill="1" applyBorder="1" applyAlignment="1">
      <alignment horizontal="center" vertical="center"/>
    </xf>
    <xf numFmtId="0" fontId="26" fillId="13" borderId="57" xfId="0" applyFont="1" applyFill="1" applyBorder="1" applyAlignment="1">
      <alignment horizontal="center" vertical="center"/>
    </xf>
    <xf numFmtId="0" fontId="26" fillId="13" borderId="82" xfId="0" applyFont="1" applyFill="1" applyBorder="1" applyAlignment="1">
      <alignment horizontal="center" vertical="center"/>
    </xf>
    <xf numFmtId="0" fontId="26" fillId="13" borderId="66" xfId="0" applyFont="1" applyFill="1" applyBorder="1" applyAlignment="1">
      <alignment horizontal="center" vertical="center"/>
    </xf>
    <xf numFmtId="0" fontId="26" fillId="13" borderId="67" xfId="0" applyFont="1" applyFill="1" applyBorder="1" applyAlignment="1">
      <alignment horizontal="center" vertical="center"/>
    </xf>
    <xf numFmtId="0" fontId="26" fillId="13" borderId="77" xfId="0" applyFont="1" applyFill="1" applyBorder="1" applyAlignment="1">
      <alignment horizontal="center" vertical="center"/>
    </xf>
    <xf numFmtId="0" fontId="26" fillId="13" borderId="78" xfId="0" applyFont="1" applyFill="1" applyBorder="1" applyAlignment="1">
      <alignment horizontal="center" vertical="center"/>
    </xf>
    <xf numFmtId="0" fontId="26" fillId="13" borderId="0" xfId="0" applyFont="1" applyFill="1" applyBorder="1" applyAlignment="1">
      <alignment horizontal="center" vertical="center"/>
    </xf>
    <xf numFmtId="0" fontId="26" fillId="4" borderId="0" xfId="0" applyFont="1" applyFill="1" applyBorder="1" applyAlignment="1">
      <alignment horizontal="center" vertical="center"/>
    </xf>
    <xf numFmtId="0" fontId="26" fillId="12" borderId="83" xfId="0" applyFont="1" applyFill="1" applyBorder="1" applyAlignment="1">
      <alignment horizontal="center" vertical="center" wrapText="1"/>
    </xf>
    <xf numFmtId="0" fontId="26" fillId="12" borderId="74" xfId="0" applyFont="1" applyFill="1" applyBorder="1" applyAlignment="1">
      <alignment horizontal="center" vertical="center" wrapText="1"/>
    </xf>
    <xf numFmtId="0" fontId="26" fillId="13" borderId="81" xfId="0" applyFont="1" applyFill="1" applyBorder="1" applyAlignment="1">
      <alignment horizontal="center" vertical="center"/>
    </xf>
    <xf numFmtId="0" fontId="26" fillId="12" borderId="8" xfId="0" applyFont="1" applyFill="1" applyBorder="1" applyAlignment="1">
      <alignment horizontal="center" vertical="center" wrapText="1"/>
    </xf>
    <xf numFmtId="0" fontId="26" fillId="12" borderId="62" xfId="0" applyFont="1" applyFill="1" applyBorder="1" applyAlignment="1">
      <alignment horizontal="center" vertical="center" wrapText="1"/>
    </xf>
    <xf numFmtId="0" fontId="14" fillId="11" borderId="9" xfId="0" applyFont="1" applyFill="1" applyBorder="1" applyAlignment="1">
      <alignment horizontal="center" vertical="center"/>
    </xf>
    <xf numFmtId="0" fontId="14" fillId="11" borderId="38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 wrapText="1"/>
    </xf>
    <xf numFmtId="0" fontId="14" fillId="11" borderId="38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38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41" fontId="15" fillId="5" borderId="5" xfId="1" applyFont="1" applyFill="1" applyBorder="1" applyAlignment="1">
      <alignment horizontal="center" vertical="center"/>
    </xf>
    <xf numFmtId="41" fontId="15" fillId="5" borderId="7" xfId="1" applyFont="1" applyFill="1" applyBorder="1" applyAlignment="1">
      <alignment horizontal="center" vertical="center"/>
    </xf>
    <xf numFmtId="41" fontId="8" fillId="0" borderId="0" xfId="0" applyNumberFormat="1" applyFont="1" applyFill="1" applyBorder="1" applyAlignment="1">
      <alignment horizontal="center" vertical="center"/>
    </xf>
    <xf numFmtId="179" fontId="14" fillId="11" borderId="9" xfId="0" applyNumberFormat="1" applyFont="1" applyFill="1" applyBorder="1" applyAlignment="1">
      <alignment horizontal="center" vertical="center" wrapText="1"/>
    </xf>
    <xf numFmtId="179" fontId="14" fillId="11" borderId="38" xfId="0" applyNumberFormat="1" applyFont="1" applyFill="1" applyBorder="1" applyAlignment="1">
      <alignment horizontal="center" vertical="center" wrapText="1"/>
    </xf>
    <xf numFmtId="41" fontId="8" fillId="0" borderId="0" xfId="1" applyFont="1" applyFill="1" applyBorder="1" applyAlignment="1">
      <alignment horizontal="center" vertical="center"/>
    </xf>
    <xf numFmtId="41" fontId="15" fillId="0" borderId="0" xfId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top"/>
    </xf>
    <xf numFmtId="0" fontId="13" fillId="0" borderId="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177" fontId="34" fillId="13" borderId="71" xfId="1" applyNumberFormat="1" applyFont="1" applyFill="1" applyBorder="1" applyAlignment="1">
      <alignment horizontal="center" vertical="center"/>
    </xf>
    <xf numFmtId="177" fontId="34" fillId="13" borderId="72" xfId="1" applyNumberFormat="1" applyFont="1" applyFill="1" applyBorder="1" applyAlignment="1">
      <alignment horizontal="center" vertical="center"/>
    </xf>
    <xf numFmtId="176" fontId="34" fillId="12" borderId="71" xfId="0" applyNumberFormat="1" applyFont="1" applyFill="1" applyBorder="1" applyAlignment="1">
      <alignment horizontal="center" vertical="center"/>
    </xf>
    <xf numFmtId="176" fontId="34" fillId="12" borderId="72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shrinkToFit="1"/>
    </xf>
    <xf numFmtId="41" fontId="6" fillId="0" borderId="2" xfId="1" applyFont="1" applyFill="1" applyBorder="1" applyAlignment="1" applyProtection="1">
      <alignment horizontal="center" vertical="center"/>
    </xf>
    <xf numFmtId="0" fontId="10" fillId="0" borderId="2" xfId="0" applyFont="1" applyBorder="1" applyAlignment="1">
      <alignment horizontal="center" vertical="center" shrinkToFit="1"/>
    </xf>
    <xf numFmtId="41" fontId="6" fillId="0" borderId="24" xfId="1" applyFont="1" applyFill="1" applyBorder="1" applyAlignment="1" applyProtection="1">
      <alignment horizontal="center" vertical="center"/>
    </xf>
    <xf numFmtId="0" fontId="10" fillId="0" borderId="24" xfId="0" applyFont="1" applyBorder="1" applyAlignment="1">
      <alignment horizontal="center" vertical="center" shrinkToFit="1"/>
    </xf>
    <xf numFmtId="0" fontId="13" fillId="0" borderId="3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shrinkToFit="1"/>
    </xf>
    <xf numFmtId="179" fontId="13" fillId="0" borderId="1" xfId="0" applyNumberFormat="1" applyFont="1" applyBorder="1" applyAlignment="1">
      <alignment horizontal="center" vertical="center"/>
    </xf>
    <xf numFmtId="41" fontId="6" fillId="0" borderId="23" xfId="1" applyFont="1" applyFill="1" applyBorder="1" applyAlignment="1" applyProtection="1">
      <alignment horizontal="center" vertical="center"/>
    </xf>
    <xf numFmtId="0" fontId="10" fillId="0" borderId="2" xfId="0" applyFont="1" applyFill="1" applyBorder="1" applyAlignment="1">
      <alignment horizontal="center" vertical="center" shrinkToFit="1"/>
    </xf>
    <xf numFmtId="0" fontId="10" fillId="0" borderId="23" xfId="0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center" vertical="center" shrinkToFit="1"/>
    </xf>
    <xf numFmtId="0" fontId="21" fillId="0" borderId="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 shrinkToFit="1"/>
    </xf>
    <xf numFmtId="0" fontId="10" fillId="0" borderId="22" xfId="0" applyFont="1" applyFill="1" applyBorder="1" applyAlignment="1">
      <alignment horizontal="center" vertical="center" shrinkToFit="1"/>
    </xf>
    <xf numFmtId="0" fontId="10" fillId="0" borderId="14" xfId="0" applyFont="1" applyFill="1" applyBorder="1" applyAlignment="1">
      <alignment horizontal="center" vertical="center" shrinkToFit="1"/>
    </xf>
    <xf numFmtId="0" fontId="21" fillId="0" borderId="2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 shrinkToFit="1"/>
    </xf>
    <xf numFmtId="0" fontId="21" fillId="0" borderId="1" xfId="0" applyFon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/>
    </xf>
    <xf numFmtId="14" fontId="6" fillId="8" borderId="24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24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9" fontId="13" fillId="0" borderId="3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shrinkToFit="1"/>
    </xf>
    <xf numFmtId="0" fontId="10" fillId="0" borderId="31" xfId="0" applyFont="1" applyFill="1" applyBorder="1" applyAlignment="1">
      <alignment horizontal="center" vertical="center" shrinkToFit="1"/>
    </xf>
    <xf numFmtId="179" fontId="13" fillId="0" borderId="39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/>
    </xf>
    <xf numFmtId="14" fontId="6" fillId="8" borderId="23" xfId="0" applyNumberFormat="1" applyFont="1" applyFill="1" applyBorder="1" applyAlignment="1">
      <alignment horizontal="center" vertical="center"/>
    </xf>
    <xf numFmtId="179" fontId="13" fillId="0" borderId="39" xfId="0" applyNumberFormat="1" applyFont="1" applyBorder="1" applyAlignment="1">
      <alignment horizontal="center" vertical="center"/>
    </xf>
    <xf numFmtId="179" fontId="21" fillId="0" borderId="1" xfId="0" applyNumberFormat="1" applyFont="1" applyFill="1" applyBorder="1" applyAlignment="1">
      <alignment horizontal="center" vertical="center" wrapText="1"/>
    </xf>
    <xf numFmtId="179" fontId="21" fillId="0" borderId="2" xfId="0" applyNumberFormat="1" applyFont="1" applyFill="1" applyBorder="1" applyAlignment="1">
      <alignment horizontal="center" vertical="center" wrapText="1"/>
    </xf>
    <xf numFmtId="179" fontId="21" fillId="0" borderId="23" xfId="0" applyNumberFormat="1" applyFont="1" applyFill="1" applyBorder="1" applyAlignment="1">
      <alignment horizontal="center" vertical="center" wrapText="1"/>
    </xf>
    <xf numFmtId="179" fontId="21" fillId="0" borderId="3" xfId="0" applyNumberFormat="1" applyFont="1" applyFill="1" applyBorder="1" applyAlignment="1">
      <alignment horizontal="center" vertical="center" wrapText="1"/>
    </xf>
    <xf numFmtId="179" fontId="13" fillId="0" borderId="39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9" xfId="0" applyFont="1" applyFill="1" applyBorder="1" applyAlignment="1">
      <alignment horizontal="left" vertical="center" wrapText="1"/>
    </xf>
    <xf numFmtId="0" fontId="16" fillId="0" borderId="10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6" fillId="0" borderId="21" xfId="0" applyFont="1" applyFill="1" applyBorder="1" applyAlignment="1">
      <alignment horizontal="left" vertical="center" wrapText="1"/>
    </xf>
    <xf numFmtId="0" fontId="16" fillId="0" borderId="16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16" fillId="7" borderId="12" xfId="0" applyFont="1" applyFill="1" applyBorder="1" applyAlignment="1">
      <alignment horizontal="left" vertical="center"/>
    </xf>
    <xf numFmtId="0" fontId="16" fillId="0" borderId="16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/>
    </xf>
    <xf numFmtId="0" fontId="16" fillId="0" borderId="16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17" fillId="0" borderId="35" xfId="1" applyNumberFormat="1" applyFont="1" applyFill="1" applyBorder="1" applyAlignment="1" applyProtection="1">
      <alignment horizontal="center" vertical="center"/>
    </xf>
    <xf numFmtId="0" fontId="17" fillId="0" borderId="36" xfId="1" applyNumberFormat="1" applyFont="1" applyFill="1" applyBorder="1" applyAlignment="1" applyProtection="1">
      <alignment horizontal="center" vertical="center"/>
    </xf>
    <xf numFmtId="0" fontId="17" fillId="0" borderId="37" xfId="1" applyNumberFormat="1" applyFont="1" applyFill="1" applyBorder="1" applyAlignment="1" applyProtection="1">
      <alignment horizontal="center" vertical="center"/>
    </xf>
    <xf numFmtId="0" fontId="16" fillId="0" borderId="3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 wrapText="1"/>
    </xf>
    <xf numFmtId="0" fontId="16" fillId="0" borderId="21" xfId="0" applyFont="1" applyFill="1" applyBorder="1" applyAlignment="1">
      <alignment horizontal="center" vertical="center" wrapText="1"/>
    </xf>
    <xf numFmtId="0" fontId="16" fillId="0" borderId="32" xfId="0" applyFont="1" applyFill="1" applyBorder="1" applyAlignment="1">
      <alignment horizontal="left" vertical="center" wrapText="1"/>
    </xf>
    <xf numFmtId="0" fontId="16" fillId="0" borderId="33" xfId="0" applyFont="1" applyFill="1" applyBorder="1" applyAlignment="1">
      <alignment horizontal="left" vertical="center" wrapText="1"/>
    </xf>
    <xf numFmtId="0" fontId="16" fillId="0" borderId="34" xfId="0" applyFont="1" applyFill="1" applyBorder="1" applyAlignment="1">
      <alignment horizontal="left" vertical="center" wrapText="1"/>
    </xf>
    <xf numFmtId="41" fontId="0" fillId="0" borderId="0" xfId="1" applyFont="1" applyFill="1">
      <alignment vertical="center"/>
    </xf>
    <xf numFmtId="41" fontId="0" fillId="0" borderId="0" xfId="1" applyFont="1" applyFill="1" applyBorder="1">
      <alignment vertical="center"/>
    </xf>
    <xf numFmtId="41" fontId="31" fillId="0" borderId="0" xfId="0" applyNumberFormat="1" applyFont="1" applyFill="1" applyBorder="1">
      <alignment vertical="center"/>
    </xf>
    <xf numFmtId="0" fontId="5" fillId="0" borderId="0" xfId="0" applyFont="1" applyFill="1">
      <alignment vertical="center"/>
    </xf>
  </cellXfs>
  <cellStyles count="4">
    <cellStyle name="쉼표 [0]" xfId="1" builtinId="6"/>
    <cellStyle name="쉼표 [0] 2" xfId="2" xr:uid="{6D034E51-F3B6-487F-894E-CDD0F678A0FB}"/>
    <cellStyle name="표준" xfId="0" builtinId="0"/>
    <cellStyle name="표준 2" xfId="3" xr:uid="{97ED9968-0DF7-47D1-B9D4-F3DFE84D6367}"/>
  </cellStyles>
  <dxfs count="112"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hair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auto="1"/>
        </right>
        <top style="hair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family val="3"/>
        <charset val="129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family val="3"/>
        <charset val="129"/>
        <scheme val="none"/>
      </font>
      <numFmt numFmtId="179" formatCode="mm&quot;월&quot;\ dd&quot;일&quot;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  <protection locked="1" hidden="0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1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numFmt numFmtId="178" formatCode="#,##0\ &quot; &quot;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numFmt numFmtId="178" formatCode="#,##0\ &quot; &quot;"/>
      <fill>
        <patternFill patternType="solid">
          <fgColor indexed="64"/>
          <bgColor theme="9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돋움"/>
        <family val="3"/>
        <charset val="129"/>
        <scheme val="none"/>
      </font>
      <numFmt numFmtId="19" formatCode="yyyy/mm/dd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돋움"/>
        <family val="3"/>
        <charset val="129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DEFE7"/>
      <color rgb="FFFFCCCC"/>
      <color rgb="FF0000FF"/>
      <color rgb="FFFC8C9F"/>
      <color rgb="FFDAEEF3"/>
      <color rgb="FFFEDAE0"/>
      <color rgb="FFDDEBF7"/>
      <color rgb="FFFFEFFF"/>
      <color rgb="FFFF6D6D"/>
      <color rgb="FFFE62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31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pivotCacheDefinition" Target="pivotCache/pivotCacheDefinition2.xml"/><Relationship Id="rId30" Type="http://schemas.microsoft.com/office/2007/relationships/slicerCache" Target="slicerCaches/slicerCache2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56027</xdr:colOff>
      <xdr:row>0</xdr:row>
      <xdr:rowOff>593914</xdr:rowOff>
    </xdr:from>
    <xdr:to>
      <xdr:col>20</xdr:col>
      <xdr:colOff>33618</xdr:colOff>
      <xdr:row>0</xdr:row>
      <xdr:rowOff>1860176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거래처명">
              <a:extLst>
                <a:ext uri="{FF2B5EF4-FFF2-40B4-BE49-F238E27FC236}">
                  <a16:creationId xmlns:a16="http://schemas.microsoft.com/office/drawing/2014/main" id="{58CCDF4B-3674-47FC-A9D2-1CA858F845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거래처명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26" y="593914"/>
              <a:ext cx="18568149" cy="10085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</xdr:colOff>
      <xdr:row>0</xdr:row>
      <xdr:rowOff>23813</xdr:rowOff>
    </xdr:from>
    <xdr:to>
      <xdr:col>16</xdr:col>
      <xdr:colOff>0</xdr:colOff>
      <xdr:row>0</xdr:row>
      <xdr:rowOff>1071562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거래처명 1">
              <a:extLst>
                <a:ext uri="{FF2B5EF4-FFF2-40B4-BE49-F238E27FC236}">
                  <a16:creationId xmlns:a16="http://schemas.microsoft.com/office/drawing/2014/main" id="{AF365514-5D9C-4997-9166-0C4A22C0EA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거래처명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" y="23813"/>
              <a:ext cx="14466092" cy="1047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11204</xdr:colOff>
      <xdr:row>1</xdr:row>
      <xdr:rowOff>31377</xdr:rowOff>
    </xdr:from>
    <xdr:to>
      <xdr:col>17</xdr:col>
      <xdr:colOff>1210234</xdr:colOff>
      <xdr:row>1</xdr:row>
      <xdr:rowOff>762000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거래처명 2">
              <a:extLst>
                <a:ext uri="{FF2B5EF4-FFF2-40B4-BE49-F238E27FC236}">
                  <a16:creationId xmlns:a16="http://schemas.microsoft.com/office/drawing/2014/main" id="{4B84F42A-AD24-497B-BC7C-FC61E1DE2E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거래처명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04" y="457201"/>
              <a:ext cx="14612471" cy="7306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millsp.sharepoint.com/Users/SKD/AppData/Local/Microsoft/Windows/INetCache/IE/DLSCXJVX/YAC&#25552;&#20379;&#30340;&#36039;&#26009;/SPEC/G5.5Tact_user_Ver2.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041;&#50864;&#54868;&#51064;&#53008;&amp;8BC%20&#54532;&#47196;&#51229;&#53944;\&#52636;&#44256;&#54788;&#54889;\&#50896;&#48169;%20&#44144;&#47000;&#52376;&#48324;%20&#49828;&#53356;&#47017;%20&#52636;&#44256;%20&#54788;&#54889;_25.04.30.(&#44428;&#50689;&#51652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6041;&#50864;&#54868;&#51064;&#53008;&amp;8BC%20&#54532;&#47196;&#51229;&#53944;\&#52636;&#44256;&#54788;&#54889;\&#50896;&#48169;%20&#44144;&#47000;&#52376;&#48324;%20&#49828;&#53356;&#47017;%20&#52636;&#44256;%20&#54788;&#54889;_25.04.02.(&#44428;&#50689;&#51652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220qfeq\&#50629;&#47924;&#44277;&#50976;2\(&#51452;)&#50896;&#48169;%20&#49828;&#53356;&#47017;\&#51060;&#52852;&#50868;&#53944;\&#9733;&#50896;&#48169;_&#54788;&#51109;%20&#49828;&#53356;&#47017;%20&#51077;&#44256;%20&#54788;&#54889;_26.05.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220qfeq\&#50629;&#47924;&#44277;&#50976;2\(&#51452;)&#50896;&#48169;%20&#49828;&#53356;&#47017;\&#51060;&#52852;&#50868;&#53944;\&#9733;&#50896;&#48169;_&#54788;&#51109;%20&#49828;&#53356;&#47017;%20&#51077;&#44256;%20&#54788;&#54889;_26.05.0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220qfeq\&#50629;&#47924;&#44277;&#50976;2\(&#51452;)&#50896;&#48169;%20&#49828;&#53356;&#47017;\&#51060;&#52852;&#50868;&#53944;\&#9733;&#50896;&#48169;_&#54788;&#51109;%20&#49828;&#53356;&#47017;%20&#51077;&#44256;%20&#54788;&#54889;_26.07.0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220qfeq\&#50629;&#47924;&#44277;&#50976;2\(&#51452;)&#50896;&#48169;%20&#49828;&#53356;&#47017;\&#51060;&#52852;&#50868;&#53944;\&#9733;&#50896;&#48169;_&#54788;&#51109;%20&#49828;&#53356;&#47017;%20&#51077;&#44256;%20&#54788;&#54889;_26.07.07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220qfeq\&#50629;&#47924;&#44277;&#50976;2\(&#51452;)&#50896;&#48169;%20&#49828;&#53356;&#47017;\&#51060;&#52852;&#50868;&#53944;\&#9733;&#50896;&#48169;_&#54788;&#51109;%20&#49828;&#53356;&#47017;%20&#51077;&#44256;%20&#54788;&#54889;_26.04.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CH"/>
      <sheetName val="3CH"/>
      <sheetName val="2CH"/>
      <sheetName val="Pumping data"/>
      <sheetName val=" Detail"/>
      <sheetName val="1VOY_BULK(N2S3)-BOX"/>
    </sheetNames>
    <sheetDataSet>
      <sheetData sheetId="0">
        <row r="9">
          <cell r="C9">
            <v>75</v>
          </cell>
        </row>
      </sheetData>
      <sheetData sheetId="1">
        <row r="9">
          <cell r="C9">
            <v>75</v>
          </cell>
          <cell r="D9">
            <v>75</v>
          </cell>
          <cell r="E9">
            <v>81.666666666666671</v>
          </cell>
          <cell r="F9">
            <v>88.333333333333329</v>
          </cell>
          <cell r="G9">
            <v>95</v>
          </cell>
          <cell r="H9">
            <v>101.66666666666667</v>
          </cell>
        </row>
      </sheetData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분표"/>
      <sheetName val="통계"/>
      <sheetName val="스크랩출고량"/>
      <sheetName val="오성금속"/>
      <sheetName val="에이스메탈"/>
      <sheetName val="대신에스티에스"/>
      <sheetName val="알앤비,선진알앤디"/>
      <sheetName val="다옴메탈"/>
      <sheetName val="다문산업"/>
      <sheetName val="폐기물"/>
      <sheetName val="이영산업"/>
      <sheetName val="천지산업"/>
      <sheetName val="세화철강"/>
      <sheetName val="에스아이케미칼"/>
      <sheetName val="제이테크(부품,설비)"/>
      <sheetName val="로봇등 판매"/>
      <sheetName val="기타"/>
      <sheetName val="종결업체"/>
      <sheetName val="반출(동우, 8BC)"/>
      <sheetName val="재고이동_(원방 -&gt; 도림리)"/>
      <sheetName val="재고이동_(도림리 -&gt; 원방)"/>
      <sheetName val="재고이동_(김제공장-&gt;원방, 도림리)"/>
      <sheetName val="재고이동_(원방-&gt;김제공장)"/>
      <sheetName val="재고이동_(알앤비-&gt;원방)"/>
      <sheetName val="재고이동_(원방, 포승&gt;크로스창고)"/>
      <sheetName val="재고이동_(포승-&gt;원방)"/>
      <sheetName val="설비 위치이동(알앤비&lt;---&gt;원방)"/>
      <sheetName val="재고이동_(원방,포승&lt;-&gt;이영산업)"/>
      <sheetName val="재고이동_(원방-&gt;알앤비)"/>
      <sheetName val="재고이동_(포승&gt;김제공장)"/>
      <sheetName val="재고이동_(원방-&gt;포승)"/>
      <sheetName val="재고이동_(원방-&gt;마정창고)"/>
      <sheetName val="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분표"/>
      <sheetName val="통계"/>
      <sheetName val="스크랩출고량"/>
      <sheetName val="오성금속"/>
      <sheetName val="에이스메탈"/>
      <sheetName val="대신에스티에스"/>
      <sheetName val="알앤비,선진알앤디"/>
      <sheetName val="다옴메탈"/>
      <sheetName val="다문산업"/>
      <sheetName val="폐기물"/>
      <sheetName val="이영산업"/>
      <sheetName val="천지산업"/>
      <sheetName val="세화철강"/>
      <sheetName val="에스아이케미칼"/>
      <sheetName val="기타"/>
      <sheetName val="제이테크(부품,설비)"/>
      <sheetName val="로봇등 판매"/>
      <sheetName val="종결업체"/>
      <sheetName val="반출(동우, 8BC)"/>
      <sheetName val="위치이동(알앤비&gt;원방)"/>
      <sheetName val="재고이동_(원방, 포승&gt;크로스창고)"/>
      <sheetName val="재고이동_(포승-&gt;원방)"/>
      <sheetName val="재고이동_(원방,포승&lt;-&gt;이영산업)"/>
      <sheetName val="재고이동_(알앤비-&gt;원방)"/>
      <sheetName val="재고이동_(원방-&gt;김제공장)"/>
      <sheetName val="재고이동_(원방-&gt;알앤비)"/>
      <sheetName val="재고이동_(포승&gt;김제공장)"/>
      <sheetName val="재고이동_(원방-&gt;포승)"/>
      <sheetName val="재고이동_(원방-&gt;마정창고)"/>
      <sheetName val="양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폐기물 입고"/>
      <sheetName val="스크랩입고량"/>
      <sheetName val="포스코_KM안산"/>
      <sheetName val="동우PL1_평택"/>
      <sheetName val="대도_상계동"/>
      <sheetName val="기타 현장"/>
      <sheetName val="단발성(기타 현장)"/>
      <sheetName val="현대_대도_당진"/>
      <sheetName val="현대_군산"/>
      <sheetName val="서식"/>
    </sheetNames>
    <sheetDataSet>
      <sheetData sheetId="0">
        <row r="5">
          <cell r="E5">
            <v>2184790</v>
          </cell>
        </row>
        <row r="6">
          <cell r="E6">
            <v>92570</v>
          </cell>
        </row>
        <row r="7">
          <cell r="E7">
            <v>62900</v>
          </cell>
        </row>
        <row r="8">
          <cell r="E8">
            <v>18410</v>
          </cell>
        </row>
        <row r="9">
          <cell r="E9">
            <v>36680</v>
          </cell>
        </row>
        <row r="10">
          <cell r="E10">
            <v>2244410</v>
          </cell>
        </row>
        <row r="11">
          <cell r="E11">
            <v>4690</v>
          </cell>
        </row>
        <row r="12">
          <cell r="E12">
            <v>58770</v>
          </cell>
        </row>
        <row r="13">
          <cell r="E13">
            <v>2593890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폐기물 입고"/>
      <sheetName val="스크랩입고량"/>
      <sheetName val="포스코_KM안산"/>
      <sheetName val="현대_대도_당진"/>
      <sheetName val="동우PL1_평택"/>
      <sheetName val="대도_상계동"/>
      <sheetName val="현대_군산"/>
      <sheetName val="기타 현장"/>
      <sheetName val="단발성(기타 현장)"/>
      <sheetName val="서식"/>
    </sheetNames>
    <sheetDataSet>
      <sheetData sheetId="0">
        <row r="5">
          <cell r="E5">
            <v>1877440</v>
          </cell>
          <cell r="H5">
            <v>171750</v>
          </cell>
          <cell r="I5">
            <v>2049190</v>
          </cell>
        </row>
        <row r="6">
          <cell r="H6">
            <v>180</v>
          </cell>
          <cell r="I6">
            <v>38150</v>
          </cell>
        </row>
        <row r="7">
          <cell r="H7">
            <v>17290</v>
          </cell>
          <cell r="I7">
            <v>109860</v>
          </cell>
        </row>
        <row r="8">
          <cell r="H8">
            <v>120</v>
          </cell>
        </row>
        <row r="9">
          <cell r="H9">
            <v>35880</v>
          </cell>
          <cell r="I9">
            <v>2280290</v>
          </cell>
        </row>
        <row r="10">
          <cell r="H10">
            <v>324930</v>
          </cell>
        </row>
        <row r="11">
          <cell r="H11">
            <v>0</v>
          </cell>
        </row>
        <row r="12">
          <cell r="H1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폐기물 입고"/>
      <sheetName val="스크랩입고량"/>
      <sheetName val="현대_대도_당진"/>
      <sheetName val="대도_상계동"/>
      <sheetName val="선진_진천식품기계"/>
      <sheetName val="기타 현장"/>
      <sheetName val="단발성(기타 현장)"/>
      <sheetName val="삼성_이텍솔루션_안성"/>
      <sheetName val="동우PL1_평택"/>
      <sheetName val="포스코_KM안산"/>
      <sheetName val="현대_군산"/>
      <sheetName val="서식"/>
    </sheetNames>
    <sheetDataSet>
      <sheetData sheetId="0">
        <row r="5">
          <cell r="I5">
            <v>331820</v>
          </cell>
        </row>
        <row r="6">
          <cell r="I6">
            <v>18410</v>
          </cell>
        </row>
        <row r="7">
          <cell r="I7">
            <v>265168</v>
          </cell>
        </row>
        <row r="9">
          <cell r="I9">
            <v>118420</v>
          </cell>
        </row>
        <row r="10">
          <cell r="I10">
            <v>3881601</v>
          </cell>
        </row>
        <row r="11">
          <cell r="I11">
            <v>700000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폐기물 입고"/>
      <sheetName val="스크랩입고량"/>
      <sheetName val="현대_대도_당진"/>
      <sheetName val="대도_상계동"/>
      <sheetName val="선진_진천식품기계"/>
      <sheetName val="기타 현장"/>
      <sheetName val="단발성(기타 현장)"/>
      <sheetName val="삼성_이텍솔루션_안성"/>
      <sheetName val="동우PL1_평택"/>
      <sheetName val="포스코_KM안산"/>
      <sheetName val="현대_군산"/>
      <sheetName val="서식"/>
    </sheetNames>
    <sheetDataSet>
      <sheetData sheetId="0">
        <row r="5">
          <cell r="I5">
            <v>334930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폐기물 입고"/>
      <sheetName val="스크랩입고량"/>
      <sheetName val="포스코_KM안산"/>
      <sheetName val="현대_대도_당진"/>
      <sheetName val="동우PL1_평택"/>
      <sheetName val="대도_상계동"/>
      <sheetName val="현대_군산"/>
      <sheetName val="기타 현장"/>
      <sheetName val="단발성(기타 현장)"/>
      <sheetName val="서식"/>
    </sheetNames>
    <sheetDataSet>
      <sheetData sheetId="0">
        <row r="5">
          <cell r="I5">
            <v>2025910</v>
          </cell>
        </row>
        <row r="8">
          <cell r="I8">
            <v>285550</v>
          </cell>
        </row>
        <row r="10">
          <cell r="I10">
            <v>329620</v>
          </cell>
        </row>
        <row r="11">
          <cell r="I11">
            <v>58770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474002546296" createdVersion="7" refreshedVersion="7" minRefreshableVersion="3" recordCount="284" xr:uid="{BAAF8C45-53ED-468F-900D-13FC46BB006C}">
  <cacheSource type="worksheet">
    <worksheetSource ref="B3:R287" sheet="스크랩출고량"/>
  </cacheSource>
  <cacheFields count="18">
    <cacheField name="계량일" numFmtId="14">
      <sharedItems containsNonDate="0" containsDate="1" containsString="0" containsBlank="1" minDate="2025-09-26T00:00:00" maxDate="2026-07-01T00:00:00" count="41">
        <d v="2025-09-26T00:00:00"/>
        <d v="2025-09-29T00:00:00"/>
        <d v="2025-09-30T00:00:00"/>
        <d v="2026-05-04T00:00:00"/>
        <d v="2026-05-05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9T00:00:00"/>
        <d v="2026-06-10T00:00:00"/>
        <d v="2026-06-11T00:00:00"/>
        <d v="2026-06-13T00:00:00"/>
        <d v="2026-06-18T00:00:00"/>
        <d v="2026-06-22T00:00:00"/>
        <d v="2026-06-23T00:00:00"/>
        <d v="2026-06-25T00:00:00"/>
        <d v="2026-06-29T00:00:00"/>
        <d v="2026-06-30T00:00:00"/>
        <m/>
      </sharedItems>
      <fieldGroup par="17" base="0">
        <rangePr groupBy="months" startDate="2025-09-26T00:00:00" endDate="2026-07-01T00:00:00"/>
        <groupItems count="14">
          <s v="(비어 있음)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6-07-01"/>
        </groupItems>
      </fieldGroup>
    </cacheField>
    <cacheField name="프로젝트명" numFmtId="0">
      <sharedItems containsBlank="1" count="32">
        <s v="혼합"/>
        <s v="포스코_KM_안산"/>
        <s v="대도_서울 상계동"/>
        <s v="서울 잠실동"/>
        <s v="듀폰3공장"/>
        <s v="삼성물산"/>
        <s v="현대제철_대도_당진"/>
        <s v="현대_크로스_군산"/>
        <s v="동우PL1린텍_크로스_평택"/>
        <s v="LT메탈 남동공장"/>
        <s v="듀폰 천안공장"/>
        <s v="삼성전자_이텍솔루션_안성"/>
        <s v="크로스 창고"/>
        <s v="SR5"/>
        <s v="기타 현장"/>
        <s v="에코코리아"/>
        <s v="삼성_대도_온양"/>
        <m/>
        <s v="젠스엠" u="1"/>
        <s v="SK하이닉스" u="1"/>
        <s v="선진_식품기계_진천" u="1"/>
        <s v="LT메탈_대도_인천" u="1"/>
        <s v="안산공장" u="1"/>
        <s v="서울 상계동" u="1"/>
        <s v="어린이집" u="1"/>
        <s v="삼성" u="1"/>
        <s v="한양이엔지 듀폰" u="1"/>
        <s v="대도 진천" u="1"/>
        <s v="도림리 창고" u="1"/>
        <s v="신안산업개발" u="1"/>
        <s v="부산 삼성전기" u="1"/>
        <s v="삼성바이오_대도_송도" u="1"/>
      </sharedItems>
    </cacheField>
    <cacheField name="상차지" numFmtId="0">
      <sharedItems containsBlank="1"/>
    </cacheField>
    <cacheField name="차종" numFmtId="0">
      <sharedItems containsBlank="1"/>
    </cacheField>
    <cacheField name="차량번호" numFmtId="0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거래처명" numFmtId="0">
      <sharedItems containsBlank="1" count="34">
        <s v="대신에스티에스"/>
        <s v="다문산업"/>
        <s v="세화철강"/>
        <s v="다옴금속"/>
        <s v="선진알앤디"/>
        <s v="정민산업"/>
        <s v="한강그린"/>
        <s v="전진유압상사"/>
        <s v="공주 단지리 74-1"/>
        <s v="오성금속"/>
        <s v="이텍솔루션"/>
        <s v="제일특수"/>
        <s v="에스아이케미칼"/>
        <s v="다옴메탈"/>
        <m/>
        <s v="이영산업" u="1"/>
        <s v="다온산업" u="1"/>
        <s v="세종비앤티" u="1"/>
        <s v="승진" u="1"/>
        <s v="대성기계" u="1"/>
        <s v="세화철강_투플러스" u="1"/>
        <s v="다옴금속_유리하이텍" u="1"/>
        <s v="예일에스티" u="1"/>
        <s v="상록기전" u="1"/>
        <s v="천지산업" u="1"/>
        <s v="한주케미컬" u="1"/>
        <s v="주식회사 세화철강" u="1"/>
        <s v="다옴메탈_유리하이텍" u="1"/>
        <s v="대호스틸" u="1"/>
        <s v="세화철강_크로스특수" u="1"/>
        <s v="상지롤" u="1"/>
        <s v="다문산업_크로스특수" u="1"/>
        <s v="에센바이오" u="1"/>
        <s v="도솔환경" u="1"/>
      </sharedItems>
    </cacheField>
    <cacheField name="제품명" numFmtId="0">
      <sharedItems containsBlank="1"/>
    </cacheField>
    <cacheField name="공차중량(kg)" numFmtId="41">
      <sharedItems containsString="0" containsBlank="1" containsNumber="1" containsInteger="1" minValue="1150" maxValue="42030"/>
    </cacheField>
    <cacheField name="총중량(kg)" numFmtId="41">
      <sharedItems containsString="0" containsBlank="1" containsNumber="1" containsInteger="1" minValue="1210" maxValue="53910"/>
    </cacheField>
    <cacheField name="실중량(kg)" numFmtId="41">
      <sharedItems containsString="0" containsBlank="1" containsNumber="1" containsInteger="1" minValue="-6740" maxValue="32590"/>
    </cacheField>
    <cacheField name="거래처 감량 전_x000a_실중량(kg)" numFmtId="0">
      <sharedItems containsString="0" containsBlank="1" containsNumber="1" minValue="26" maxValue="26590"/>
    </cacheField>
    <cacheField name="감량(kg)" numFmtId="41">
      <sharedItems containsString="0" containsBlank="1" containsNumber="1" containsInteger="1" minValue="3" maxValue="500"/>
    </cacheField>
    <cacheField name="정산 중량(kg)" numFmtId="0">
      <sharedItems containsString="0" containsBlank="1" containsNumber="1" minValue="-6740" maxValue="32590"/>
    </cacheField>
    <cacheField name="단가(원)" numFmtId="0">
      <sharedItems containsString="0" containsBlank="1" containsNumber="1" minValue="-10000" maxValue="50000"/>
    </cacheField>
    <cacheField name="금액(원)" numFmtId="0">
      <sharedItems containsString="0" containsBlank="1" containsNumber="1" minValue="-1250000" maxValue="380632000"/>
    </cacheField>
    <cacheField name="연" numFmtId="0" databaseField="0">
      <fieldGroup base="0">
        <rangePr groupBy="years" startDate="2025-09-26T00:00:00" endDate="2026-07-01T00:00:00"/>
        <groupItems count="4">
          <s v="&lt;2025-09-26"/>
          <s v="2025년"/>
          <s v="2026년"/>
          <s v="&gt;2026-07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474062384259" createdVersion="7" refreshedVersion="7" minRefreshableVersion="3" recordCount="72" xr:uid="{E8525478-FBD5-456D-B33C-1FD12408457F}">
  <cacheSource type="worksheet">
    <worksheetSource name="표4"/>
  </cacheSource>
  <cacheFields count="25">
    <cacheField name="NO." numFmtId="0">
      <sharedItems containsString="0" containsBlank="1" containsNumber="1" containsInteger="1" minValue="1" maxValue="67"/>
    </cacheField>
    <cacheField name="상차일" numFmtId="14">
      <sharedItems containsNonDate="0" containsDate="1" containsString="0" containsBlank="1" minDate="2026-05-04T00:00:00" maxDate="2026-06-30T00:00:00"/>
    </cacheField>
    <cacheField name="인계일" numFmtId="14">
      <sharedItems containsNonDate="0" containsDate="1" containsString="0" containsBlank="1" minDate="2026-05-04T00:00:00" maxDate="2026-06-30T00:00:00"/>
    </cacheField>
    <cacheField name="올바로" numFmtId="14">
      <sharedItems containsBlank="1"/>
    </cacheField>
    <cacheField name="프로젝트명" numFmtId="0">
      <sharedItems containsBlank="1" count="19">
        <s v="포스코_KM_안산"/>
        <s v="동우PL1린텍_크로스_평택"/>
        <s v="기타 현장"/>
        <s v="혼합"/>
        <s v="삼성전자_이텍솔루션_안성"/>
        <m/>
        <s v="젠스엠" u="1"/>
        <s v="SK하이닉스" u="1"/>
        <s v="삼성물산" u="1"/>
        <s v="LT메탈_대도_인천" u="1"/>
        <s v="안산공장" u="1"/>
        <s v="현대_크로스_군산" u="1"/>
        <s v="어린이집" u="1"/>
        <s v="서울 잠실동" u="1"/>
        <s v="삼성_대도_온양" u="1"/>
        <s v="SR5" u="1"/>
        <s v="크로스 창고" u="1"/>
        <s v="도림리 창고" u="1"/>
        <s v="부산 삼성전기" u="1"/>
      </sharedItems>
    </cacheField>
    <cacheField name="배출자" numFmtId="0">
      <sharedItems containsBlank="1" count="8">
        <s v="케이엠티엘에스"/>
        <s v="크로스특수"/>
        <m/>
        <s v="원방"/>
        <s v="포스코"/>
        <s v="투플러스" u="1"/>
        <s v="크로스-&gt;삼일㈜" u="1"/>
        <s v="삼일㈜" u="1"/>
      </sharedItems>
    </cacheField>
    <cacheField name="운반자" numFmtId="0">
      <sharedItems containsBlank="1"/>
    </cacheField>
    <cacheField name="상차지" numFmtId="14">
      <sharedItems containsBlank="1"/>
    </cacheField>
    <cacheField name="차종" numFmtId="14">
      <sharedItems containsBlank="1"/>
    </cacheField>
    <cacheField name="차량번호" numFmtId="14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처리자" numFmtId="0">
      <sharedItems containsBlank="1"/>
    </cacheField>
    <cacheField name="제품명" numFmtId="0">
      <sharedItems containsBlank="1"/>
    </cacheField>
    <cacheField name="공차중량(kg)" numFmtId="41">
      <sharedItems containsString="0" containsBlank="1" containsNumber="1" containsInteger="1" minValue="13530" maxValue="21490"/>
    </cacheField>
    <cacheField name="총중량(kg)" numFmtId="41">
      <sharedItems containsString="0" containsBlank="1" containsNumber="1" containsInteger="1" minValue="14760" maxValue="44150"/>
    </cacheField>
    <cacheField name="실중량(kg)" numFmtId="41">
      <sharedItems containsString="0" containsBlank="1" containsNumber="1" containsInteger="1" minValue="870" maxValue="26260"/>
    </cacheField>
    <cacheField name="거래처 감량 전_x000a_실중량(kg)" numFmtId="41">
      <sharedItems containsString="0" containsBlank="1" containsNumber="1" containsInteger="1" minValue="2000" maxValue="26260"/>
    </cacheField>
    <cacheField name="계근차" numFmtId="41">
      <sharedItems containsString="0" containsBlank="1" containsNumber="1" containsInteger="1" minValue="-750" maxValue="810"/>
    </cacheField>
    <cacheField name="정산 중량(kg)" numFmtId="0">
      <sharedItems containsString="0" containsBlank="1" containsNumber="1" containsInteger="1" minValue="870" maxValue="26260"/>
    </cacheField>
    <cacheField name="루베 적용" numFmtId="0">
      <sharedItems containsString="0" containsBlank="1" containsNumber="1" containsInteger="1" minValue="17" maxValue="50"/>
    </cacheField>
    <cacheField name="단가(원)" numFmtId="178">
      <sharedItems containsString="0" containsBlank="1" containsNumber="1" containsInteger="1" minValue="0" maxValue="50000"/>
    </cacheField>
    <cacheField name="금액(원)" numFmtId="178">
      <sharedItems containsString="0" containsBlank="1" containsNumber="1" containsInteger="1" minValue="-6792000" maxValue="0"/>
    </cacheField>
    <cacheField name="구분" numFmtId="0">
      <sharedItems containsBlank="1"/>
    </cacheField>
    <cacheField name="비고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2.474088078707" createdVersion="7" refreshedVersion="7" minRefreshableVersion="3" recordCount="284" xr:uid="{2DB35E82-5AA1-4B4E-AC59-89DCCA8E0EAC}">
  <cacheSource type="worksheet">
    <worksheetSource name="표2"/>
  </cacheSource>
  <cacheFields count="20">
    <cacheField name="NO." numFmtId="0">
      <sharedItems containsSemiMixedTypes="0" containsString="0" containsNumber="1" containsInteger="1" minValue="1" maxValue="283"/>
    </cacheField>
    <cacheField name="계량일" numFmtId="14">
      <sharedItems containsNonDate="0" containsDate="1" containsString="0" containsBlank="1" minDate="2025-09-26T00:00:00" maxDate="2026-07-01T00:00:00"/>
    </cacheField>
    <cacheField name="프로젝트명" numFmtId="0">
      <sharedItems containsBlank="1" count="32">
        <s v="혼합"/>
        <s v="포스코_KM_안산"/>
        <s v="대도_서울 상계동"/>
        <s v="서울 잠실동"/>
        <s v="듀폰3공장"/>
        <s v="삼성물산"/>
        <s v="현대제철_대도_당진"/>
        <s v="현대_크로스_군산"/>
        <s v="동우PL1린텍_크로스_평택"/>
        <s v="LT메탈 남동공장"/>
        <s v="듀폰 천안공장"/>
        <s v="삼성전자_이텍솔루션_안성"/>
        <s v="크로스 창고"/>
        <s v="SR5"/>
        <s v="기타 현장"/>
        <s v="에코코리아"/>
        <s v="삼성_대도_온양"/>
        <m/>
        <s v="젠스엠" u="1"/>
        <s v="SK하이닉스" u="1"/>
        <s v="선진_식품기계_진천" u="1"/>
        <s v="LT메탈_대도_인천" u="1"/>
        <s v="안산공장" u="1"/>
        <s v="서울 상계동" u="1"/>
        <s v="어린이집" u="1"/>
        <s v="삼성" u="1"/>
        <s v="한양이엔지 듀폰" u="1"/>
        <s v="대도 진천" u="1"/>
        <s v="도림리 창고" u="1"/>
        <s v="신안산업개발" u="1"/>
        <s v="부산 삼성전기" u="1"/>
        <s v="삼성바이오_대도_송도" u="1"/>
      </sharedItems>
    </cacheField>
    <cacheField name="상차지" numFmtId="0">
      <sharedItems containsBlank="1"/>
    </cacheField>
    <cacheField name="차종" numFmtId="0">
      <sharedItems containsBlank="1"/>
    </cacheField>
    <cacheField name="차량번호" numFmtId="0">
      <sharedItems containsBlank="1"/>
    </cacheField>
    <cacheField name="운전자" numFmtId="0">
      <sharedItems containsBlank="1"/>
    </cacheField>
    <cacheField name="연락처" numFmtId="0">
      <sharedItems containsBlank="1"/>
    </cacheField>
    <cacheField name="거래처명" numFmtId="0">
      <sharedItems containsBlank="1" count="34">
        <s v="대신에스티에스"/>
        <s v="다문산업"/>
        <s v="세화철강"/>
        <s v="다옴금속"/>
        <s v="선진알앤디"/>
        <s v="정민산업"/>
        <s v="한강그린"/>
        <s v="전진유압상사"/>
        <s v="공주 단지리 74-1"/>
        <s v="오성금속"/>
        <s v="이텍솔루션"/>
        <s v="제일특수"/>
        <s v="에스아이케미칼"/>
        <s v="다옴메탈"/>
        <m/>
        <s v="이영산업" u="1"/>
        <s v="다온산업" u="1"/>
        <s v="세종비앤티" u="1"/>
        <s v="승진" u="1"/>
        <s v="대성기계" u="1"/>
        <s v="세화철강_투플러스" u="1"/>
        <s v="다옴금속_유리하이텍" u="1"/>
        <s v="예일에스티" u="1"/>
        <s v="상록기전" u="1"/>
        <s v="천지산업" u="1"/>
        <s v="한주케미컬" u="1"/>
        <s v="주식회사 세화철강" u="1"/>
        <s v="다옴메탈_유리하이텍" u="1"/>
        <s v="대호스틸" u="1"/>
        <s v="세화철강_크로스특수" u="1"/>
        <s v="상지롤" u="1"/>
        <s v="다문산업_크로스특수" u="1"/>
        <s v="에센바이오" u="1"/>
        <s v="도솔환경" u="1"/>
      </sharedItems>
    </cacheField>
    <cacheField name="제품명" numFmtId="0">
      <sharedItems containsBlank="1" count="163">
        <s v="STS304"/>
        <s v="저니켈강"/>
        <s v="잡선"/>
        <s v="중선"/>
        <s v="상선"/>
        <s v="A동"/>
        <s v="상동"/>
        <s v="하동"/>
        <s v="작업철(알모터)"/>
        <s v="라지에이타"/>
        <s v="신주 1(잡A)"/>
        <s v="신주 2(작업신주)"/>
        <s v="트랜스"/>
        <s v="고철"/>
        <s v="고철(중량)"/>
        <s v="프로파일 A"/>
        <s v="알판재 60"/>
        <s v="고철(경B)"/>
        <s v="고철(경량)"/>
        <s v="고철(철근)"/>
        <s v="고철(경A)"/>
        <s v="STS316"/>
        <s v="STS316장척"/>
        <s v="STS304CU"/>
        <s v="STS304장척"/>
        <s v="알루미늄 B"/>
        <s v="캔디"/>
        <s v="폐전선"/>
        <s v="잡선(47%)"/>
        <s v="단선_2mm선(65%)"/>
        <s v="탱크"/>
        <s v="모넬400"/>
        <s v="C-22(하스텔로이)"/>
        <s v="MO(몰디브덴)"/>
        <s v="트렌스 작업철"/>
        <s v="중동"/>
        <s v="고철(중량장척)"/>
        <s v="고철(빔장척)"/>
        <s v="고무롤"/>
        <s v="고철(산소장척)"/>
        <s v="변압기"/>
        <s v="작업철"/>
        <s v="고철(중철C)"/>
        <s v="STS304(작업철)"/>
        <s v="STS310"/>
        <s v="STS304롤"/>
        <s v="유압유"/>
        <s v="파이프"/>
        <s v="드럼"/>
        <s v="고철(중A)"/>
        <s v="고철(경A+B)"/>
        <s v="STS400"/>
        <s v="인코넬"/>
        <s v="AL 라지에이타"/>
        <s v="아마추어"/>
        <s v="신주"/>
        <s v="설비부품"/>
        <s v="대차"/>
        <s v="고철(경C)"/>
        <s v="알판재 A"/>
        <s v="알판재 B"/>
        <s v="PP파렛트"/>
        <s v="A 샷시"/>
        <m/>
        <s v="전선" u="1"/>
        <s v="AL케이싱" u="1"/>
        <s v="홀드선" u="1"/>
        <s v="잡 양은" u="1"/>
        <s v="AL 모터" u="1"/>
        <s v="로봇 레이저등" u="1"/>
        <s v="HK-5-1-12" u="1"/>
        <s v="냉동기모터" u="1"/>
        <s v="고철(기계장척)" u="1"/>
        <s v="단조" u="1"/>
        <s v="모터 작업철" u="1"/>
        <s v="상동 2" u="1"/>
        <s v="유압실린더" u="1"/>
        <s v="고철(몰드)" u="1"/>
        <s v="동(꽈배기)" u="1"/>
        <s v="전선(배전반)" u="1"/>
        <s v="저니켈+고철" u="1"/>
        <s v="STS430" u="1"/>
        <s v="알모터(코어)" u="1"/>
        <s v="HFC_227ea" u="1"/>
        <s v="동 작업철(종이)" u="1"/>
        <s v="전선(51%)" u="1"/>
        <s v="트렌스" u="1"/>
        <s v="스텐(코아)" u="1"/>
        <s v="고철(중AL)" u="1"/>
        <s v="알코아" u="1"/>
        <s v="상동 1" u="1"/>
        <s v="혼합 캐스팅" u="1"/>
        <s v="고철(중B)" u="1"/>
        <s v="작업동 2번" u="1"/>
        <s v="동 라지에이타" u="1"/>
        <s v="폐전선(상선)" u="1"/>
        <s v="알루미늄" u="1"/>
        <s v="하론" u="1"/>
        <s v="배터리" u="1"/>
        <s v="중량(철근)" u="1"/>
        <s v="전선1" u="1"/>
        <s v="산소장척" u="1"/>
        <s v="고철(오무리)" u="1"/>
        <s v="장척" u="1"/>
        <s v="알루미늄 4C" u="1"/>
        <s v="고철(경)" u="1"/>
        <s v="AL 케이싱" u="1"/>
        <s v="설비 선" u="1"/>
        <s v="오픈드럼" u="1"/>
        <s v="고철(H빔)" u="1"/>
        <s v="작업동 1번" u="1"/>
        <s v="고철(기계장척))" u="1"/>
        <s v="고철(중량AL)" u="1"/>
        <s v="중선(수율48%)" u="1"/>
        <s v="발전기" u="1"/>
        <s v="PVC" u="1"/>
        <s v="전선(양중박스)" u="1"/>
        <s v="고철(중량BL)" u="1"/>
        <s v="냉동모터(수박통)" u="1"/>
        <s v="전선피복" u="1"/>
        <s v="STS410" u="1"/>
        <s v="설비선" u="1"/>
        <s v="막힌드럼" u="1"/>
        <s v="고철(파이프)" u="1"/>
        <s v="알루미늄 혼합" u="1"/>
        <s v="바라스톤게이지" u="1"/>
        <s v="STS316 설비" u="1"/>
        <s v="PCB(키판)1~3" u="1"/>
        <s v="연마기" u="1"/>
        <s v="CU 라지에이타" u="1"/>
        <s v="폐배터리" u="1"/>
        <s v="소형 트랜스" u="1"/>
        <s v="유니트" u="1"/>
        <s v="집진기" u="1"/>
        <s v="폐전선 외피" u="1"/>
        <s v="공압분배기" u="1"/>
        <s v="전선(잡선)" u="1"/>
        <s v="STS304 설비" u="1"/>
        <s v="저니켈" u="1"/>
        <s v="소각용 트랜스" u="1"/>
        <s v="PC" u="1"/>
        <s v="PC, 아크릴" u="1"/>
        <s v="스텐라지에이타" u="1"/>
        <s v="PVC 외" u="1"/>
        <s v="노베" u="1"/>
        <s v="중량(파이프)" u="1"/>
        <s v="모터" u="1"/>
        <s v="AL(스텐파이프)모터" u="1"/>
        <s v="전선(35%)" u="1"/>
        <s v="규소강판" u="1"/>
        <s v="STS301" u="1"/>
        <s v="전선(63%)" u="1"/>
        <s v="공 드럼" u="1"/>
        <s v="설비" u="1"/>
        <s v="진공펌프" u="1"/>
        <s v="AL 코어" u="1"/>
        <s v="저니켈강+고철" u="1"/>
        <s v="석정반" u="1"/>
        <s v="스크랩(꼬다리)" u="1"/>
        <s v="수박통" u="1"/>
        <s v="DC모터" u="1"/>
        <s v="스텐 코어" u="1"/>
        <s v="고철(중BL+경A)" u="1"/>
      </sharedItems>
    </cacheField>
    <cacheField name="공차중량(kg)" numFmtId="41">
      <sharedItems containsString="0" containsBlank="1" containsNumber="1" containsInteger="1" minValue="1150" maxValue="42030"/>
    </cacheField>
    <cacheField name="총중량(kg)" numFmtId="41">
      <sharedItems containsString="0" containsBlank="1" containsNumber="1" containsInteger="1" minValue="1210" maxValue="53910"/>
    </cacheField>
    <cacheField name="실중량(kg)" numFmtId="41">
      <sharedItems containsString="0" containsBlank="1" containsNumber="1" containsInteger="1" minValue="-6740" maxValue="32590"/>
    </cacheField>
    <cacheField name="거래처 감량 전_x000a_실중량(kg)" numFmtId="0">
      <sharedItems containsString="0" containsBlank="1" containsNumber="1" minValue="26" maxValue="26590"/>
    </cacheField>
    <cacheField name="감량(kg)" numFmtId="41">
      <sharedItems containsString="0" containsBlank="1" containsNumber="1" containsInteger="1" minValue="3" maxValue="500"/>
    </cacheField>
    <cacheField name="정산 중량(kg)" numFmtId="0">
      <sharedItems containsString="0" containsBlank="1" containsNumber="1" minValue="-6740" maxValue="32590"/>
    </cacheField>
    <cacheField name="단가(원)" numFmtId="0">
      <sharedItems containsString="0" containsBlank="1" containsNumber="1" minValue="-10000" maxValue="50000"/>
    </cacheField>
    <cacheField name="금액(원)" numFmtId="0">
      <sharedItems containsString="0" containsBlank="1" containsNumber="1" minValue="-1250000" maxValue="380632000"/>
    </cacheField>
    <cacheField name="구분" numFmtId="0">
      <sharedItems containsBlank="1"/>
    </cacheField>
    <cacheField name="자회사 출고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x v="0"/>
    <x v="0"/>
    <m/>
    <s v="집게차"/>
    <s v="81오1758"/>
    <m/>
    <m/>
    <x v="0"/>
    <s v="STS304"/>
    <n v="19200"/>
    <n v="24190"/>
    <n v="4990"/>
    <n v="4770"/>
    <m/>
    <n v="4770"/>
    <n v="1710"/>
    <n v="8156700"/>
  </r>
  <r>
    <x v="0"/>
    <x v="0"/>
    <m/>
    <s v="집게차"/>
    <s v="81오1758"/>
    <m/>
    <m/>
    <x v="0"/>
    <s v="저니켈강"/>
    <m/>
    <m/>
    <m/>
    <n v="220"/>
    <m/>
    <n v="220"/>
    <n v="300"/>
    <n v="66000"/>
  </r>
  <r>
    <x v="0"/>
    <x v="0"/>
    <m/>
    <s v="집게차"/>
    <s v="96로8332"/>
    <m/>
    <m/>
    <x v="1"/>
    <s v="잡선"/>
    <n v="12630"/>
    <n v="13000"/>
    <n v="370"/>
    <n v="370"/>
    <m/>
    <n v="370"/>
    <n v="3890"/>
    <n v="1439300"/>
  </r>
  <r>
    <x v="0"/>
    <x v="0"/>
    <m/>
    <s v="집게차"/>
    <s v="96로8332"/>
    <m/>
    <m/>
    <x v="1"/>
    <s v="중선"/>
    <n v="13000"/>
    <n v="13240"/>
    <n v="240"/>
    <n v="240"/>
    <m/>
    <n v="240"/>
    <n v="5130"/>
    <n v="1231200"/>
  </r>
  <r>
    <x v="0"/>
    <x v="0"/>
    <m/>
    <s v="집게차"/>
    <s v="96로8332"/>
    <m/>
    <m/>
    <x v="1"/>
    <s v="상선"/>
    <n v="13240"/>
    <n v="13320"/>
    <n v="80"/>
    <n v="80"/>
    <n v="3"/>
    <n v="77"/>
    <n v="8360"/>
    <n v="643720"/>
  </r>
  <r>
    <x v="0"/>
    <x v="0"/>
    <m/>
    <s v="집게차"/>
    <s v="96로8332"/>
    <m/>
    <m/>
    <x v="1"/>
    <s v="A동"/>
    <n v="13320"/>
    <n v="14740"/>
    <n v="1420"/>
    <n v="1420"/>
    <m/>
    <n v="1420"/>
    <n v="13400"/>
    <n v="19028000"/>
  </r>
  <r>
    <x v="0"/>
    <x v="0"/>
    <m/>
    <s v="집게차"/>
    <s v="96로8332"/>
    <m/>
    <m/>
    <x v="1"/>
    <s v="상동"/>
    <n v="14740"/>
    <n v="15050"/>
    <n v="310"/>
    <n v="240"/>
    <m/>
    <n v="240"/>
    <n v="12900"/>
    <n v="3096000"/>
  </r>
  <r>
    <x v="0"/>
    <x v="0"/>
    <m/>
    <s v="집게차"/>
    <s v="96로8332"/>
    <m/>
    <m/>
    <x v="1"/>
    <s v="하동"/>
    <m/>
    <m/>
    <m/>
    <n v="50"/>
    <m/>
    <n v="50"/>
    <n v="12000"/>
    <n v="600000"/>
  </r>
  <r>
    <x v="0"/>
    <x v="0"/>
    <m/>
    <s v="집게차"/>
    <s v="96로8332"/>
    <m/>
    <m/>
    <x v="1"/>
    <s v="작업철(알모터)"/>
    <n v="15050"/>
    <n v="19230"/>
    <n v="4180"/>
    <n v="4190"/>
    <n v="25"/>
    <n v="4165"/>
    <n v="2610"/>
    <n v="10870650"/>
  </r>
  <r>
    <x v="0"/>
    <x v="0"/>
    <m/>
    <s v="집게차"/>
    <s v="96로8332"/>
    <m/>
    <m/>
    <x v="1"/>
    <s v="라지에이타"/>
    <n v="19230"/>
    <n v="20260"/>
    <n v="1030"/>
    <n v="1040"/>
    <m/>
    <n v="1050"/>
    <n v="6400"/>
    <n v="6720000"/>
  </r>
  <r>
    <x v="0"/>
    <x v="0"/>
    <m/>
    <s v="집게차"/>
    <s v="96로8332"/>
    <m/>
    <m/>
    <x v="1"/>
    <s v="신주 1(잡A)"/>
    <n v="20260"/>
    <n v="20600"/>
    <n v="340"/>
    <n v="350"/>
    <n v="13"/>
    <n v="337"/>
    <n v="8200"/>
    <n v="2763400"/>
  </r>
  <r>
    <x v="0"/>
    <x v="0"/>
    <m/>
    <s v="집게차"/>
    <s v="96로8332"/>
    <m/>
    <m/>
    <x v="1"/>
    <s v="신주 2(작업신주)"/>
    <n v="20600"/>
    <n v="20700"/>
    <n v="100"/>
    <n v="100"/>
    <n v="3"/>
    <n v="97"/>
    <n v="6500"/>
    <n v="630500"/>
  </r>
  <r>
    <x v="0"/>
    <x v="0"/>
    <m/>
    <s v="집게차"/>
    <s v="96로8332"/>
    <m/>
    <m/>
    <x v="1"/>
    <s v="트랜스"/>
    <n v="20700"/>
    <n v="21240"/>
    <n v="540"/>
    <n v="230"/>
    <n v="3"/>
    <n v="227"/>
    <n v="1850"/>
    <n v="419950"/>
  </r>
  <r>
    <x v="0"/>
    <x v="0"/>
    <m/>
    <s v="집게차"/>
    <s v="96로8332"/>
    <m/>
    <m/>
    <x v="1"/>
    <s v="고철"/>
    <m/>
    <m/>
    <m/>
    <n v="310"/>
    <n v="3"/>
    <n v="307"/>
    <n v="500"/>
    <n v="153500"/>
  </r>
  <r>
    <x v="1"/>
    <x v="0"/>
    <m/>
    <s v="집게차"/>
    <s v="87주8410"/>
    <m/>
    <m/>
    <x v="2"/>
    <s v="고철(중량)"/>
    <n v="14070"/>
    <n v="23360"/>
    <n v="9290"/>
    <n v="9290"/>
    <m/>
    <n v="9290"/>
    <n v="365"/>
    <n v="3390850"/>
  </r>
  <r>
    <x v="1"/>
    <x v="0"/>
    <m/>
    <s v="집게차"/>
    <s v="87주8410"/>
    <m/>
    <m/>
    <x v="2"/>
    <s v="고철(중량)"/>
    <m/>
    <m/>
    <n v="9580"/>
    <n v="9580"/>
    <m/>
    <n v="9580"/>
    <n v="365"/>
    <n v="3496700"/>
  </r>
  <r>
    <x v="2"/>
    <x v="0"/>
    <m/>
    <s v="집게차"/>
    <s v="819도9774"/>
    <m/>
    <m/>
    <x v="3"/>
    <s v="프로파일 A"/>
    <n v="17770"/>
    <n v="18910"/>
    <n v="1140"/>
    <m/>
    <m/>
    <n v="1140"/>
    <n v="3300"/>
    <n v="3762000"/>
  </r>
  <r>
    <x v="2"/>
    <x v="0"/>
    <m/>
    <s v="집게차"/>
    <s v="819도9774"/>
    <m/>
    <m/>
    <x v="3"/>
    <s v="알판재 60"/>
    <n v="18910"/>
    <n v="19200"/>
    <n v="290"/>
    <m/>
    <m/>
    <n v="290"/>
    <n v="3100"/>
    <n v="899000"/>
  </r>
  <r>
    <x v="3"/>
    <x v="1"/>
    <s v="현장"/>
    <s v="집게차"/>
    <s v="87주8410"/>
    <s v="배민국"/>
    <s v="010-9110-0126"/>
    <x v="4"/>
    <s v="고철(경B)"/>
    <n v="14080"/>
    <n v="17880"/>
    <n v="3800"/>
    <n v="3800"/>
    <m/>
    <n v="3800"/>
    <n v="410"/>
    <n v="1558000"/>
  </r>
  <r>
    <x v="3"/>
    <x v="1"/>
    <s v="원방"/>
    <s v="집게차"/>
    <s v="87주8410"/>
    <s v="배민국"/>
    <s v="010-9110-0126"/>
    <x v="4"/>
    <s v="고철(경량)"/>
    <n v="14060"/>
    <n v="18010"/>
    <n v="3950"/>
    <n v="3910"/>
    <m/>
    <n v="3910"/>
    <n v="410"/>
    <n v="1603100"/>
  </r>
  <r>
    <x v="3"/>
    <x v="1"/>
    <s v="원방"/>
    <s v="집게차"/>
    <s v="87주8410"/>
    <s v="배민국"/>
    <s v="010-9110-0126"/>
    <x v="4"/>
    <s v="고철(경량)"/>
    <n v="14090"/>
    <n v="17180"/>
    <n v="3090"/>
    <n v="3130"/>
    <m/>
    <n v="3130"/>
    <n v="410"/>
    <n v="1283300"/>
  </r>
  <r>
    <x v="3"/>
    <x v="1"/>
    <s v="원방"/>
    <s v="집게차"/>
    <s v="87주8410"/>
    <s v="배민국"/>
    <s v="010-9110-0126"/>
    <x v="4"/>
    <s v="고철(경량)"/>
    <n v="14020"/>
    <n v="17780"/>
    <n v="3760"/>
    <n v="3760"/>
    <m/>
    <n v="3760"/>
    <n v="410"/>
    <n v="1541600"/>
  </r>
  <r>
    <x v="3"/>
    <x v="1"/>
    <s v="원방"/>
    <s v="집게차"/>
    <s v="87주8410"/>
    <s v="배민국"/>
    <s v="010-9110-0126"/>
    <x v="4"/>
    <s v="고철(경량)"/>
    <n v="14030"/>
    <n v="17650"/>
    <n v="3620"/>
    <n v="3620"/>
    <m/>
    <n v="3620"/>
    <n v="410"/>
    <n v="1484200"/>
  </r>
  <r>
    <x v="3"/>
    <x v="2"/>
    <s v="원방"/>
    <s v="집게차"/>
    <s v="87주8410"/>
    <s v="배민국"/>
    <s v="010-9110-0126"/>
    <x v="4"/>
    <s v="고철(경량)"/>
    <n v="14040"/>
    <n v="16920"/>
    <n v="2880"/>
    <n v="3040"/>
    <m/>
    <n v="3040"/>
    <n v="410"/>
    <n v="1246400"/>
  </r>
  <r>
    <x v="3"/>
    <x v="3"/>
    <s v="원방"/>
    <s v="집게차"/>
    <s v="87주8410"/>
    <s v="배민국"/>
    <s v="010-9110-0126"/>
    <x v="4"/>
    <s v="고철(철근)"/>
    <n v="16920"/>
    <n v="19640"/>
    <n v="2720"/>
    <n v="2590"/>
    <m/>
    <n v="2590"/>
    <n v="420"/>
    <n v="1087800"/>
  </r>
  <r>
    <x v="4"/>
    <x v="1"/>
    <s v="현장"/>
    <s v="집게차"/>
    <s v="87주8410"/>
    <s v="배민국"/>
    <s v="010-9110-0126"/>
    <x v="2"/>
    <s v="고철(경A)"/>
    <n v="14220"/>
    <n v="17620"/>
    <n v="3400"/>
    <n v="3370"/>
    <m/>
    <n v="3400"/>
    <n v="420"/>
    <n v="1428000"/>
  </r>
  <r>
    <x v="4"/>
    <x v="1"/>
    <s v="원방"/>
    <s v="집게차"/>
    <s v="87주8410"/>
    <s v="배민국"/>
    <s v="010-9110-0126"/>
    <x v="0"/>
    <s v="STS316"/>
    <n v="14070"/>
    <n v="21810"/>
    <n v="5418"/>
    <n v="5397"/>
    <n v="9"/>
    <n v="5388"/>
    <n v="3800"/>
    <n v="20474400"/>
  </r>
  <r>
    <x v="4"/>
    <x v="4"/>
    <s v="원방"/>
    <s v="집게차"/>
    <s v="87주8410"/>
    <s v="배민국"/>
    <s v="010-9110-0126"/>
    <x v="0"/>
    <s v="STS316"/>
    <m/>
    <m/>
    <n v="2322"/>
    <n v="1213"/>
    <m/>
    <n v="1213"/>
    <n v="3800"/>
    <n v="4609400"/>
  </r>
  <r>
    <x v="4"/>
    <x v="4"/>
    <s v="원방"/>
    <s v="집게차"/>
    <s v="87주8410"/>
    <s v="배민국"/>
    <s v="010-9110-0126"/>
    <x v="0"/>
    <s v="STS316장척"/>
    <m/>
    <m/>
    <m/>
    <n v="1100"/>
    <m/>
    <n v="1100"/>
    <n v="3750"/>
    <n v="4125000"/>
  </r>
  <r>
    <x v="5"/>
    <x v="2"/>
    <s v="원방"/>
    <s v="집게차"/>
    <s v="87주8410"/>
    <s v="배민국"/>
    <s v="010-9110-0126"/>
    <x v="0"/>
    <s v="STS304"/>
    <m/>
    <m/>
    <n v="510"/>
    <n v="510"/>
    <m/>
    <n v="510"/>
    <n v="1920"/>
    <n v="979200"/>
  </r>
  <r>
    <x v="5"/>
    <x v="1"/>
    <s v="원방"/>
    <s v="집게차"/>
    <s v="87주8410"/>
    <s v="배민국"/>
    <s v="010-9110-0126"/>
    <x v="0"/>
    <s v="STS304"/>
    <n v="14050"/>
    <n v="15840"/>
    <n v="1790"/>
    <n v="1790"/>
    <m/>
    <n v="1790"/>
    <n v="1920"/>
    <n v="3436800"/>
  </r>
  <r>
    <x v="5"/>
    <x v="4"/>
    <s v="원방"/>
    <s v="집게차"/>
    <s v="87주8410"/>
    <s v="배민국"/>
    <s v="010-9110-0126"/>
    <x v="0"/>
    <s v="STS304"/>
    <n v="16350"/>
    <n v="19690"/>
    <n v="3340"/>
    <n v="3270"/>
    <n v="6"/>
    <n v="3264"/>
    <n v="1920"/>
    <n v="6266880"/>
  </r>
  <r>
    <x v="5"/>
    <x v="5"/>
    <s v="원방"/>
    <s v="집게차"/>
    <s v="87주8410"/>
    <s v="배민국"/>
    <s v="010-9110-0126"/>
    <x v="0"/>
    <s v="STS304CU"/>
    <n v="19680"/>
    <n v="20930"/>
    <n v="1250"/>
    <n v="1230"/>
    <n v="9"/>
    <n v="1221"/>
    <n v="1650"/>
    <n v="2014650"/>
  </r>
  <r>
    <x v="5"/>
    <x v="1"/>
    <s v="원방"/>
    <s v="집게차"/>
    <s v="96거5789"/>
    <s v="배민국"/>
    <s v="010-9110-0126"/>
    <x v="0"/>
    <s v="STS304"/>
    <n v="13450"/>
    <n v="20340"/>
    <n v="6890"/>
    <n v="2430"/>
    <m/>
    <n v="2430"/>
    <n v="1920"/>
    <n v="4665600"/>
  </r>
  <r>
    <x v="5"/>
    <x v="1"/>
    <s v="원방"/>
    <s v="집게차"/>
    <s v="96거5789"/>
    <s v="배민국"/>
    <s v="010-9110-0126"/>
    <x v="0"/>
    <s v="STS304장척"/>
    <m/>
    <m/>
    <m/>
    <n v="4410"/>
    <m/>
    <n v="4410"/>
    <n v="1850"/>
    <n v="8158500"/>
  </r>
  <r>
    <x v="6"/>
    <x v="1"/>
    <s v="원방"/>
    <s v="집게차"/>
    <s v="87주8410"/>
    <s v="배민국"/>
    <s v="010-9110-0126"/>
    <x v="4"/>
    <s v="고철(경A)"/>
    <n v="15150"/>
    <n v="18380"/>
    <n v="3230"/>
    <n v="3460"/>
    <m/>
    <n v="3460"/>
    <n v="420"/>
    <n v="1453200"/>
  </r>
  <r>
    <x v="6"/>
    <x v="2"/>
    <s v="원방"/>
    <s v="집게차"/>
    <s v="87주8410"/>
    <s v="배민국"/>
    <s v="010-9110-0126"/>
    <x v="4"/>
    <s v="고철(경A)"/>
    <n v="14060"/>
    <n v="15150"/>
    <n v="1090"/>
    <n v="1090"/>
    <m/>
    <n v="1090"/>
    <n v="420"/>
    <n v="457800"/>
  </r>
  <r>
    <x v="7"/>
    <x v="1"/>
    <s v="원방"/>
    <s v="집게차"/>
    <s v="87주8410"/>
    <s v="배민국"/>
    <s v="010-9110-0126"/>
    <x v="4"/>
    <s v="고철(경A)"/>
    <n v="14160"/>
    <n v="16830"/>
    <n v="2670"/>
    <n v="3000"/>
    <m/>
    <n v="3000"/>
    <n v="420"/>
    <n v="1260000"/>
  </r>
  <r>
    <x v="7"/>
    <x v="1"/>
    <s v="원방"/>
    <s v="집게차"/>
    <s v="87주8410"/>
    <s v="배민국"/>
    <s v="010-9110-0126"/>
    <x v="4"/>
    <s v="고철(경A)"/>
    <n v="14090"/>
    <n v="17700"/>
    <n v="3610"/>
    <n v="3600"/>
    <m/>
    <n v="3600"/>
    <n v="420"/>
    <n v="1512000"/>
  </r>
  <r>
    <x v="7"/>
    <x v="6"/>
    <s v="원방"/>
    <s v="집게차"/>
    <s v="96거5789"/>
    <s v="배민국"/>
    <s v="010-9110-0126"/>
    <x v="4"/>
    <s v="고철(경B)"/>
    <n v="14050"/>
    <n v="15750"/>
    <n v="1700"/>
    <n v="1720"/>
    <m/>
    <n v="1720"/>
    <n v="410"/>
    <n v="705200"/>
  </r>
  <r>
    <x v="8"/>
    <x v="1"/>
    <s v="원방"/>
    <s v="최명동 집게차"/>
    <s v="82모8185"/>
    <s v="최명동"/>
    <m/>
    <x v="3"/>
    <s v="알루미늄 B"/>
    <n v="12930"/>
    <n v="16020"/>
    <n v="2030"/>
    <n v="2030"/>
    <n v="10"/>
    <n v="2020"/>
    <n v="3900"/>
    <n v="7878000"/>
  </r>
  <r>
    <x v="8"/>
    <x v="3"/>
    <s v="원방"/>
    <s v="최명동 집게차"/>
    <s v="82모8185"/>
    <s v="최명동"/>
    <m/>
    <x v="3"/>
    <s v="알루미늄 B"/>
    <m/>
    <m/>
    <n v="900"/>
    <n v="900"/>
    <m/>
    <n v="900"/>
    <n v="3900"/>
    <n v="3510000"/>
  </r>
  <r>
    <x v="8"/>
    <x v="2"/>
    <s v="원방"/>
    <s v="최명동 집게차"/>
    <s v="82모8185"/>
    <s v="최명동"/>
    <m/>
    <x v="3"/>
    <s v="알루미늄 B"/>
    <m/>
    <m/>
    <n v="100"/>
    <n v="100"/>
    <m/>
    <n v="100"/>
    <n v="3900"/>
    <n v="390000"/>
  </r>
  <r>
    <x v="8"/>
    <x v="6"/>
    <s v="원방"/>
    <s v="최명동 집게차"/>
    <s v="82모8185"/>
    <s v="최명동"/>
    <m/>
    <x v="3"/>
    <s v="알루미늄 B"/>
    <m/>
    <m/>
    <n v="60"/>
    <n v="60"/>
    <m/>
    <n v="60"/>
    <n v="3900"/>
    <n v="234000"/>
  </r>
  <r>
    <x v="9"/>
    <x v="1"/>
    <s v="원방"/>
    <s v="방통차"/>
    <s v="충남94바3450"/>
    <s v="구형서"/>
    <s v="010-4889-4456"/>
    <x v="1"/>
    <s v="A동"/>
    <n v="18360"/>
    <n v="42030"/>
    <n v="19420"/>
    <n v="19430"/>
    <m/>
    <n v="19420"/>
    <n v="19600"/>
    <n v="380632000"/>
  </r>
  <r>
    <x v="9"/>
    <x v="2"/>
    <s v="원방"/>
    <s v="방통차"/>
    <s v="충남94바3450"/>
    <s v="구형서"/>
    <s v="010-4889-4456"/>
    <x v="1"/>
    <s v="A동"/>
    <m/>
    <m/>
    <n v="800"/>
    <n v="800"/>
    <m/>
    <n v="800"/>
    <n v="19600"/>
    <n v="15680000"/>
  </r>
  <r>
    <x v="9"/>
    <x v="7"/>
    <s v="원방"/>
    <s v="방통차"/>
    <s v="충남94바3450"/>
    <s v="구형서"/>
    <s v="010-4889-4456"/>
    <x v="1"/>
    <s v="A동"/>
    <m/>
    <m/>
    <n v="3450"/>
    <n v="3450"/>
    <m/>
    <n v="3450"/>
    <n v="19600"/>
    <n v="67620000"/>
  </r>
  <r>
    <x v="9"/>
    <x v="1"/>
    <s v="원방"/>
    <s v="방통차"/>
    <s v="충남94바3450"/>
    <s v="구형서"/>
    <s v="010-4889-4456"/>
    <x v="1"/>
    <s v="A동"/>
    <n v="42030"/>
    <n v="42970"/>
    <n v="940"/>
    <n v="940"/>
    <m/>
    <n v="940"/>
    <n v="19600"/>
    <n v="18424000"/>
  </r>
  <r>
    <x v="9"/>
    <x v="1"/>
    <s v="원방"/>
    <s v="방통차"/>
    <s v="전남80바2667"/>
    <s v="김기용"/>
    <s v="010-2811-2300"/>
    <x v="1"/>
    <s v="캔디"/>
    <n v="18780"/>
    <n v="24690"/>
    <n v="5910"/>
    <n v="4930"/>
    <n v="18"/>
    <n v="4912"/>
    <n v="19200"/>
    <n v="94310400"/>
  </r>
  <r>
    <x v="9"/>
    <x v="7"/>
    <s v="원방"/>
    <s v="방통차"/>
    <s v="전남80바2667"/>
    <s v="김기용"/>
    <s v="010-2811-2300"/>
    <x v="1"/>
    <s v="상동"/>
    <n v="24690"/>
    <n v="39200"/>
    <n v="12080"/>
    <n v="13070"/>
    <n v="21"/>
    <n v="13049"/>
    <n v="18800"/>
    <n v="245321200"/>
  </r>
  <r>
    <x v="9"/>
    <x v="1"/>
    <s v="원방"/>
    <m/>
    <s v="전남80바2667"/>
    <s v="김기용"/>
    <s v="010-2811-2300"/>
    <x v="1"/>
    <s v="상동"/>
    <m/>
    <m/>
    <n v="2150"/>
    <n v="2150"/>
    <m/>
    <n v="2150"/>
    <n v="18800"/>
    <n v="40420000"/>
  </r>
  <r>
    <x v="9"/>
    <x v="2"/>
    <s v="원방"/>
    <s v="방통차"/>
    <s v="전남80바2667"/>
    <s v="김기용"/>
    <s v="010-2811-2300"/>
    <x v="1"/>
    <s v="상동"/>
    <m/>
    <m/>
    <n v="280"/>
    <n v="280"/>
    <m/>
    <n v="280"/>
    <n v="18800"/>
    <n v="5264000"/>
  </r>
  <r>
    <x v="9"/>
    <x v="1"/>
    <s v="원방"/>
    <s v="방통차"/>
    <s v="전남86바1578"/>
    <s v="김영윤"/>
    <s v="010-3999-1056"/>
    <x v="1"/>
    <s v="폐전선"/>
    <n v="18160"/>
    <n v="42940"/>
    <n v="24780"/>
    <n v="24960"/>
    <m/>
    <n v="24780"/>
    <n v="7960"/>
    <n v="197248800"/>
  </r>
  <r>
    <x v="9"/>
    <x v="7"/>
    <s v="원방"/>
    <s v="집게차"/>
    <s v="89러0134"/>
    <s v="다문산업"/>
    <m/>
    <x v="1"/>
    <s v="잡선(47%)"/>
    <n v="12900"/>
    <n v="16640"/>
    <n v="1500"/>
    <n v="1500"/>
    <m/>
    <n v="1500"/>
    <n v="7960"/>
    <n v="11940000"/>
  </r>
  <r>
    <x v="9"/>
    <x v="1"/>
    <s v="원방"/>
    <s v="집게차"/>
    <s v="89러0134"/>
    <s v="다문산업"/>
    <m/>
    <x v="1"/>
    <s v="잡선(47%)"/>
    <m/>
    <m/>
    <n v="1230"/>
    <n v="1250"/>
    <m/>
    <n v="1230"/>
    <n v="7960"/>
    <n v="9790800"/>
  </r>
  <r>
    <x v="9"/>
    <x v="6"/>
    <s v="원방"/>
    <s v="집게차"/>
    <s v="89러0134"/>
    <s v="다문산업"/>
    <m/>
    <x v="1"/>
    <s v="잡선(47%)"/>
    <m/>
    <m/>
    <n v="1010"/>
    <n v="1010"/>
    <m/>
    <n v="1010"/>
    <n v="7960"/>
    <n v="8039600"/>
  </r>
  <r>
    <x v="9"/>
    <x v="7"/>
    <s v="원방"/>
    <s v="집게차"/>
    <s v="89러0134"/>
    <s v="다문산업"/>
    <m/>
    <x v="1"/>
    <s v="잡선(47%)"/>
    <n v="16640"/>
    <n v="22260"/>
    <n v="5620"/>
    <n v="5620"/>
    <m/>
    <n v="5620"/>
    <n v="7960"/>
    <n v="44735200"/>
  </r>
  <r>
    <x v="9"/>
    <x v="6"/>
    <s v="원방"/>
    <s v="집게차"/>
    <s v="89러0134"/>
    <s v="다문산업"/>
    <m/>
    <x v="1"/>
    <s v="단선_2mm선(65%)"/>
    <n v="22260"/>
    <n v="23590"/>
    <n v="660"/>
    <n v="660"/>
    <n v="6"/>
    <n v="654"/>
    <n v="12340"/>
    <n v="8070360"/>
  </r>
  <r>
    <x v="9"/>
    <x v="1"/>
    <s v="원방"/>
    <s v="집게차"/>
    <s v="89러0134"/>
    <s v="다문산업"/>
    <m/>
    <x v="1"/>
    <s v="단선_2mm선(65%)"/>
    <m/>
    <m/>
    <n v="670"/>
    <n v="670"/>
    <n v="21"/>
    <n v="649"/>
    <n v="12340"/>
    <n v="8008660"/>
  </r>
  <r>
    <x v="10"/>
    <x v="1"/>
    <s v="정민산업"/>
    <s v="카고"/>
    <s v="경기80바7139"/>
    <m/>
    <m/>
    <x v="5"/>
    <s v="탱크"/>
    <n v="7930"/>
    <n v="14670"/>
    <n v="-6740"/>
    <m/>
    <m/>
    <n v="-6740"/>
    <m/>
    <n v="-1250000"/>
  </r>
  <r>
    <x v="10"/>
    <x v="5"/>
    <s v="원방"/>
    <s v="1톤트럭"/>
    <s v="81구6225"/>
    <s v="김태정"/>
    <s v="010-3311-8084"/>
    <x v="0"/>
    <s v="모넬400"/>
    <n v="2140"/>
    <n v="2730"/>
    <n v="590"/>
    <n v="563.5"/>
    <n v="3"/>
    <n v="560.5"/>
    <n v="13000"/>
    <n v="7286500"/>
  </r>
  <r>
    <x v="10"/>
    <x v="4"/>
    <s v="원방"/>
    <s v="1톤트럭"/>
    <s v="81구6225"/>
    <s v="김태정"/>
    <s v="010-3311-8084"/>
    <x v="0"/>
    <s v="C-22(하스텔로이)"/>
    <n v="2730"/>
    <n v="3050"/>
    <n v="320"/>
    <n v="125.5"/>
    <m/>
    <n v="125.5"/>
    <n v="18000"/>
    <n v="2259000"/>
  </r>
  <r>
    <x v="10"/>
    <x v="4"/>
    <s v="원방"/>
    <s v="1톤트럭"/>
    <s v="81구6225"/>
    <s v="김태정"/>
    <s v="010-3311-8084"/>
    <x v="0"/>
    <s v="STS304"/>
    <m/>
    <m/>
    <m/>
    <n v="185.5"/>
    <m/>
    <n v="185.5"/>
    <n v="1900"/>
    <n v="352450"/>
  </r>
  <r>
    <x v="10"/>
    <x v="1"/>
    <s v="원방"/>
    <s v="1톤트럭"/>
    <s v="81구6225"/>
    <s v="김태정"/>
    <s v="010-3311-8084"/>
    <x v="0"/>
    <s v="MO(몰디브덴)"/>
    <n v="3050"/>
    <n v="3170"/>
    <n v="120"/>
    <n v="114"/>
    <n v="3"/>
    <n v="111"/>
    <n v="50000"/>
    <n v="5550000"/>
  </r>
  <r>
    <x v="10"/>
    <x v="1"/>
    <s v="현장"/>
    <s v="방통차"/>
    <s v="경기90자2889"/>
    <m/>
    <m/>
    <x v="2"/>
    <s v="고철(중량)"/>
    <n v="18700"/>
    <n v="42920"/>
    <n v="24220"/>
    <n v="24130"/>
    <m/>
    <n v="24220"/>
    <n v="480"/>
    <n v="11625600"/>
  </r>
  <r>
    <x v="10"/>
    <x v="1"/>
    <s v="현장"/>
    <s v="방통차"/>
    <s v="경기80바7145"/>
    <m/>
    <m/>
    <x v="2"/>
    <s v="고철(중량)"/>
    <n v="18520"/>
    <n v="43200"/>
    <n v="24680"/>
    <n v="24570"/>
    <m/>
    <n v="24680"/>
    <n v="480"/>
    <n v="11846400"/>
  </r>
  <r>
    <x v="10"/>
    <x v="1"/>
    <s v="현장"/>
    <s v="방통차"/>
    <s v="충북91아2060"/>
    <m/>
    <m/>
    <x v="2"/>
    <s v="고철(중량)"/>
    <n v="18140"/>
    <n v="43960"/>
    <n v="25820"/>
    <n v="25720"/>
    <m/>
    <n v="25820"/>
    <n v="480"/>
    <n v="12393600"/>
  </r>
  <r>
    <x v="10"/>
    <x v="1"/>
    <s v="현장"/>
    <s v="방통차"/>
    <s v="서울82바4890"/>
    <m/>
    <m/>
    <x v="2"/>
    <s v="고철(중량)"/>
    <n v="18460"/>
    <n v="43520"/>
    <n v="25060"/>
    <n v="24960"/>
    <m/>
    <n v="25060"/>
    <n v="480"/>
    <n v="12028800"/>
  </r>
  <r>
    <x v="10"/>
    <x v="1"/>
    <s v="현장"/>
    <s v="방통차"/>
    <s v="서울88아4910"/>
    <m/>
    <m/>
    <x v="2"/>
    <s v="고철(중량)"/>
    <n v="17940"/>
    <n v="43200"/>
    <n v="25260"/>
    <n v="25150"/>
    <m/>
    <n v="25260"/>
    <n v="480"/>
    <n v="12124800"/>
  </r>
  <r>
    <x v="10"/>
    <x v="1"/>
    <s v="현장"/>
    <s v="방통차"/>
    <s v="인천80자1904"/>
    <s v="배조성"/>
    <s v="010-4737-6803"/>
    <x v="2"/>
    <s v="고철(중량)"/>
    <n v="18540"/>
    <n v="42920"/>
    <n v="24380"/>
    <n v="24370"/>
    <m/>
    <n v="24380"/>
    <n v="480"/>
    <n v="11702400"/>
  </r>
  <r>
    <x v="10"/>
    <x v="1"/>
    <s v="현장"/>
    <s v="방통차"/>
    <s v="인천80사7274"/>
    <m/>
    <m/>
    <x v="2"/>
    <s v="고철(중량)"/>
    <n v="18300"/>
    <n v="42760"/>
    <n v="24460"/>
    <n v="24400"/>
    <m/>
    <n v="24460"/>
    <n v="480"/>
    <n v="11740800"/>
  </r>
  <r>
    <x v="10"/>
    <x v="1"/>
    <s v="현장"/>
    <s v="방통차"/>
    <s v="경기90자2889"/>
    <m/>
    <m/>
    <x v="2"/>
    <s v="고철(중량)"/>
    <n v="18580"/>
    <n v="42660"/>
    <n v="24080"/>
    <n v="23900"/>
    <m/>
    <n v="24080"/>
    <n v="480"/>
    <n v="11558400"/>
  </r>
  <r>
    <x v="10"/>
    <x v="1"/>
    <s v="현장"/>
    <s v="방통차"/>
    <s v="경기80바7145"/>
    <m/>
    <m/>
    <x v="2"/>
    <s v="고철(중량)"/>
    <n v="18360"/>
    <n v="43320"/>
    <n v="24960"/>
    <n v="24940"/>
    <m/>
    <n v="24960"/>
    <n v="480"/>
    <n v="11980800"/>
  </r>
  <r>
    <x v="10"/>
    <x v="1"/>
    <s v="현장"/>
    <s v="방통차"/>
    <s v="서울87아8165"/>
    <m/>
    <m/>
    <x v="2"/>
    <s v="고철(중량)"/>
    <n v="18500"/>
    <n v="42880"/>
    <n v="24380"/>
    <n v="24240"/>
    <m/>
    <n v="24380"/>
    <n v="480"/>
    <n v="11702400"/>
  </r>
  <r>
    <x v="11"/>
    <x v="1"/>
    <s v="원방"/>
    <s v="집게차"/>
    <s v="89러0134"/>
    <s v="다문산업"/>
    <m/>
    <x v="1"/>
    <s v="트렌스 작업철"/>
    <n v="12920"/>
    <n v="22270"/>
    <n v="5610"/>
    <n v="5610"/>
    <n v="21"/>
    <n v="5589"/>
    <n v="3700"/>
    <n v="20679300"/>
  </r>
  <r>
    <x v="11"/>
    <x v="7"/>
    <s v="원방"/>
    <s v="집게차"/>
    <s v="89러0134"/>
    <s v="다문산업"/>
    <m/>
    <x v="1"/>
    <s v="트렌스 작업철"/>
    <m/>
    <m/>
    <n v="3740"/>
    <n v="3740"/>
    <n v="12"/>
    <n v="3728"/>
    <n v="3700"/>
    <n v="13793600"/>
  </r>
  <r>
    <x v="11"/>
    <x v="1"/>
    <s v="원방"/>
    <s v="집게차"/>
    <s v="89러0134"/>
    <s v="다문산업"/>
    <m/>
    <x v="1"/>
    <s v="중선"/>
    <n v="22260"/>
    <n v="25170"/>
    <n v="2910"/>
    <n v="2910"/>
    <n v="39"/>
    <n v="2871"/>
    <n v="10600"/>
    <n v="30432600"/>
  </r>
  <r>
    <x v="11"/>
    <x v="1"/>
    <s v="원방"/>
    <s v="집게차"/>
    <s v="89러0134"/>
    <s v="다문산업"/>
    <m/>
    <x v="1"/>
    <s v="중동"/>
    <n v="25170"/>
    <n v="26770"/>
    <n v="1600"/>
    <n v="1620"/>
    <m/>
    <n v="1600"/>
    <n v="18200"/>
    <n v="29120000"/>
  </r>
  <r>
    <x v="11"/>
    <x v="1"/>
    <s v="현장"/>
    <s v="방통차"/>
    <s v="서울87아8165"/>
    <m/>
    <m/>
    <x v="2"/>
    <s v="고철(중량)"/>
    <n v="18500"/>
    <n v="42800"/>
    <n v="24300"/>
    <n v="24260"/>
    <m/>
    <n v="24300"/>
    <n v="480"/>
    <n v="11664000"/>
  </r>
  <r>
    <x v="11"/>
    <x v="1"/>
    <s v="현장"/>
    <s v="방통차"/>
    <s v="서울82바4890"/>
    <m/>
    <m/>
    <x v="2"/>
    <s v="고철(중량)"/>
    <n v="18500"/>
    <n v="43060"/>
    <n v="24560"/>
    <n v="24540"/>
    <m/>
    <n v="24560"/>
    <n v="480"/>
    <n v="11788800"/>
  </r>
  <r>
    <x v="11"/>
    <x v="1"/>
    <s v="현장"/>
    <s v="방통차"/>
    <s v="경기80바7145"/>
    <m/>
    <m/>
    <x v="2"/>
    <s v="고철(중량)"/>
    <n v="18380"/>
    <n v="42500"/>
    <n v="24120"/>
    <n v="23950"/>
    <m/>
    <n v="24120"/>
    <n v="480"/>
    <n v="11577600"/>
  </r>
  <r>
    <x v="11"/>
    <x v="1"/>
    <s v="현장"/>
    <s v="방통차"/>
    <s v="서울88아4910"/>
    <m/>
    <m/>
    <x v="2"/>
    <s v="고철(중량)"/>
    <n v="17920"/>
    <n v="42660"/>
    <n v="24740"/>
    <n v="24630"/>
    <m/>
    <n v="24740"/>
    <n v="480"/>
    <n v="11875200"/>
  </r>
  <r>
    <x v="11"/>
    <x v="1"/>
    <s v="현장"/>
    <s v="방통차"/>
    <s v="인천80자1932"/>
    <s v="이종화"/>
    <s v="010-5396-9846"/>
    <x v="2"/>
    <s v="고철(중량)"/>
    <n v="18400"/>
    <n v="43580"/>
    <n v="25180"/>
    <n v="25110"/>
    <m/>
    <n v="25180"/>
    <n v="480"/>
    <n v="12086400"/>
  </r>
  <r>
    <x v="11"/>
    <x v="1"/>
    <s v="현장"/>
    <s v="방통차"/>
    <s v="인천80사7274"/>
    <m/>
    <m/>
    <x v="2"/>
    <s v="고철(중량)"/>
    <n v="18420"/>
    <n v="42360"/>
    <n v="23940"/>
    <n v="23900"/>
    <m/>
    <n v="23940"/>
    <n v="480"/>
    <n v="11491200"/>
  </r>
  <r>
    <x v="11"/>
    <x v="1"/>
    <s v="현장"/>
    <s v="방통차"/>
    <s v="경기80바6092"/>
    <m/>
    <m/>
    <x v="2"/>
    <s v="고철(중량)"/>
    <n v="18800"/>
    <n v="42060"/>
    <n v="23260"/>
    <n v="23220"/>
    <m/>
    <n v="23260"/>
    <n v="480"/>
    <n v="11164800"/>
  </r>
  <r>
    <x v="11"/>
    <x v="1"/>
    <s v="현장"/>
    <s v="방통차"/>
    <s v="서울87아8165"/>
    <m/>
    <m/>
    <x v="2"/>
    <s v="고철(중량)"/>
    <n v="18460"/>
    <n v="42120"/>
    <n v="23660"/>
    <n v="23650"/>
    <m/>
    <n v="23660"/>
    <n v="480"/>
    <n v="11356800"/>
  </r>
  <r>
    <x v="11"/>
    <x v="1"/>
    <s v="현장"/>
    <s v="방통차"/>
    <s v="서울82바4890"/>
    <m/>
    <m/>
    <x v="2"/>
    <s v="고철(중량)"/>
    <n v="18700"/>
    <n v="43040"/>
    <n v="24340"/>
    <n v="24290"/>
    <m/>
    <n v="24340"/>
    <n v="480"/>
    <n v="11683200"/>
  </r>
  <r>
    <x v="11"/>
    <x v="1"/>
    <s v="현장"/>
    <s v="방통차"/>
    <s v="경기80바7145"/>
    <m/>
    <m/>
    <x v="2"/>
    <s v="고철(중량)"/>
    <n v="18500"/>
    <n v="42840"/>
    <n v="24340"/>
    <n v="24270"/>
    <m/>
    <n v="24340"/>
    <n v="480"/>
    <n v="11683200"/>
  </r>
  <r>
    <x v="12"/>
    <x v="1"/>
    <s v="현장"/>
    <s v="방통차"/>
    <s v="인천80자1904"/>
    <s v="배조성"/>
    <s v="010-4737-6803"/>
    <x v="2"/>
    <s v="고철(중량)"/>
    <n v="18560"/>
    <n v="43580"/>
    <n v="25020"/>
    <m/>
    <m/>
    <n v="25020"/>
    <n v="480"/>
    <n v="12009600"/>
  </r>
  <r>
    <x v="12"/>
    <x v="1"/>
    <s v="현장"/>
    <s v="방통차"/>
    <s v="인천85아5409"/>
    <s v="김문중"/>
    <s v="010-6667-8255"/>
    <x v="2"/>
    <s v="고철(중량)"/>
    <n v="18240"/>
    <n v="42480"/>
    <n v="24240"/>
    <m/>
    <m/>
    <n v="24240"/>
    <n v="480"/>
    <n v="11635200"/>
  </r>
  <r>
    <x v="12"/>
    <x v="1"/>
    <s v="현장"/>
    <s v="방통차"/>
    <s v="인천80자1932"/>
    <s v="이종화"/>
    <s v="010-5396-9846"/>
    <x v="2"/>
    <s v="고철(중량)"/>
    <n v="18400"/>
    <n v="43240"/>
    <n v="24840"/>
    <m/>
    <m/>
    <n v="24840"/>
    <n v="480"/>
    <n v="11923200"/>
  </r>
  <r>
    <x v="12"/>
    <x v="1"/>
    <s v="현장"/>
    <s v="방통차"/>
    <s v="서울87아7712"/>
    <s v="김기범"/>
    <s v="010-7700-7041"/>
    <x v="2"/>
    <s v="고철(중량)"/>
    <n v="18740"/>
    <n v="43220"/>
    <n v="24480"/>
    <m/>
    <m/>
    <n v="24480"/>
    <n v="480"/>
    <n v="11750400"/>
  </r>
  <r>
    <x v="12"/>
    <x v="1"/>
    <s v="현장"/>
    <s v="방통차"/>
    <s v="대구84아9559"/>
    <s v="임상현"/>
    <s v="010-4714-8294"/>
    <x v="2"/>
    <s v="고철(중량)"/>
    <n v="18760"/>
    <n v="42460"/>
    <n v="23700"/>
    <m/>
    <m/>
    <n v="23700"/>
    <n v="480"/>
    <n v="11376000"/>
  </r>
  <r>
    <x v="12"/>
    <x v="1"/>
    <s v="현장"/>
    <s v="방통차"/>
    <s v="인천85바3859"/>
    <s v="김태동"/>
    <s v="010-7504-1068"/>
    <x v="2"/>
    <s v="고철(중량)"/>
    <n v="18420"/>
    <n v="43020"/>
    <n v="24600"/>
    <m/>
    <m/>
    <n v="24600"/>
    <n v="480"/>
    <n v="11808000"/>
  </r>
  <r>
    <x v="13"/>
    <x v="8"/>
    <s v="현장"/>
    <s v="집게차"/>
    <s v="87주8410"/>
    <s v="배민국"/>
    <s v="010-9110-0126"/>
    <x v="2"/>
    <s v="고철(경A)"/>
    <n v="13930"/>
    <n v="17800"/>
    <n v="3870"/>
    <n v="3850"/>
    <m/>
    <n v="3870"/>
    <n v="445"/>
    <n v="1722150"/>
  </r>
  <r>
    <x v="13"/>
    <x v="1"/>
    <s v="현장"/>
    <s v="방통차"/>
    <s v="서울88아3514"/>
    <s v="박인규"/>
    <s v="010-5332-9890"/>
    <x v="2"/>
    <s v="고철(중량장척)"/>
    <n v="18520"/>
    <n v="33300"/>
    <n v="14780"/>
    <n v="14630"/>
    <m/>
    <n v="14780"/>
    <n v="460"/>
    <n v="6798800"/>
  </r>
  <r>
    <x v="13"/>
    <x v="1"/>
    <s v="현장"/>
    <s v="방통차"/>
    <s v="인천95바4643"/>
    <s v="홍정희"/>
    <s v="010-6224-9825"/>
    <x v="2"/>
    <s v="고철(중량)"/>
    <n v="19060"/>
    <n v="42140"/>
    <n v="23080"/>
    <n v="23020"/>
    <m/>
    <n v="23080"/>
    <n v="480"/>
    <n v="11078400"/>
  </r>
  <r>
    <x v="13"/>
    <x v="1"/>
    <s v="현장"/>
    <s v="방통차"/>
    <s v="경기93자8201"/>
    <m/>
    <m/>
    <x v="2"/>
    <s v="고철(중량장척)"/>
    <n v="18840"/>
    <n v="33780"/>
    <n v="14940"/>
    <n v="13460"/>
    <m/>
    <n v="14940"/>
    <n v="460"/>
    <n v="6872400"/>
  </r>
  <r>
    <x v="13"/>
    <x v="1"/>
    <s v="현장"/>
    <s v="방통차"/>
    <s v="경기80바6092"/>
    <m/>
    <m/>
    <x v="2"/>
    <s v="고철(중량)"/>
    <n v="18840"/>
    <n v="41780"/>
    <n v="22940"/>
    <n v="22810"/>
    <m/>
    <n v="22940"/>
    <n v="480"/>
    <n v="11011200"/>
  </r>
  <r>
    <x v="13"/>
    <x v="1"/>
    <s v="현장"/>
    <s v="방통차"/>
    <s v="서울87아7712"/>
    <s v="김기범"/>
    <s v="010-7700-7041"/>
    <x v="2"/>
    <s v="고철(중량장척)"/>
    <n v="18740"/>
    <n v="31080"/>
    <n v="12340"/>
    <n v="12320"/>
    <m/>
    <n v="12340"/>
    <n v="460"/>
    <n v="5676400"/>
  </r>
  <r>
    <x v="13"/>
    <x v="1"/>
    <s v="현장"/>
    <s v="방통차"/>
    <s v="대전89아7686"/>
    <s v="김민욱"/>
    <s v="010-7139-2998"/>
    <x v="2"/>
    <s v="고철(중량장척)"/>
    <n v="18640"/>
    <n v="32020"/>
    <n v="13380"/>
    <n v="13340"/>
    <m/>
    <n v="13380"/>
    <n v="460"/>
    <n v="6154800"/>
  </r>
  <r>
    <x v="13"/>
    <x v="1"/>
    <s v="현장"/>
    <s v="방통차"/>
    <s v="인천85바9168"/>
    <s v="최원곤"/>
    <s v="010-6495-2983"/>
    <x v="2"/>
    <s v="고철(중량장척)"/>
    <n v="18440"/>
    <n v="33500"/>
    <n v="15060"/>
    <n v="14890"/>
    <m/>
    <n v="15060"/>
    <n v="460"/>
    <n v="6927600"/>
  </r>
  <r>
    <x v="13"/>
    <x v="1"/>
    <s v="현장"/>
    <s v="방통차"/>
    <s v="충북91아2060"/>
    <m/>
    <m/>
    <x v="2"/>
    <s v="고철(중량)"/>
    <n v="17960"/>
    <n v="43060"/>
    <n v="25100"/>
    <n v="25060"/>
    <m/>
    <n v="25100"/>
    <n v="480"/>
    <n v="12048000"/>
  </r>
  <r>
    <x v="13"/>
    <x v="1"/>
    <s v="현장"/>
    <s v="방통차"/>
    <s v="인천80아8306"/>
    <s v="이용화"/>
    <s v="010-3323-9265"/>
    <x v="2"/>
    <s v="고철(중량장척)"/>
    <n v="18320"/>
    <n v="33460"/>
    <n v="15140"/>
    <n v="15000"/>
    <m/>
    <n v="15140"/>
    <n v="460"/>
    <n v="6964400"/>
  </r>
  <r>
    <x v="13"/>
    <x v="1"/>
    <s v="현장"/>
    <s v="방통차"/>
    <s v="경기90자2889"/>
    <m/>
    <m/>
    <x v="2"/>
    <s v="고철(중량)"/>
    <n v="18700"/>
    <n v="43600"/>
    <n v="24900"/>
    <n v="24800"/>
    <m/>
    <n v="24900"/>
    <n v="480"/>
    <n v="11952000"/>
  </r>
  <r>
    <x v="13"/>
    <x v="1"/>
    <s v="현장"/>
    <s v="방통차"/>
    <s v="인천86아1820"/>
    <s v="이종하"/>
    <s v="010-5396-9846"/>
    <x v="2"/>
    <s v="고철(중량)"/>
    <n v="18740"/>
    <n v="42860"/>
    <n v="24120"/>
    <n v="24070"/>
    <m/>
    <n v="24120"/>
    <n v="480"/>
    <n v="11577600"/>
  </r>
  <r>
    <x v="13"/>
    <x v="1"/>
    <s v="현장"/>
    <s v="방통차"/>
    <s v="경기93자8201"/>
    <m/>
    <m/>
    <x v="2"/>
    <s v="고철(중량장척)"/>
    <n v="18800"/>
    <n v="32300"/>
    <n v="13500"/>
    <n v="14750"/>
    <m/>
    <n v="13500"/>
    <n v="460"/>
    <n v="6210000"/>
  </r>
  <r>
    <x v="13"/>
    <x v="1"/>
    <s v="현장"/>
    <s v="방통차"/>
    <s v="서울87아7712"/>
    <s v="김기범"/>
    <s v="010-7700-7041"/>
    <x v="2"/>
    <s v="고철(중량장척)"/>
    <n v="18700"/>
    <n v="37720"/>
    <n v="19020"/>
    <n v="18990"/>
    <m/>
    <n v="19020"/>
    <n v="460"/>
    <n v="8749200"/>
  </r>
  <r>
    <x v="13"/>
    <x v="1"/>
    <s v="현장"/>
    <s v="방통차"/>
    <s v="대전89아7686"/>
    <s v="김민욱"/>
    <s v="010-7139-2998"/>
    <x v="2"/>
    <s v="고철(중량장척)"/>
    <n v="18580"/>
    <n v="31700"/>
    <n v="13120"/>
    <n v="13030"/>
    <m/>
    <n v="13120"/>
    <n v="460"/>
    <n v="6035200"/>
  </r>
  <r>
    <x v="13"/>
    <x v="1"/>
    <s v="현장"/>
    <s v="방통차"/>
    <s v="인천80아8306"/>
    <s v="이용화"/>
    <s v="010-3323-9265"/>
    <x v="2"/>
    <s v="고철(중량장척)"/>
    <n v="18280"/>
    <n v="35540"/>
    <n v="17260"/>
    <n v="17070"/>
    <n v="500"/>
    <n v="16760"/>
    <n v="460"/>
    <n v="7709600"/>
  </r>
  <r>
    <x v="14"/>
    <x v="8"/>
    <s v="현장"/>
    <s v="집게차"/>
    <s v="84나4888"/>
    <s v="이민규"/>
    <s v="010-5899-9660"/>
    <x v="2"/>
    <s v="고철(빔장척)"/>
    <n v="21390"/>
    <n v="32670"/>
    <n v="11280"/>
    <m/>
    <m/>
    <n v="11280"/>
    <n v="490"/>
    <n v="5527200"/>
  </r>
  <r>
    <x v="14"/>
    <x v="8"/>
    <s v="현장"/>
    <s v="방통차"/>
    <s v="경북80아9218"/>
    <s v="정현철"/>
    <s v="010-3873-2063"/>
    <x v="2"/>
    <s v="고철(빔장척)"/>
    <n v="17930"/>
    <n v="32120"/>
    <n v="14190"/>
    <m/>
    <m/>
    <n v="14190"/>
    <n v="475"/>
    <n v="6740250"/>
  </r>
  <r>
    <x v="14"/>
    <x v="8"/>
    <s v="현장"/>
    <s v="방통차"/>
    <s v="경북80아9218"/>
    <s v="정현철"/>
    <s v="010-3873-2063"/>
    <x v="2"/>
    <s v="고철(빔장척)"/>
    <n v="17910"/>
    <n v="33670"/>
    <n v="15760"/>
    <m/>
    <m/>
    <n v="15760"/>
    <n v="475"/>
    <n v="7486000"/>
  </r>
  <r>
    <x v="15"/>
    <x v="1"/>
    <s v="현장"/>
    <s v="집게차"/>
    <s v="87주8410"/>
    <s v="배민국"/>
    <s v="010-9110-0126"/>
    <x v="0"/>
    <s v="STS304"/>
    <n v="14080"/>
    <n v="19060"/>
    <n v="4980"/>
    <n v="4490"/>
    <n v="3"/>
    <n v="4487"/>
    <n v="1920"/>
    <n v="8615040"/>
  </r>
  <r>
    <x v="15"/>
    <x v="1"/>
    <s v="현장"/>
    <s v="집게차"/>
    <s v="87주8410"/>
    <s v="배민국"/>
    <s v="010-9110-0126"/>
    <x v="0"/>
    <s v="고철"/>
    <m/>
    <m/>
    <m/>
    <n v="510"/>
    <m/>
    <n v="510"/>
    <n v="200"/>
    <n v="102000"/>
  </r>
  <r>
    <x v="15"/>
    <x v="1"/>
    <s v="현장"/>
    <s v="방통차"/>
    <s v="경기80바6092"/>
    <m/>
    <m/>
    <x v="2"/>
    <s v="고철(중량)"/>
    <n v="18820"/>
    <n v="43060"/>
    <n v="24240"/>
    <n v="24210"/>
    <m/>
    <n v="24240"/>
    <n v="500"/>
    <n v="12120000"/>
  </r>
  <r>
    <x v="15"/>
    <x v="1"/>
    <s v="현장"/>
    <s v="방통차"/>
    <s v="서울87아7712"/>
    <s v="김기범"/>
    <s v="010-7700-7041"/>
    <x v="2"/>
    <s v="고철(중량장척)"/>
    <n v="18760"/>
    <n v="28660"/>
    <n v="9900"/>
    <n v="10010"/>
    <m/>
    <n v="9900"/>
    <n v="480"/>
    <n v="4752000"/>
  </r>
  <r>
    <x v="15"/>
    <x v="1"/>
    <s v="현장"/>
    <s v="방통차"/>
    <s v="충남80바2810"/>
    <s v="김상철"/>
    <s v="010-7107-6000"/>
    <x v="2"/>
    <s v="고철(중량장척)"/>
    <n v="18780"/>
    <n v="33420"/>
    <n v="14640"/>
    <n v="14620"/>
    <m/>
    <n v="14640"/>
    <n v="480"/>
    <n v="7027200"/>
  </r>
  <r>
    <x v="15"/>
    <x v="1"/>
    <s v="현장"/>
    <s v="방통차"/>
    <s v="경북80아9218"/>
    <s v="정현철"/>
    <s v="010-3873-2063"/>
    <x v="2"/>
    <s v="고철(중량장척)"/>
    <n v="18380"/>
    <n v="35340"/>
    <n v="16960"/>
    <n v="17040"/>
    <m/>
    <n v="16960"/>
    <n v="480"/>
    <n v="8140800"/>
  </r>
  <r>
    <x v="15"/>
    <x v="1"/>
    <s v="현장"/>
    <s v="방통차"/>
    <s v="인천86아1820"/>
    <s v="이종하"/>
    <s v="010-5396-9846"/>
    <x v="2"/>
    <s v="고철(중량장척)"/>
    <n v="18620"/>
    <n v="38140"/>
    <n v="19520"/>
    <n v="19430"/>
    <m/>
    <n v="19520"/>
    <n v="480"/>
    <n v="9369600"/>
  </r>
  <r>
    <x v="15"/>
    <x v="1"/>
    <s v="현장"/>
    <s v="방통차"/>
    <s v="인천80자1923"/>
    <s v="최한영"/>
    <s v="010-9651-9909"/>
    <x v="2"/>
    <s v="고철(중량장척)"/>
    <n v="17980"/>
    <n v="37640"/>
    <n v="19660"/>
    <n v="19630"/>
    <m/>
    <n v="19660"/>
    <n v="480"/>
    <n v="9436800"/>
  </r>
  <r>
    <x v="15"/>
    <x v="1"/>
    <s v="현장"/>
    <s v="방통차"/>
    <s v="인천80자1903"/>
    <s v="박영재"/>
    <s v="010-5063-2467"/>
    <x v="2"/>
    <s v="고철(중량장척)"/>
    <n v="18640"/>
    <n v="34640"/>
    <n v="16000"/>
    <n v="15830"/>
    <m/>
    <n v="16000"/>
    <n v="480"/>
    <n v="7680000"/>
  </r>
  <r>
    <x v="15"/>
    <x v="1"/>
    <s v="현장"/>
    <s v="방통차"/>
    <s v="경기96자1089"/>
    <s v="서건식"/>
    <s v="010-9037-6416"/>
    <x v="2"/>
    <s v="고철(중량)"/>
    <n v="18960"/>
    <n v="34600"/>
    <n v="15640"/>
    <n v="15560"/>
    <n v="400"/>
    <n v="15240"/>
    <n v="480"/>
    <n v="7315200"/>
  </r>
  <r>
    <x v="15"/>
    <x v="1"/>
    <s v="현장"/>
    <s v="방통차"/>
    <s v="대전87아8321"/>
    <s v="조병태"/>
    <s v="010-9082-6354"/>
    <x v="2"/>
    <s v="고철(중량장척)"/>
    <n v="19000"/>
    <n v="37080"/>
    <n v="18080"/>
    <n v="18010"/>
    <m/>
    <n v="18080"/>
    <n v="480"/>
    <n v="8678400"/>
  </r>
  <r>
    <x v="15"/>
    <x v="1"/>
    <s v="현장"/>
    <s v="방통차"/>
    <s v="인천86아1820"/>
    <s v="이종하"/>
    <s v="010-5396-9846"/>
    <x v="2"/>
    <s v="고철(중량장척)"/>
    <n v="18600"/>
    <n v="35280"/>
    <n v="16680"/>
    <n v="16630"/>
    <m/>
    <n v="16680"/>
    <n v="480"/>
    <n v="8006400"/>
  </r>
  <r>
    <x v="15"/>
    <x v="1"/>
    <s v="현장"/>
    <s v="방통차"/>
    <s v="인천80자1923"/>
    <s v="최한영"/>
    <s v="010-9651-9909"/>
    <x v="2"/>
    <s v="고철(중량장척)"/>
    <n v="18080"/>
    <n v="36460"/>
    <n v="18380"/>
    <n v="18270"/>
    <m/>
    <n v="18380"/>
    <n v="480"/>
    <n v="8822400"/>
  </r>
  <r>
    <x v="15"/>
    <x v="8"/>
    <s v="현장"/>
    <s v="집게차"/>
    <s v="87주8410"/>
    <s v="배민국"/>
    <s v="010-9110-0126"/>
    <x v="2"/>
    <s v="고철(철근)"/>
    <n v="15570"/>
    <n v="19660"/>
    <n v="4090"/>
    <n v="4090"/>
    <m/>
    <n v="4090"/>
    <n v="465"/>
    <n v="1901850"/>
  </r>
  <r>
    <x v="15"/>
    <x v="8"/>
    <s v="현장"/>
    <s v="방통차"/>
    <s v="경북80아9218"/>
    <s v="정현철"/>
    <s v="010-3873-2063"/>
    <x v="2"/>
    <s v="고철(경A)"/>
    <n v="18080"/>
    <n v="26800"/>
    <n v="8720"/>
    <n v="8680"/>
    <m/>
    <n v="8720"/>
    <n v="450"/>
    <n v="3924000"/>
  </r>
  <r>
    <x v="15"/>
    <x v="8"/>
    <s v="현장"/>
    <s v="방통차"/>
    <s v="인천83사9675"/>
    <s v="서재하"/>
    <s v="010-9027-1162"/>
    <x v="2"/>
    <s v="고철(경량)"/>
    <n v="18610"/>
    <n v="25680"/>
    <n v="7070"/>
    <n v="7270"/>
    <m/>
    <n v="7070"/>
    <n v="450"/>
    <n v="3181500"/>
  </r>
  <r>
    <x v="15"/>
    <x v="8"/>
    <s v="현장"/>
    <s v="방통차"/>
    <s v="충남80바2810"/>
    <s v="김상철"/>
    <s v="010-7107-6000"/>
    <x v="2"/>
    <s v="고철(중량장척)"/>
    <n v="18840"/>
    <n v="32380"/>
    <n v="13540"/>
    <n v="13450"/>
    <m/>
    <n v="13540"/>
    <n v="470"/>
    <n v="6363800"/>
  </r>
  <r>
    <x v="15"/>
    <x v="8"/>
    <s v="현장"/>
    <s v="방통차"/>
    <s v="경기96자1089"/>
    <s v="서건식"/>
    <s v="010-9037-6416"/>
    <x v="2"/>
    <s v="고철(중량장척)"/>
    <n v="18700"/>
    <n v="31220"/>
    <n v="12520"/>
    <n v="12470"/>
    <m/>
    <n v="12520"/>
    <n v="470"/>
    <n v="5884400"/>
  </r>
  <r>
    <x v="16"/>
    <x v="1"/>
    <s v="원방"/>
    <s v="암롤트럭"/>
    <s v="86노1445"/>
    <m/>
    <m/>
    <x v="0"/>
    <s v="STS304"/>
    <n v="20020"/>
    <n v="25820"/>
    <n v="5800"/>
    <n v="4810"/>
    <n v="6"/>
    <n v="4804"/>
    <n v="1920"/>
    <n v="9223680"/>
  </r>
  <r>
    <x v="16"/>
    <x v="6"/>
    <s v="원방"/>
    <s v="암롤트럭"/>
    <s v="86노1445"/>
    <m/>
    <m/>
    <x v="0"/>
    <s v="STS304"/>
    <m/>
    <m/>
    <m/>
    <n v="240"/>
    <m/>
    <n v="240"/>
    <n v="1920"/>
    <n v="460800"/>
  </r>
  <r>
    <x v="16"/>
    <x v="9"/>
    <s v="원방"/>
    <s v="암롤트럭"/>
    <s v="86노1445"/>
    <m/>
    <m/>
    <x v="0"/>
    <s v="STS304"/>
    <m/>
    <m/>
    <m/>
    <n v="580"/>
    <m/>
    <n v="580"/>
    <n v="1920"/>
    <n v="1113600"/>
  </r>
  <r>
    <x v="16"/>
    <x v="1"/>
    <s v="원방"/>
    <s v="암롤트럭"/>
    <s v="86노1445"/>
    <m/>
    <m/>
    <x v="0"/>
    <s v="저니켈강"/>
    <m/>
    <m/>
    <m/>
    <n v="150"/>
    <m/>
    <n v="150"/>
    <n v="250"/>
    <n v="37500"/>
  </r>
  <r>
    <x v="16"/>
    <x v="1"/>
    <s v="현장"/>
    <s v="방통차"/>
    <s v="대전87아8321"/>
    <s v="조병태"/>
    <s v="010-9082-6354"/>
    <x v="2"/>
    <s v="고철(중량)"/>
    <n v="18940"/>
    <n v="42040"/>
    <n v="23100"/>
    <n v="22970"/>
    <m/>
    <n v="23100"/>
    <n v="500"/>
    <n v="11550000"/>
  </r>
  <r>
    <x v="16"/>
    <x v="1"/>
    <s v="현장"/>
    <s v="방통차"/>
    <s v="경기90자2889"/>
    <m/>
    <m/>
    <x v="2"/>
    <s v="고철(중량)"/>
    <n v="18600"/>
    <n v="42320"/>
    <n v="23720"/>
    <n v="23650"/>
    <m/>
    <n v="23720"/>
    <n v="500"/>
    <n v="11860000"/>
  </r>
  <r>
    <x v="16"/>
    <x v="1"/>
    <s v="현장"/>
    <s v="방통차"/>
    <s v="경기80바6092"/>
    <m/>
    <m/>
    <x v="2"/>
    <s v="고철(중량장척)"/>
    <n v="18740"/>
    <n v="42180"/>
    <n v="23440"/>
    <n v="23410"/>
    <m/>
    <n v="23440"/>
    <n v="480"/>
    <n v="11251200"/>
  </r>
  <r>
    <x v="16"/>
    <x v="1"/>
    <s v="현장"/>
    <s v="방통차"/>
    <s v="대구84아9559"/>
    <s v="임상현"/>
    <s v="010-4714-8294"/>
    <x v="2"/>
    <s v="고철(중량)"/>
    <n v="18800"/>
    <n v="42660"/>
    <n v="23860"/>
    <n v="23800"/>
    <m/>
    <n v="23860"/>
    <n v="500"/>
    <n v="11930000"/>
  </r>
  <r>
    <x v="16"/>
    <x v="1"/>
    <s v="현장"/>
    <s v="방통차"/>
    <s v="인천85아5409"/>
    <s v="김문중"/>
    <s v="010-6667-8255"/>
    <x v="2"/>
    <s v="고철(중량장척)"/>
    <n v="18100"/>
    <n v="38560"/>
    <n v="20460"/>
    <n v="20320"/>
    <m/>
    <n v="20460"/>
    <n v="480"/>
    <n v="9820800"/>
  </r>
  <r>
    <x v="16"/>
    <x v="1"/>
    <s v="현장"/>
    <s v="방통차"/>
    <s v="인천80자1932"/>
    <s v="이종화"/>
    <s v="010-5396-9846"/>
    <x v="2"/>
    <s v="고무롤"/>
    <n v="18520"/>
    <n v="39520"/>
    <n v="21000"/>
    <n v="20810"/>
    <m/>
    <n v="21000"/>
    <n v="420"/>
    <n v="8820000"/>
  </r>
  <r>
    <x v="16"/>
    <x v="1"/>
    <s v="현장"/>
    <s v="방통차"/>
    <s v="대전87아8321"/>
    <s v="조병태"/>
    <s v="010-9082-6354"/>
    <x v="2"/>
    <s v="고철(중량)"/>
    <n v="18940"/>
    <n v="42600"/>
    <n v="23660"/>
    <n v="23510"/>
    <m/>
    <n v="23660"/>
    <n v="500"/>
    <n v="11830000"/>
  </r>
  <r>
    <x v="16"/>
    <x v="1"/>
    <s v="현장"/>
    <s v="방통차"/>
    <s v="경기90자2889"/>
    <m/>
    <m/>
    <x v="2"/>
    <s v="고철(중량)"/>
    <n v="18760"/>
    <n v="42620"/>
    <n v="23860"/>
    <n v="23850"/>
    <m/>
    <n v="23860"/>
    <n v="500"/>
    <n v="11930000"/>
  </r>
  <r>
    <x v="16"/>
    <x v="1"/>
    <s v="현장"/>
    <s v="방통차"/>
    <s v="경기80바6092"/>
    <m/>
    <m/>
    <x v="2"/>
    <s v="고철(중량장척)"/>
    <n v="18860"/>
    <n v="43100"/>
    <n v="24240"/>
    <n v="24200"/>
    <m/>
    <n v="24240"/>
    <n v="480"/>
    <n v="11635200"/>
  </r>
  <r>
    <x v="16"/>
    <x v="1"/>
    <s v="현장"/>
    <s v="방통차"/>
    <s v="대구84아9559"/>
    <s v="임상현"/>
    <s v="010-4714-8294"/>
    <x v="2"/>
    <s v="고철(중량)"/>
    <n v="18800"/>
    <n v="42520"/>
    <n v="23720"/>
    <n v="23680"/>
    <m/>
    <n v="23720"/>
    <n v="500"/>
    <n v="11860000"/>
  </r>
  <r>
    <x v="16"/>
    <x v="1"/>
    <s v="현장"/>
    <s v="카고"/>
    <s v="충남80바7815"/>
    <m/>
    <m/>
    <x v="2"/>
    <s v="고철(산소장척)"/>
    <n v="14820"/>
    <n v="20920"/>
    <n v="6100"/>
    <n v="6060"/>
    <m/>
    <n v="6100"/>
    <n v="470"/>
    <n v="2867000"/>
  </r>
  <r>
    <x v="16"/>
    <x v="8"/>
    <s v="현장"/>
    <s v="집게차"/>
    <s v="87주8410"/>
    <s v="배민국"/>
    <s v="010-9110-0126"/>
    <x v="2"/>
    <s v="고철(경량)"/>
    <n v="14010"/>
    <n v="17900"/>
    <n v="3890"/>
    <n v="3890"/>
    <m/>
    <n v="3890"/>
    <n v="465"/>
    <n v="1808850"/>
  </r>
  <r>
    <x v="16"/>
    <x v="8"/>
    <s v="현장"/>
    <s v="집게차"/>
    <s v="87주8410"/>
    <s v="배민국"/>
    <s v="010-9110-0126"/>
    <x v="2"/>
    <s v="고철(철근)"/>
    <n v="17900"/>
    <n v="21120"/>
    <n v="3220"/>
    <n v="3220"/>
    <m/>
    <n v="3220"/>
    <n v="465"/>
    <n v="1497300"/>
  </r>
  <r>
    <x v="16"/>
    <x v="1"/>
    <s v="현장"/>
    <s v="1톤트럭"/>
    <s v="93버4384"/>
    <m/>
    <m/>
    <x v="6"/>
    <s v="변압기"/>
    <n v="3940"/>
    <n v="8000"/>
    <n v="4060"/>
    <m/>
    <m/>
    <n v="4060"/>
    <n v="1063.9135000000001"/>
    <n v="4319488.8100000005"/>
  </r>
  <r>
    <x v="16"/>
    <x v="1"/>
    <s v="현장"/>
    <s v="카고"/>
    <s v="인천86아6863"/>
    <m/>
    <m/>
    <x v="6"/>
    <s v="변압기"/>
    <n v="15660"/>
    <n v="37620"/>
    <n v="21960"/>
    <m/>
    <m/>
    <n v="21960"/>
    <n v="1063.9135000000001"/>
    <n v="23363540.460000001"/>
  </r>
  <r>
    <x v="16"/>
    <x v="1"/>
    <s v="현장"/>
    <s v="카고"/>
    <s v="86가7213"/>
    <m/>
    <m/>
    <x v="6"/>
    <s v="변압기"/>
    <n v="7440"/>
    <n v="19360"/>
    <n v="11920"/>
    <m/>
    <m/>
    <n v="11920"/>
    <n v="1063.9135000000001"/>
    <n v="12681848.920000002"/>
  </r>
  <r>
    <x v="16"/>
    <x v="1"/>
    <s v="현장"/>
    <s v="1톤트럭"/>
    <s v="806거1970"/>
    <m/>
    <m/>
    <x v="6"/>
    <s v="변압기"/>
    <n v="4360"/>
    <n v="8920"/>
    <n v="4560"/>
    <m/>
    <m/>
    <n v="4560"/>
    <n v="1063.9135000000001"/>
    <n v="4851445.5600000005"/>
  </r>
  <r>
    <x v="16"/>
    <x v="1"/>
    <s v="현장"/>
    <s v="1톤트럭"/>
    <s v="81부6706"/>
    <m/>
    <m/>
    <x v="6"/>
    <s v="변압기"/>
    <n v="2180"/>
    <n v="3800"/>
    <n v="1620"/>
    <m/>
    <m/>
    <n v="1620"/>
    <n v="1063.9135000000001"/>
    <n v="1723539.87"/>
  </r>
  <r>
    <x v="17"/>
    <x v="8"/>
    <s v="현장"/>
    <s v="집게차"/>
    <s v="87주8410"/>
    <s v="배민국"/>
    <s v="010-9110-0126"/>
    <x v="2"/>
    <s v="고철(빔장척)"/>
    <n v="14090"/>
    <n v="20150"/>
    <n v="6060"/>
    <n v="5600"/>
    <m/>
    <n v="5600"/>
    <n v="500"/>
    <n v="2800000"/>
  </r>
  <r>
    <x v="17"/>
    <x v="8"/>
    <s v="현장"/>
    <s v="집게차"/>
    <s v="87주8410"/>
    <s v="배민국"/>
    <s v="010-9110-0126"/>
    <x v="2"/>
    <s v="고철(경A)"/>
    <m/>
    <m/>
    <m/>
    <n v="410"/>
    <m/>
    <n v="410"/>
    <n v="465"/>
    <n v="190650"/>
  </r>
  <r>
    <x v="17"/>
    <x v="1"/>
    <s v="현장"/>
    <s v="방통차"/>
    <s v="서울82바4890"/>
    <m/>
    <m/>
    <x v="2"/>
    <s v="고철(중량)"/>
    <n v="18520"/>
    <n v="43540"/>
    <n v="25020"/>
    <m/>
    <m/>
    <n v="25020"/>
    <n v="500"/>
    <n v="12510000"/>
  </r>
  <r>
    <x v="17"/>
    <x v="1"/>
    <s v="현장"/>
    <s v="방통차"/>
    <s v="인천80자1912"/>
    <s v="곽노하"/>
    <s v="010-5315-3802"/>
    <x v="2"/>
    <s v="고철(중량장척)"/>
    <n v="18400"/>
    <n v="41460"/>
    <n v="23060"/>
    <m/>
    <m/>
    <n v="23060"/>
    <n v="480"/>
    <n v="11068800"/>
  </r>
  <r>
    <x v="17"/>
    <x v="1"/>
    <s v="현장"/>
    <s v="방통차"/>
    <s v="충북91아2060"/>
    <m/>
    <m/>
    <x v="2"/>
    <s v="고철(중량장척)"/>
    <n v="18100"/>
    <n v="43180"/>
    <n v="25080"/>
    <m/>
    <m/>
    <n v="25080"/>
    <n v="480"/>
    <n v="12038400"/>
  </r>
  <r>
    <x v="18"/>
    <x v="1"/>
    <s v="원방"/>
    <s v="집게차"/>
    <s v="87주8410"/>
    <s v="배민국"/>
    <s v="010-9110-0126"/>
    <x v="2"/>
    <s v="고철(중량장척)"/>
    <n v="14590"/>
    <n v="27080"/>
    <n v="12490"/>
    <n v="12400"/>
    <m/>
    <n v="12490"/>
    <n v="480"/>
    <n v="5995200"/>
  </r>
  <r>
    <x v="18"/>
    <x v="1"/>
    <s v="원방"/>
    <s v="집게차"/>
    <s v="87주8410"/>
    <s v="배민국"/>
    <s v="010-9110-0126"/>
    <x v="2"/>
    <s v="고철(중량장척)"/>
    <n v="14590"/>
    <n v="25360"/>
    <n v="10770"/>
    <n v="10770"/>
    <m/>
    <n v="10770"/>
    <n v="480"/>
    <n v="5169600"/>
  </r>
  <r>
    <x v="18"/>
    <x v="1"/>
    <s v="현장"/>
    <s v="방통차"/>
    <s v="경기96자1089"/>
    <s v="서건식"/>
    <s v="010-9037-6416"/>
    <x v="2"/>
    <s v="작업철"/>
    <n v="18940"/>
    <n v="43480"/>
    <n v="24540"/>
    <n v="24640"/>
    <m/>
    <n v="24640"/>
    <n v="380"/>
    <n v="9363200"/>
  </r>
  <r>
    <x v="18"/>
    <x v="1"/>
    <s v="현장"/>
    <s v="방통차"/>
    <s v="전북80사5648"/>
    <s v="이윤희"/>
    <s v="010-8770-9101"/>
    <x v="2"/>
    <s v="작업철"/>
    <n v="19340"/>
    <n v="42260"/>
    <n v="22920"/>
    <n v="23530"/>
    <m/>
    <n v="23530"/>
    <n v="380"/>
    <n v="8941400"/>
  </r>
  <r>
    <x v="18"/>
    <x v="1"/>
    <s v="현장"/>
    <s v="1톤트럭"/>
    <s v="81부6706"/>
    <m/>
    <m/>
    <x v="6"/>
    <s v="변압기"/>
    <n v="2180"/>
    <n v="4440"/>
    <n v="2260"/>
    <m/>
    <m/>
    <n v="2260"/>
    <n v="1063.9135000000001"/>
    <n v="2404444.5100000002"/>
  </r>
  <r>
    <x v="18"/>
    <x v="1"/>
    <s v="현장"/>
    <s v="카고"/>
    <s v="806거1970"/>
    <m/>
    <m/>
    <x v="6"/>
    <s v="변압기"/>
    <n v="4260"/>
    <n v="9820"/>
    <n v="5560"/>
    <m/>
    <m/>
    <n v="5560"/>
    <n v="1063.9135000000001"/>
    <n v="5915359.0600000005"/>
  </r>
  <r>
    <x v="18"/>
    <x v="1"/>
    <s v="현장"/>
    <s v="카고"/>
    <s v="93버4384"/>
    <m/>
    <m/>
    <x v="6"/>
    <s v="변압기"/>
    <n v="3960"/>
    <n v="8440"/>
    <n v="4480"/>
    <m/>
    <m/>
    <n v="4480"/>
    <n v="1063.9135000000001"/>
    <n v="4766332.4800000004"/>
  </r>
  <r>
    <x v="19"/>
    <x v="1"/>
    <s v="원방"/>
    <s v="1톤트럭"/>
    <s v="81구6225"/>
    <s v="김태정"/>
    <s v="010-3311-8084"/>
    <x v="2"/>
    <s v="고철(중철C)"/>
    <n v="2140"/>
    <n v="3590"/>
    <n v="1450"/>
    <n v="1440"/>
    <m/>
    <n v="1450"/>
    <n v="150"/>
    <n v="217500"/>
  </r>
  <r>
    <x v="19"/>
    <x v="10"/>
    <s v="현장"/>
    <s v="집게차"/>
    <s v="87주8410"/>
    <s v="배민국"/>
    <s v="010-9110-0126"/>
    <x v="2"/>
    <s v="고철(중량)"/>
    <n v="16830"/>
    <n v="19250"/>
    <n v="2420"/>
    <n v="2420"/>
    <m/>
    <n v="2420"/>
    <n v="480"/>
    <n v="1161600"/>
  </r>
  <r>
    <x v="19"/>
    <x v="10"/>
    <s v="현장"/>
    <s v="집게차"/>
    <s v="87주8410"/>
    <s v="배민국"/>
    <s v="010-9110-0126"/>
    <x v="2"/>
    <s v="고철(경A)"/>
    <n v="14010"/>
    <n v="16830"/>
    <n v="2820"/>
    <n v="2820"/>
    <m/>
    <n v="2820"/>
    <n v="465"/>
    <n v="1311300"/>
  </r>
  <r>
    <x v="19"/>
    <x v="9"/>
    <s v="원방"/>
    <s v="집게차"/>
    <s v="87주8410"/>
    <s v="배민국"/>
    <s v="010-9110-0126"/>
    <x v="2"/>
    <s v="고철(경A)"/>
    <n v="14110"/>
    <n v="16590"/>
    <n v="2480"/>
    <n v="2480"/>
    <m/>
    <n v="2480"/>
    <n v="465"/>
    <n v="1153200"/>
  </r>
  <r>
    <x v="19"/>
    <x v="1"/>
    <s v="현장"/>
    <s v="방통차"/>
    <s v="인천80자1917"/>
    <s v="심충우"/>
    <s v="010-2801-5063"/>
    <x v="2"/>
    <s v="고철(중량장척)"/>
    <n v="18420"/>
    <n v="42920"/>
    <n v="24500"/>
    <n v="24320"/>
    <m/>
    <n v="24500"/>
    <n v="480"/>
    <n v="11760000"/>
  </r>
  <r>
    <x v="19"/>
    <x v="1"/>
    <s v="현장"/>
    <s v="방통차"/>
    <s v="경기96자1089"/>
    <s v="서건식"/>
    <s v="010-9037-6416"/>
    <x v="2"/>
    <s v="작업철"/>
    <n v="18960"/>
    <n v="43460"/>
    <n v="24500"/>
    <n v="24390"/>
    <n v="300"/>
    <n v="24200"/>
    <n v="480"/>
    <n v="11616000"/>
  </r>
  <r>
    <x v="19"/>
    <x v="1"/>
    <s v="원방"/>
    <s v="집게차"/>
    <s v="87주8410"/>
    <s v="배민국"/>
    <s v="010-9110-0126"/>
    <x v="4"/>
    <s v="고철(경A)"/>
    <n v="14090"/>
    <n v="19390"/>
    <n v="5300"/>
    <n v="5280"/>
    <m/>
    <n v="5280"/>
    <n v="460"/>
    <n v="2428800"/>
  </r>
  <r>
    <x v="19"/>
    <x v="1"/>
    <s v="현장"/>
    <s v="암롤트럭"/>
    <s v="86노1445"/>
    <s v="이민수"/>
    <s v="010-8282-5885"/>
    <x v="0"/>
    <s v="STS304(작업철)"/>
    <n v="20720"/>
    <n v="33160"/>
    <n v="12440"/>
    <n v="10440"/>
    <n v="9"/>
    <n v="10431"/>
    <n v="1500"/>
    <n v="15646500"/>
  </r>
  <r>
    <x v="19"/>
    <x v="1"/>
    <s v="현장"/>
    <s v="암롤트럭"/>
    <s v="86노1445"/>
    <s v="이민수"/>
    <s v="010-8282-5885"/>
    <x v="0"/>
    <s v="고철"/>
    <m/>
    <m/>
    <m/>
    <n v="1260"/>
    <m/>
    <n v="1260"/>
    <n v="200"/>
    <n v="252000"/>
  </r>
  <r>
    <x v="19"/>
    <x v="1"/>
    <s v="현장"/>
    <s v="암롤트럭"/>
    <s v="86노1445"/>
    <s v="이민수"/>
    <s v="010-8282-5885"/>
    <x v="0"/>
    <s v="저니켈강"/>
    <m/>
    <m/>
    <m/>
    <n v="740"/>
    <m/>
    <n v="740"/>
    <n v="250"/>
    <n v="185000"/>
  </r>
  <r>
    <x v="19"/>
    <x v="1"/>
    <s v="원방"/>
    <s v="집게차"/>
    <s v="87주8410"/>
    <s v="배민국"/>
    <s v="010-9110-0126"/>
    <x v="0"/>
    <s v="STS310"/>
    <n v="14090"/>
    <n v="16810"/>
    <n v="2720"/>
    <n v="450"/>
    <m/>
    <n v="450"/>
    <n v="4500"/>
    <n v="2025000"/>
  </r>
  <r>
    <x v="19"/>
    <x v="1"/>
    <s v="원방"/>
    <s v="집게차"/>
    <s v="87주8410"/>
    <s v="배민국"/>
    <s v="010-9110-0126"/>
    <x v="0"/>
    <s v="STS304"/>
    <m/>
    <m/>
    <m/>
    <n v="2240"/>
    <m/>
    <n v="2240"/>
    <n v="1920"/>
    <n v="4300800"/>
  </r>
  <r>
    <x v="19"/>
    <x v="1"/>
    <s v="현장"/>
    <s v="1톤트럭"/>
    <s v="81구3225"/>
    <s v="김태정"/>
    <s v="010-3311-8084"/>
    <x v="0"/>
    <s v="STS304롤"/>
    <n v="2150"/>
    <n v="3820"/>
    <n v="1670"/>
    <n v="1660"/>
    <m/>
    <n v="1660"/>
    <n v="1920"/>
    <n v="3187200"/>
  </r>
  <r>
    <x v="20"/>
    <x v="8"/>
    <s v="원방"/>
    <s v="집게차"/>
    <s v="96거5789"/>
    <s v="김현수"/>
    <s v="010-5315-1508"/>
    <x v="4"/>
    <s v="고철(경A)"/>
    <n v="13490"/>
    <n v="18960"/>
    <n v="5470"/>
    <n v="5450"/>
    <m/>
    <n v="5450"/>
    <n v="460"/>
    <n v="2507000"/>
  </r>
  <r>
    <x v="20"/>
    <x v="1"/>
    <s v="원방"/>
    <s v="집게차"/>
    <s v="84나4888"/>
    <s v="김현수"/>
    <s v="010-5315-1508"/>
    <x v="2"/>
    <s v="고철(중량장척)"/>
    <n v="21470"/>
    <n v="36550"/>
    <n v="15080"/>
    <n v="15120"/>
    <m/>
    <n v="15080"/>
    <n v="480"/>
    <n v="7238400"/>
  </r>
  <r>
    <x v="20"/>
    <x v="8"/>
    <s v="원방"/>
    <s v="집게차"/>
    <s v="84나4888"/>
    <s v="김태정"/>
    <s v="010-3311-8084"/>
    <x v="0"/>
    <s v="STS304"/>
    <n v="21010"/>
    <n v="25100"/>
    <n v="4090"/>
    <n v="4040"/>
    <m/>
    <n v="4040"/>
    <n v="1930"/>
    <n v="7797200"/>
  </r>
  <r>
    <x v="20"/>
    <x v="8"/>
    <s v="원방"/>
    <s v="암롤트럭"/>
    <s v="86노1445"/>
    <s v="김태정"/>
    <s v="010-3311-8084"/>
    <x v="0"/>
    <s v="STS304"/>
    <n v="20950"/>
    <n v="25100"/>
    <n v="4150"/>
    <n v="3950"/>
    <m/>
    <n v="3950"/>
    <n v="1930"/>
    <n v="7623500"/>
  </r>
  <r>
    <x v="20"/>
    <x v="8"/>
    <s v="원방"/>
    <s v="암롤트럭"/>
    <s v="86노1445"/>
    <s v="김태정"/>
    <s v="010-3311-8084"/>
    <x v="0"/>
    <s v="고철"/>
    <m/>
    <m/>
    <m/>
    <n v="140"/>
    <m/>
    <n v="140"/>
    <n v="250"/>
    <n v="35000"/>
  </r>
  <r>
    <x v="21"/>
    <x v="0"/>
    <s v="원방"/>
    <s v="카고"/>
    <s v="경기82바8403"/>
    <s v="주호중"/>
    <s v="010-5482-1235"/>
    <x v="7"/>
    <s v="유압유"/>
    <n v="3960"/>
    <n v="6010"/>
    <n v="2050"/>
    <m/>
    <m/>
    <n v="2050"/>
    <m/>
    <n v="200000"/>
  </r>
  <r>
    <x v="21"/>
    <x v="8"/>
    <s v="원방"/>
    <s v="집게차"/>
    <s v="96거5789"/>
    <s v="배민국"/>
    <s v="010-9110-0126"/>
    <x v="4"/>
    <s v="고철(경A)"/>
    <n v="13600"/>
    <n v="15240"/>
    <n v="1640"/>
    <n v="1610"/>
    <m/>
    <n v="1610"/>
    <n v="460"/>
    <n v="740600"/>
  </r>
  <r>
    <x v="21"/>
    <x v="8"/>
    <m/>
    <m/>
    <m/>
    <m/>
    <m/>
    <x v="4"/>
    <s v="파이프"/>
    <m/>
    <m/>
    <m/>
    <m/>
    <n v="40"/>
    <m/>
    <n v="-550"/>
    <n v="-22000"/>
  </r>
  <r>
    <x v="21"/>
    <x v="8"/>
    <m/>
    <m/>
    <m/>
    <m/>
    <m/>
    <x v="4"/>
    <s v="드럼"/>
    <m/>
    <m/>
    <m/>
    <m/>
    <n v="5"/>
    <m/>
    <n v="-10000"/>
    <n v="-50000"/>
  </r>
  <r>
    <x v="21"/>
    <x v="9"/>
    <s v="원방"/>
    <s v="집게차"/>
    <s v="84나4888"/>
    <s v="김현수"/>
    <s v="010-5315-1508"/>
    <x v="2"/>
    <s v="고철(중량장척)"/>
    <n v="21340"/>
    <n v="28340"/>
    <n v="6300"/>
    <n v="6300"/>
    <m/>
    <n v="6300"/>
    <n v="480"/>
    <n v="3024000"/>
  </r>
  <r>
    <x v="21"/>
    <x v="8"/>
    <s v="원방"/>
    <s v="집게차"/>
    <s v="84나4888"/>
    <s v="김현수"/>
    <s v="010-5315-1508"/>
    <x v="2"/>
    <s v="고철(중량장척)"/>
    <m/>
    <m/>
    <n v="700"/>
    <n v="690"/>
    <m/>
    <n v="700"/>
    <n v="480"/>
    <n v="336000"/>
  </r>
  <r>
    <x v="21"/>
    <x v="8"/>
    <s v="원방"/>
    <s v="집게차"/>
    <s v="84나4888"/>
    <s v="김현수"/>
    <s v="010-5315-1508"/>
    <x v="2"/>
    <s v="고철(중량)"/>
    <n v="21290"/>
    <n v="38460"/>
    <n v="15400"/>
    <n v="15400"/>
    <m/>
    <n v="15400"/>
    <n v="500"/>
    <n v="7700000"/>
  </r>
  <r>
    <x v="21"/>
    <x v="1"/>
    <s v="원방"/>
    <s v="집게차"/>
    <s v="84나4888"/>
    <s v="김현수"/>
    <s v="010-5315-1508"/>
    <x v="2"/>
    <s v="고철(중량)"/>
    <m/>
    <m/>
    <n v="1770"/>
    <n v="1590"/>
    <m/>
    <n v="1770"/>
    <n v="500"/>
    <n v="885000"/>
  </r>
  <r>
    <x v="21"/>
    <x v="1"/>
    <s v="원방"/>
    <s v="암롤트럭"/>
    <s v="86노1445"/>
    <s v="김태정"/>
    <s v="010-3311-8084"/>
    <x v="0"/>
    <s v="STS304"/>
    <n v="20950"/>
    <n v="26320"/>
    <n v="3870"/>
    <n v="3320"/>
    <m/>
    <n v="3320"/>
    <n v="1930"/>
    <n v="6407600"/>
  </r>
  <r>
    <x v="21"/>
    <x v="1"/>
    <s v="원방"/>
    <s v="암롤트럭"/>
    <s v="86노1445"/>
    <s v="김태정"/>
    <s v="010-3311-8084"/>
    <x v="0"/>
    <s v="고철"/>
    <m/>
    <m/>
    <m/>
    <n v="400"/>
    <m/>
    <n v="400"/>
    <n v="250"/>
    <n v="100000"/>
  </r>
  <r>
    <x v="21"/>
    <x v="8"/>
    <s v="원방"/>
    <s v="암롤트럭"/>
    <s v="86노1445"/>
    <s v="김태정"/>
    <s v="010-3311-8084"/>
    <x v="0"/>
    <s v="STS304"/>
    <m/>
    <m/>
    <n v="1500"/>
    <n v="1500"/>
    <m/>
    <n v="1500"/>
    <n v="1930"/>
    <n v="2895000"/>
  </r>
  <r>
    <x v="22"/>
    <x v="1"/>
    <s v="원방"/>
    <s v="집게차"/>
    <s v="충남80아4034"/>
    <s v="김현수"/>
    <s v="010-5315-1508"/>
    <x v="2"/>
    <s v="고철(산소장척)"/>
    <n v="12270"/>
    <n v="32620"/>
    <n v="20350"/>
    <n v="20210"/>
    <m/>
    <n v="20350"/>
    <n v="460"/>
    <n v="9361000"/>
  </r>
  <r>
    <x v="23"/>
    <x v="1"/>
    <s v="원방"/>
    <s v="집게차"/>
    <s v="84나4888"/>
    <s v="김현수"/>
    <s v="010-5315-1508"/>
    <x v="2"/>
    <s v="고철(중량)"/>
    <n v="21290"/>
    <n v="48330"/>
    <n v="27040"/>
    <n v="26590"/>
    <m/>
    <n v="27040"/>
    <n v="500"/>
    <n v="13520000"/>
  </r>
  <r>
    <x v="23"/>
    <x v="6"/>
    <s v="현장"/>
    <s v="방통차"/>
    <s v="대전87아5426"/>
    <m/>
    <m/>
    <x v="2"/>
    <s v="고철(철근)"/>
    <n v="18760"/>
    <n v="37650"/>
    <n v="18890"/>
    <n v="18870"/>
    <m/>
    <n v="18890"/>
    <n v="480"/>
    <n v="9067200"/>
  </r>
  <r>
    <x v="23"/>
    <x v="6"/>
    <s v="현장"/>
    <s v="방통차"/>
    <s v="충남94바3226"/>
    <s v="노성래"/>
    <s v="010-5421-2238"/>
    <x v="2"/>
    <s v="고철(빔장척)"/>
    <n v="17780"/>
    <n v="30830"/>
    <n v="13050"/>
    <n v="13070"/>
    <n v="500"/>
    <n v="12550"/>
    <n v="495"/>
    <n v="6212250"/>
  </r>
  <r>
    <x v="23"/>
    <x v="6"/>
    <s v="현장"/>
    <s v="방통차"/>
    <s v="충남82바1054"/>
    <s v="한창용"/>
    <s v="010-2566-7740"/>
    <x v="2"/>
    <s v="고철(빔장척)"/>
    <n v="18050"/>
    <n v="28620"/>
    <n v="10570"/>
    <n v="10440"/>
    <m/>
    <n v="10570"/>
    <n v="495"/>
    <n v="5232150"/>
  </r>
  <r>
    <x v="23"/>
    <x v="6"/>
    <s v="현장"/>
    <s v="방통차"/>
    <s v="경기96자1089"/>
    <s v="서건식"/>
    <s v="010-9037-6416"/>
    <x v="2"/>
    <s v="고철(빔장척)"/>
    <n v="18780"/>
    <n v="30820"/>
    <n v="12040"/>
    <n v="11930"/>
    <m/>
    <n v="12040"/>
    <n v="495"/>
    <n v="5959800"/>
  </r>
  <r>
    <x v="23"/>
    <x v="6"/>
    <s v="현장"/>
    <s v="방통차"/>
    <s v="충남80바2810"/>
    <s v="김상철"/>
    <s v="010-7107-6000"/>
    <x v="2"/>
    <s v="고철(빔장척)"/>
    <n v="18800"/>
    <n v="29070"/>
    <n v="10270"/>
    <n v="10200"/>
    <m/>
    <n v="10270"/>
    <n v="495"/>
    <n v="5083650"/>
  </r>
  <r>
    <x v="23"/>
    <x v="6"/>
    <s v="현장"/>
    <s v="집게차"/>
    <s v="87주8410"/>
    <s v="배민국"/>
    <s v="010-9110-0126"/>
    <x v="2"/>
    <s v="고철(경A)"/>
    <n v="13960"/>
    <n v="16320"/>
    <n v="2360"/>
    <n v="2360"/>
    <m/>
    <n v="2360"/>
    <n v="465"/>
    <n v="1097400"/>
  </r>
  <r>
    <x v="23"/>
    <x v="1"/>
    <s v="원방"/>
    <s v="집게차"/>
    <s v="87주8410"/>
    <s v="배민국"/>
    <s v="010-9110-0126"/>
    <x v="2"/>
    <s v="고철(중A)"/>
    <n v="14080"/>
    <n v="31400"/>
    <n v="17320"/>
    <n v="17120"/>
    <m/>
    <n v="17320"/>
    <n v="500"/>
    <n v="8660000"/>
  </r>
  <r>
    <x v="24"/>
    <x v="6"/>
    <s v="원방"/>
    <s v="집게차"/>
    <s v="87주8410"/>
    <s v="배민국"/>
    <s v="010-9110-0126"/>
    <x v="4"/>
    <s v="고철(경A+B)"/>
    <m/>
    <m/>
    <n v="1100"/>
    <n v="1100"/>
    <m/>
    <n v="1100"/>
    <n v="460"/>
    <n v="506000"/>
  </r>
  <r>
    <x v="24"/>
    <x v="1"/>
    <s v="원방"/>
    <s v="집게차"/>
    <s v="87주8410"/>
    <s v="배민국"/>
    <s v="010-9110-0126"/>
    <x v="4"/>
    <s v="고철(경A+B)"/>
    <n v="14370"/>
    <n v="21460"/>
    <n v="5990"/>
    <n v="5990"/>
    <m/>
    <n v="5990"/>
    <n v="460"/>
    <n v="2755400"/>
  </r>
  <r>
    <x v="24"/>
    <x v="6"/>
    <s v="현장"/>
    <s v="집게차"/>
    <s v="87주8410"/>
    <m/>
    <m/>
    <x v="4"/>
    <s v="고철(경A+B)"/>
    <n v="15020"/>
    <n v="17950"/>
    <n v="2930"/>
    <n v="2880"/>
    <m/>
    <n v="2930"/>
    <n v="460"/>
    <n v="1347800"/>
  </r>
  <r>
    <x v="25"/>
    <x v="1"/>
    <s v="원방"/>
    <s v="카고"/>
    <s v="충남80아4194"/>
    <s v="이근학"/>
    <s v="010-3198-8472"/>
    <x v="8"/>
    <s v="탱크"/>
    <n v="9710"/>
    <n v="13610"/>
    <n v="3900"/>
    <m/>
    <m/>
    <n v="3900"/>
    <n v="0"/>
    <n v="0"/>
  </r>
  <r>
    <x v="25"/>
    <x v="1"/>
    <s v="원방"/>
    <s v="카고"/>
    <s v="충남83아1305"/>
    <s v="조상갑"/>
    <s v="010-5408-0449"/>
    <x v="8"/>
    <s v="탱크"/>
    <n v="9360"/>
    <n v="13250"/>
    <n v="3890"/>
    <m/>
    <m/>
    <n v="3890"/>
    <n v="0"/>
    <n v="0"/>
  </r>
  <r>
    <x v="25"/>
    <x v="1"/>
    <s v="원방"/>
    <s v="집게차"/>
    <s v="84나4888"/>
    <s v="김현수"/>
    <s v="010-5899-9660"/>
    <x v="2"/>
    <s v="고철(중량)"/>
    <n v="21320"/>
    <n v="53910"/>
    <n v="32590"/>
    <m/>
    <m/>
    <n v="32590"/>
    <n v="510"/>
    <n v="16620900"/>
  </r>
  <r>
    <x v="25"/>
    <x v="1"/>
    <s v="원방"/>
    <s v="암롤트럭"/>
    <s v="86노1445"/>
    <s v="김태정"/>
    <s v="010-3311-8084"/>
    <x v="2"/>
    <s v="고철(중량)"/>
    <n v="19410"/>
    <n v="48390"/>
    <n v="28980"/>
    <m/>
    <m/>
    <n v="28980"/>
    <n v="500"/>
    <n v="14490000"/>
  </r>
  <r>
    <x v="25"/>
    <x v="1"/>
    <s v="원방"/>
    <s v="집게차"/>
    <s v="87주8410"/>
    <s v="배민국"/>
    <s v="010-9110-0126"/>
    <x v="2"/>
    <s v="고철(중량)"/>
    <n v="14400"/>
    <n v="21890"/>
    <n v="7490"/>
    <m/>
    <m/>
    <n v="7490"/>
    <n v="520"/>
    <n v="3894800"/>
  </r>
  <r>
    <x v="26"/>
    <x v="1"/>
    <s v="원방"/>
    <s v="집게차"/>
    <s v="96거5789"/>
    <s v="배민국"/>
    <s v="010-9110-0126"/>
    <x v="0"/>
    <s v="STS304"/>
    <n v="13600"/>
    <n v="14810"/>
    <n v="605"/>
    <n v="610"/>
    <n v="3"/>
    <n v="607"/>
    <n v="2030"/>
    <n v="1232210"/>
  </r>
  <r>
    <x v="26"/>
    <x v="8"/>
    <s v="원방"/>
    <s v="집게차"/>
    <s v="96거5789"/>
    <s v="배민국"/>
    <s v="010-9110-0126"/>
    <x v="0"/>
    <s v="STS304"/>
    <m/>
    <m/>
    <n v="605"/>
    <n v="400"/>
    <n v="3"/>
    <n v="397"/>
    <n v="2030"/>
    <n v="805910"/>
  </r>
  <r>
    <x v="26"/>
    <x v="8"/>
    <s v="원방"/>
    <s v="집게차"/>
    <s v="96거5789"/>
    <s v="배민국"/>
    <s v="010-9110-0126"/>
    <x v="0"/>
    <s v="저니켈강"/>
    <m/>
    <m/>
    <m/>
    <n v="210"/>
    <m/>
    <n v="210"/>
    <n v="250"/>
    <n v="52500"/>
  </r>
  <r>
    <x v="26"/>
    <x v="1"/>
    <s v="원방"/>
    <s v="최명동 집게차"/>
    <s v="82모8185"/>
    <s v="최명동"/>
    <m/>
    <x v="3"/>
    <s v="알루미늄 B"/>
    <n v="13230"/>
    <n v="15460"/>
    <n v="1561"/>
    <n v="1561"/>
    <n v="10"/>
    <n v="1551"/>
    <n v="3900"/>
    <n v="6048900"/>
  </r>
  <r>
    <x v="26"/>
    <x v="8"/>
    <s v="원방"/>
    <s v="최명동 집게차"/>
    <s v="82모8185"/>
    <s v="최명동"/>
    <m/>
    <x v="3"/>
    <s v="알루미늄 B"/>
    <m/>
    <m/>
    <n v="669"/>
    <n v="669"/>
    <m/>
    <n v="669"/>
    <n v="3900"/>
    <n v="2609100"/>
  </r>
  <r>
    <x v="26"/>
    <x v="1"/>
    <s v="원방"/>
    <s v="집게차"/>
    <s v="82서3367"/>
    <m/>
    <m/>
    <x v="9"/>
    <s v="A동"/>
    <n v="13390"/>
    <n v="15740"/>
    <n v="2350"/>
    <m/>
    <m/>
    <n v="2350"/>
    <n v="19950"/>
    <n v="46882500"/>
  </r>
  <r>
    <x v="26"/>
    <x v="1"/>
    <s v="원방"/>
    <s v="집게차"/>
    <s v="87주8410"/>
    <s v="배민국"/>
    <s v="010-9110-0126"/>
    <x v="2"/>
    <s v="고철(중량)"/>
    <n v="14480"/>
    <n v="20910"/>
    <n v="6430"/>
    <n v="6430"/>
    <m/>
    <n v="6430"/>
    <n v="510"/>
    <n v="3279300"/>
  </r>
  <r>
    <x v="26"/>
    <x v="6"/>
    <s v="현장"/>
    <s v="방통차"/>
    <s v="대전87아5975"/>
    <s v="성태규"/>
    <s v="010-9049-6769"/>
    <x v="2"/>
    <s v="고철(철근)"/>
    <n v="18510"/>
    <n v="36790"/>
    <n v="18280"/>
    <n v="18200"/>
    <m/>
    <n v="18280"/>
    <n v="480"/>
    <n v="8774400"/>
  </r>
  <r>
    <x v="26"/>
    <x v="6"/>
    <s v="현장"/>
    <s v="방통차"/>
    <s v="대전87아5975"/>
    <s v="성태규"/>
    <s v="010-9049-6769"/>
    <x v="2"/>
    <s v="고철(중량장척)"/>
    <n v="18770"/>
    <n v="36360"/>
    <n v="17590"/>
    <m/>
    <m/>
    <n v="17590"/>
    <n v="490"/>
    <n v="8619100"/>
  </r>
  <r>
    <x v="26"/>
    <x v="6"/>
    <s v="현장"/>
    <s v="집게차"/>
    <s v="84나4888"/>
    <s v="김현수"/>
    <s v="010-5315-1508"/>
    <x v="4"/>
    <s v="고철(경A)"/>
    <n v="21220"/>
    <n v="24620"/>
    <n v="3400"/>
    <m/>
    <m/>
    <n v="3400"/>
    <n v="450"/>
    <n v="1530000"/>
  </r>
  <r>
    <x v="27"/>
    <x v="1"/>
    <s v="원방"/>
    <s v="집게차"/>
    <s v="87주8410"/>
    <s v="배민국"/>
    <s v="010-9110-0126"/>
    <x v="0"/>
    <s v="STS400"/>
    <n v="14400"/>
    <n v="14700"/>
    <n v="300"/>
    <n v="250"/>
    <m/>
    <n v="250"/>
    <n v="700"/>
    <n v="175000"/>
  </r>
  <r>
    <x v="27"/>
    <x v="1"/>
    <s v="원방"/>
    <s v="집게차"/>
    <s v="87주8410"/>
    <s v="배민국"/>
    <s v="010-9110-0126"/>
    <x v="0"/>
    <s v="STS316"/>
    <n v="14700"/>
    <n v="15390"/>
    <n v="690"/>
    <n v="700"/>
    <n v="3"/>
    <n v="697"/>
    <n v="3900"/>
    <n v="2718300"/>
  </r>
  <r>
    <x v="27"/>
    <x v="1"/>
    <s v="원방"/>
    <s v="집게차"/>
    <s v="87주8410"/>
    <s v="배민국"/>
    <s v="010-9110-0126"/>
    <x v="0"/>
    <s v="STS310"/>
    <n v="15390"/>
    <n v="15700"/>
    <n v="310"/>
    <n v="304"/>
    <n v="3"/>
    <n v="301"/>
    <n v="5100"/>
    <n v="1535100"/>
  </r>
  <r>
    <x v="27"/>
    <x v="1"/>
    <s v="원방"/>
    <s v="집게차"/>
    <s v="87주8410"/>
    <s v="배민국"/>
    <s v="010-9110-0126"/>
    <x v="0"/>
    <s v="인코넬"/>
    <n v="15700"/>
    <n v="16070"/>
    <n v="370"/>
    <n v="406"/>
    <n v="3"/>
    <n v="403"/>
    <n v="5000"/>
    <n v="2015000"/>
  </r>
  <r>
    <x v="27"/>
    <x v="1"/>
    <s v="원방"/>
    <s v="집게차"/>
    <s v="87주8410"/>
    <s v="배민국"/>
    <s v="010-9110-0126"/>
    <x v="0"/>
    <s v="MO(몰디브덴)"/>
    <n v="16070"/>
    <n v="16130"/>
    <n v="26"/>
    <n v="26"/>
    <m/>
    <n v="26"/>
    <n v="40000"/>
    <n v="1040000"/>
  </r>
  <r>
    <x v="27"/>
    <x v="1"/>
    <s v="원방"/>
    <s v="집게차"/>
    <s v="87주8410"/>
    <s v="배민국"/>
    <s v="010-9110-0126"/>
    <x v="0"/>
    <s v="인코넬"/>
    <m/>
    <m/>
    <n v="34"/>
    <m/>
    <m/>
    <n v="0"/>
    <m/>
    <n v="0"/>
  </r>
  <r>
    <x v="27"/>
    <x v="1"/>
    <s v="원방"/>
    <s v="집게차"/>
    <s v="89러0134"/>
    <s v="다문산업"/>
    <m/>
    <x v="1"/>
    <s v="A동"/>
    <n v="12950"/>
    <n v="15370"/>
    <n v="2420"/>
    <n v="2420"/>
    <n v="6"/>
    <n v="2414"/>
    <n v="20100"/>
    <n v="48521400"/>
  </r>
  <r>
    <x v="27"/>
    <x v="1"/>
    <s v="원방"/>
    <s v="집게차"/>
    <s v="89러0134"/>
    <s v="다문산업"/>
    <m/>
    <x v="1"/>
    <s v="캔디"/>
    <n v="15370"/>
    <n v="16130"/>
    <n v="700"/>
    <n v="750"/>
    <n v="3"/>
    <n v="697"/>
    <n v="19700"/>
    <n v="13730900"/>
  </r>
  <r>
    <x v="27"/>
    <x v="1"/>
    <s v="원방"/>
    <s v="집게차"/>
    <s v="89러0134"/>
    <s v="다문산업"/>
    <m/>
    <x v="1"/>
    <s v="상동"/>
    <n v="16130"/>
    <n v="18970"/>
    <n v="2900"/>
    <n v="2840"/>
    <n v="27"/>
    <n v="2873"/>
    <n v="19300"/>
    <n v="55448900"/>
  </r>
  <r>
    <x v="27"/>
    <x v="1"/>
    <s v="원방"/>
    <s v="집게차"/>
    <s v="89러0134"/>
    <s v="다문산업"/>
    <m/>
    <x v="1"/>
    <s v="잡선"/>
    <n v="18970"/>
    <n v="20930"/>
    <n v="1960"/>
    <n v="1950"/>
    <n v="15"/>
    <n v="1945"/>
    <n v="6400"/>
    <n v="12448000"/>
  </r>
  <r>
    <x v="27"/>
    <x v="1"/>
    <s v="원방"/>
    <s v="집게차"/>
    <s v="89러0134"/>
    <s v="다문산업"/>
    <m/>
    <x v="1"/>
    <s v="AL 라지에이타"/>
    <n v="20930"/>
    <n v="22810"/>
    <n v="1880"/>
    <n v="1880"/>
    <n v="6"/>
    <n v="1874"/>
    <n v="9600"/>
    <n v="17990400"/>
  </r>
  <r>
    <x v="28"/>
    <x v="1"/>
    <s v="원방"/>
    <s v="집게차"/>
    <s v="89러0134"/>
    <s v="다문산업"/>
    <m/>
    <x v="1"/>
    <s v="상동"/>
    <n v="12920"/>
    <n v="24130"/>
    <n v="11210"/>
    <n v="11210"/>
    <n v="3"/>
    <n v="11207"/>
    <n v="19000"/>
    <n v="212933000"/>
  </r>
  <r>
    <x v="28"/>
    <x v="1"/>
    <s v="원방"/>
    <s v="집게차"/>
    <s v="89러0134"/>
    <s v="다문산업"/>
    <m/>
    <x v="1"/>
    <s v="상동"/>
    <n v="24130"/>
    <n v="24180"/>
    <n v="50"/>
    <n v="50"/>
    <n v="3"/>
    <n v="47"/>
    <n v="19000"/>
    <n v="893000"/>
  </r>
  <r>
    <x v="28"/>
    <x v="1"/>
    <s v="원방"/>
    <s v="카고"/>
    <s v="경북82아6875"/>
    <m/>
    <m/>
    <x v="1"/>
    <s v="아마추어"/>
    <n v="15720"/>
    <n v="29570"/>
    <n v="13850"/>
    <n v="13850"/>
    <n v="500"/>
    <n v="13350"/>
    <n v="3700"/>
    <n v="49395000"/>
  </r>
  <r>
    <x v="28"/>
    <x v="9"/>
    <s v="원방"/>
    <s v="카고"/>
    <s v="경북82아6875"/>
    <m/>
    <m/>
    <x v="1"/>
    <s v="트렌스 작업철"/>
    <n v="29570"/>
    <n v="33220"/>
    <n v="3450"/>
    <n v="3450"/>
    <n v="3"/>
    <n v="3447"/>
    <n v="3700"/>
    <n v="12753900"/>
  </r>
  <r>
    <x v="28"/>
    <x v="1"/>
    <s v="원방"/>
    <s v="카고"/>
    <s v="경북82아6875"/>
    <m/>
    <m/>
    <x v="1"/>
    <s v="트렌스 작업철"/>
    <m/>
    <m/>
    <n v="200"/>
    <n v="200"/>
    <m/>
    <n v="200"/>
    <n v="3700"/>
    <n v="740000"/>
  </r>
  <r>
    <x v="28"/>
    <x v="1"/>
    <s v="원방"/>
    <s v="카고"/>
    <s v="경북82아6875"/>
    <m/>
    <m/>
    <x v="1"/>
    <s v="작업철"/>
    <n v="33220"/>
    <n v="36920"/>
    <n v="3700"/>
    <n v="3700"/>
    <n v="24"/>
    <n v="3676"/>
    <n v="1250"/>
    <n v="4595000"/>
  </r>
  <r>
    <x v="28"/>
    <x v="1"/>
    <s v="원방"/>
    <s v="집게차"/>
    <s v="96로8332"/>
    <s v="다문산업"/>
    <m/>
    <x v="1"/>
    <s v="작업철"/>
    <n v="12670"/>
    <n v="14420"/>
    <n v="1750"/>
    <n v="1750"/>
    <n v="3"/>
    <n v="1747"/>
    <n v="1250"/>
    <n v="2183750"/>
  </r>
  <r>
    <x v="28"/>
    <x v="1"/>
    <s v="원방"/>
    <s v="집게차"/>
    <s v="96로8332"/>
    <s v="다문산업"/>
    <m/>
    <x v="1"/>
    <s v="신주"/>
    <n v="14420"/>
    <n v="19780"/>
    <n v="5360"/>
    <n v="5360"/>
    <n v="30"/>
    <n v="5330"/>
    <n v="11500"/>
    <n v="61295000"/>
  </r>
  <r>
    <x v="29"/>
    <x v="8"/>
    <s v="현장"/>
    <s v="집게차"/>
    <s v="84나4888"/>
    <s v="김현수"/>
    <s v="010-5315-1508"/>
    <x v="0"/>
    <s v="STS304장척"/>
    <n v="21280"/>
    <n v="23840"/>
    <n v="2380"/>
    <n v="2360"/>
    <m/>
    <n v="2360"/>
    <n v="1930"/>
    <n v="4554800"/>
  </r>
  <r>
    <x v="29"/>
    <x v="1"/>
    <s v="원방"/>
    <s v="카고"/>
    <s v="84나4888"/>
    <s v="김현수"/>
    <s v="010-5315-1508"/>
    <x v="0"/>
    <s v="STS304장척"/>
    <m/>
    <m/>
    <n v="180"/>
    <n v="180"/>
    <m/>
    <n v="180"/>
    <n v="1930"/>
    <n v="347400"/>
  </r>
  <r>
    <x v="29"/>
    <x v="8"/>
    <s v="원방"/>
    <s v="카고"/>
    <s v="충남80아3416"/>
    <s v="오인섭"/>
    <s v="010-2403-9428"/>
    <x v="0"/>
    <s v="STS304장척"/>
    <n v="8890"/>
    <n v="11270"/>
    <n v="2380"/>
    <n v="2370"/>
    <m/>
    <n v="2370"/>
    <n v="1930"/>
    <n v="4574100"/>
  </r>
  <r>
    <x v="29"/>
    <x v="6"/>
    <s v="현장"/>
    <s v="방통차"/>
    <s v="전북80사5648"/>
    <s v="이윤희"/>
    <s v="010-8770-9101"/>
    <x v="2"/>
    <s v="고철(철근)"/>
    <n v="18570"/>
    <n v="39780"/>
    <n v="21210"/>
    <m/>
    <m/>
    <n v="21210"/>
    <n v="480"/>
    <n v="10180800"/>
  </r>
  <r>
    <x v="29"/>
    <x v="6"/>
    <s v="현장"/>
    <s v="집게차"/>
    <s v="84나4888"/>
    <s v="이민수"/>
    <s v="010-8282-5885"/>
    <x v="4"/>
    <s v="고철(경A)"/>
    <n v="21100"/>
    <n v="26580"/>
    <n v="5240"/>
    <n v="5240"/>
    <m/>
    <n v="5240"/>
    <n v="460"/>
    <n v="2410400"/>
  </r>
  <r>
    <x v="30"/>
    <x v="6"/>
    <s v="현장"/>
    <s v="덤프트럭"/>
    <s v="충북91아2060"/>
    <m/>
    <m/>
    <x v="2"/>
    <s v="고철(철근)"/>
    <n v="18130"/>
    <n v="37530"/>
    <n v="19400"/>
    <n v="19390"/>
    <m/>
    <n v="19400"/>
    <n v="490"/>
    <n v="9506000"/>
  </r>
  <r>
    <x v="30"/>
    <x v="6"/>
    <s v="현장"/>
    <s v="덤프트럭"/>
    <s v="경기90자2889"/>
    <m/>
    <m/>
    <x v="2"/>
    <s v="고철(철근)"/>
    <n v="18530"/>
    <n v="37930"/>
    <n v="19400"/>
    <n v="19370"/>
    <m/>
    <n v="19400"/>
    <n v="490"/>
    <n v="9506000"/>
  </r>
  <r>
    <x v="31"/>
    <x v="11"/>
    <s v="원방"/>
    <s v="레이"/>
    <s v="196모1540"/>
    <m/>
    <m/>
    <x v="10"/>
    <s v="설비부품"/>
    <n v="1150"/>
    <n v="1210"/>
    <n v="60"/>
    <m/>
    <m/>
    <n v="60"/>
    <m/>
    <n v="0"/>
  </r>
  <r>
    <x v="31"/>
    <x v="12"/>
    <s v="크로스"/>
    <s v="1톤트럭"/>
    <s v="84러0698"/>
    <s v="김성호"/>
    <s v="010-5495-4460"/>
    <x v="11"/>
    <s v="대차"/>
    <n v="1960"/>
    <n v="3130"/>
    <n v="1170"/>
    <m/>
    <m/>
    <n v="1170"/>
    <n v="1500"/>
    <n v="1755000"/>
  </r>
  <r>
    <x v="32"/>
    <x v="6"/>
    <s v="현장"/>
    <s v="방통차"/>
    <s v="인천80자1904"/>
    <s v="배조성"/>
    <s v="010-4737-6803"/>
    <x v="2"/>
    <s v="고철(철근)"/>
    <n v="18600"/>
    <n v="36780"/>
    <n v="18180"/>
    <n v="17990"/>
    <m/>
    <n v="18180"/>
    <n v="490"/>
    <n v="8908200"/>
  </r>
  <r>
    <x v="32"/>
    <x v="6"/>
    <s v="현장"/>
    <s v="방통차"/>
    <s v="전남90바1977"/>
    <m/>
    <m/>
    <x v="2"/>
    <s v="고철(철근)"/>
    <n v="18470"/>
    <n v="42010"/>
    <n v="23540"/>
    <n v="23410"/>
    <m/>
    <n v="23540"/>
    <n v="490"/>
    <n v="11534600"/>
  </r>
  <r>
    <x v="33"/>
    <x v="11"/>
    <s v="원방"/>
    <s v="집게차"/>
    <s v="87주8410"/>
    <s v="배민국"/>
    <s v="010-9110-0126"/>
    <x v="4"/>
    <s v="고철(경A)"/>
    <n v="14410"/>
    <n v="19710"/>
    <n v="5300"/>
    <n v="5210"/>
    <m/>
    <n v="5210"/>
    <n v="490"/>
    <n v="2552900"/>
  </r>
  <r>
    <x v="33"/>
    <x v="6"/>
    <s v="원방"/>
    <s v="집게차"/>
    <s v="87주8410"/>
    <s v="배민국"/>
    <s v="010-9110-0126"/>
    <x v="4"/>
    <s v="고철(경A)"/>
    <n v="14450"/>
    <n v="15650"/>
    <n v="1200"/>
    <n v="1200"/>
    <m/>
    <n v="1200"/>
    <n v="490"/>
    <n v="588000"/>
  </r>
  <r>
    <x v="33"/>
    <x v="1"/>
    <s v="원방"/>
    <s v="집게차"/>
    <s v="87주8410"/>
    <s v="배민국"/>
    <s v="010-9110-0126"/>
    <x v="4"/>
    <s v="고철(경A)"/>
    <n v="15650"/>
    <n v="18290"/>
    <n v="2640"/>
    <n v="2620"/>
    <m/>
    <n v="2620"/>
    <n v="490"/>
    <n v="1283800"/>
  </r>
  <r>
    <x v="33"/>
    <x v="13"/>
    <s v="원방"/>
    <s v="집게차"/>
    <s v="87주8410"/>
    <s v="배민국"/>
    <s v="010-9110-0126"/>
    <x v="2"/>
    <s v="고철(중량)"/>
    <n v="14450"/>
    <n v="19880"/>
    <n v="5430"/>
    <n v="5370"/>
    <m/>
    <n v="5430"/>
    <n v="510"/>
    <n v="2769300"/>
  </r>
  <r>
    <x v="33"/>
    <x v="6"/>
    <s v="원방"/>
    <s v="집게차"/>
    <s v="87주8410"/>
    <s v="배민국"/>
    <s v="010-9110-0126"/>
    <x v="2"/>
    <s v="고철(철근)"/>
    <n v="19880"/>
    <n v="26610"/>
    <n v="6730"/>
    <n v="6640"/>
    <m/>
    <n v="6730"/>
    <n v="490"/>
    <n v="3297700"/>
  </r>
  <r>
    <x v="33"/>
    <x v="6"/>
    <s v="원방"/>
    <s v="집게차"/>
    <s v="84나4888"/>
    <s v="김현수"/>
    <s v="010-5315-1508"/>
    <x v="2"/>
    <s v="고철(경C)"/>
    <n v="21150"/>
    <n v="22680"/>
    <n v="1530"/>
    <n v="1500"/>
    <m/>
    <n v="1530"/>
    <n v="465"/>
    <n v="711450"/>
  </r>
  <r>
    <x v="33"/>
    <x v="10"/>
    <s v="원방"/>
    <s v="집게차"/>
    <s v="84나4888"/>
    <s v="김현수"/>
    <s v="010-5315-1508"/>
    <x v="2"/>
    <s v="고철(중량)"/>
    <n v="21150"/>
    <n v="24480"/>
    <n v="3330"/>
    <n v="3330"/>
    <m/>
    <n v="3330"/>
    <n v="500"/>
    <n v="1665000"/>
  </r>
  <r>
    <x v="33"/>
    <x v="11"/>
    <s v="원방"/>
    <s v="집게차"/>
    <s v="84나4888"/>
    <s v="김현수"/>
    <s v="010-5315-1508"/>
    <x v="2"/>
    <s v="고철(중량)"/>
    <n v="24480"/>
    <n v="28930"/>
    <n v="4450"/>
    <n v="4450"/>
    <m/>
    <n v="4450"/>
    <n v="500"/>
    <n v="2225000"/>
  </r>
  <r>
    <x v="33"/>
    <x v="14"/>
    <s v="원방"/>
    <s v="집게차"/>
    <s v="84나4888"/>
    <s v="김현수"/>
    <s v="010-5315-1508"/>
    <x v="2"/>
    <s v="고철(중량)"/>
    <n v="28930"/>
    <n v="30690"/>
    <n v="1760"/>
    <n v="1670"/>
    <m/>
    <n v="1760"/>
    <n v="500"/>
    <n v="880000"/>
  </r>
  <r>
    <x v="34"/>
    <x v="11"/>
    <s v="원방"/>
    <s v="방통차"/>
    <s v="전북86사3075"/>
    <s v="이창민"/>
    <s v="010-8369-1270"/>
    <x v="3"/>
    <s v="알판재 A"/>
    <n v="18740"/>
    <n v="31860"/>
    <n v="12120"/>
    <n v="12120"/>
    <n v="28"/>
    <n v="12092"/>
    <n v="4400"/>
    <n v="53204800"/>
  </r>
  <r>
    <x v="34"/>
    <x v="15"/>
    <s v="원방"/>
    <s v="방통차"/>
    <s v="전북86사3075"/>
    <s v="이창민"/>
    <s v="010-8369-1270"/>
    <x v="3"/>
    <s v="알판재 A"/>
    <m/>
    <m/>
    <n v="1000"/>
    <n v="1000"/>
    <m/>
    <n v="1000"/>
    <n v="4400"/>
    <n v="4400000"/>
  </r>
  <r>
    <x v="34"/>
    <x v="0"/>
    <s v="원방"/>
    <s v="방통차"/>
    <s v="전북86사3075"/>
    <s v="이창민"/>
    <s v="010-8369-1270"/>
    <x v="3"/>
    <s v="알판재 B"/>
    <n v="31850"/>
    <n v="34090"/>
    <n v="2240"/>
    <n v="2240"/>
    <n v="4"/>
    <n v="2236"/>
    <n v="3900"/>
    <n v="8720400"/>
  </r>
  <r>
    <x v="35"/>
    <x v="11"/>
    <s v="원방"/>
    <s v="집게차"/>
    <s v="87주8410"/>
    <s v="배민국"/>
    <s v="010-9110-0126"/>
    <x v="0"/>
    <s v="STS304"/>
    <n v="14380"/>
    <n v="20910"/>
    <n v="4640"/>
    <n v="4280"/>
    <n v="12"/>
    <n v="4268"/>
    <n v="2050"/>
    <n v="8749400"/>
  </r>
  <r>
    <x v="35"/>
    <x v="11"/>
    <s v="원방"/>
    <s v="집게차"/>
    <s v="87주8410"/>
    <s v="배민국"/>
    <s v="010-9110-0126"/>
    <x v="0"/>
    <s v="저니켈강"/>
    <m/>
    <m/>
    <m/>
    <n v="320"/>
    <m/>
    <n v="320"/>
    <n v="250"/>
    <n v="80000"/>
  </r>
  <r>
    <x v="35"/>
    <x v="10"/>
    <s v="원방"/>
    <s v="집게차"/>
    <s v="87주8410"/>
    <s v="배민국"/>
    <s v="010-9110-0126"/>
    <x v="0"/>
    <s v="STS304"/>
    <m/>
    <m/>
    <n v="390"/>
    <n v="390"/>
    <m/>
    <n v="390"/>
    <n v="2050"/>
    <n v="799500"/>
  </r>
  <r>
    <x v="35"/>
    <x v="8"/>
    <s v="원방"/>
    <s v="집게차"/>
    <s v="87주8410"/>
    <s v="배민국"/>
    <s v="010-9110-0126"/>
    <x v="0"/>
    <s v="STS304"/>
    <m/>
    <m/>
    <n v="1000"/>
    <n v="1000"/>
    <m/>
    <n v="1000"/>
    <n v="2050"/>
    <n v="2050000"/>
  </r>
  <r>
    <x v="35"/>
    <x v="1"/>
    <s v="원방"/>
    <s v="집게차"/>
    <s v="87주8410"/>
    <s v="배민국"/>
    <s v="010-9110-0126"/>
    <x v="0"/>
    <s v="STS304"/>
    <m/>
    <m/>
    <n v="500"/>
    <n v="500"/>
    <m/>
    <n v="500"/>
    <n v="2050"/>
    <n v="1025000"/>
  </r>
  <r>
    <x v="35"/>
    <x v="11"/>
    <s v="원방"/>
    <s v="집게차"/>
    <s v="87주8410"/>
    <s v="배민국"/>
    <s v="010-9110-0126"/>
    <x v="4"/>
    <s v="고철(경A)"/>
    <n v="14440"/>
    <n v="20850"/>
    <n v="6410"/>
    <n v="6440"/>
    <m/>
    <n v="6440"/>
    <n v="490"/>
    <n v="3155600"/>
  </r>
  <r>
    <x v="35"/>
    <x v="11"/>
    <s v="원방"/>
    <s v="집게차"/>
    <s v="96거5789"/>
    <m/>
    <m/>
    <x v="4"/>
    <s v="고철(경B)"/>
    <n v="13890"/>
    <n v="22920"/>
    <n v="9030"/>
    <n v="8970"/>
    <m/>
    <n v="8970"/>
    <n v="470"/>
    <n v="4215900"/>
  </r>
  <r>
    <x v="35"/>
    <x v="11"/>
    <s v="원방"/>
    <s v="집게차"/>
    <s v="87주8410"/>
    <s v="배민국"/>
    <s v="010-9110-0126"/>
    <x v="2"/>
    <s v="고철(중량)"/>
    <n v="14380"/>
    <n v="17630"/>
    <n v="3250"/>
    <m/>
    <m/>
    <n v="3250"/>
    <n v="510"/>
    <n v="1657500"/>
  </r>
  <r>
    <x v="35"/>
    <x v="2"/>
    <s v="현장"/>
    <s v="방통차"/>
    <s v="전북86사4238"/>
    <m/>
    <m/>
    <x v="2"/>
    <s v="고철(철근)"/>
    <n v="18360"/>
    <n v="36820"/>
    <n v="18460"/>
    <n v="18460"/>
    <n v="200"/>
    <n v="18260"/>
    <n v="490"/>
    <n v="8947400"/>
  </r>
  <r>
    <x v="36"/>
    <x v="0"/>
    <s v="원방"/>
    <s v="카고"/>
    <s v="81러3615"/>
    <s v="이원영"/>
    <s v="010-9992-4447"/>
    <x v="12"/>
    <s v="PP파렛트"/>
    <n v="8030"/>
    <n v="9110"/>
    <n v="1080"/>
    <m/>
    <m/>
    <n v="1080"/>
    <n v="230"/>
    <n v="248400"/>
  </r>
  <r>
    <x v="37"/>
    <x v="0"/>
    <s v="원방"/>
    <s v="집게차"/>
    <s v="87주8410"/>
    <m/>
    <m/>
    <x v="13"/>
    <s v="A 샷시"/>
    <n v="14200"/>
    <n v="21550"/>
    <n v="7350"/>
    <n v="7350"/>
    <n v="26"/>
    <n v="7324"/>
    <n v="4300"/>
    <n v="31493200"/>
  </r>
  <r>
    <x v="38"/>
    <x v="11"/>
    <s v="원방"/>
    <s v="집게차"/>
    <s v="87주8410"/>
    <s v="김현수"/>
    <s v="010-5315-1508"/>
    <x v="4"/>
    <s v="고철(경A+B)"/>
    <n v="14080"/>
    <n v="19900"/>
    <n v="5820"/>
    <n v="5750"/>
    <m/>
    <n v="5750"/>
    <n v="490"/>
    <n v="2817500"/>
  </r>
  <r>
    <x v="38"/>
    <x v="11"/>
    <s v="원방"/>
    <s v="집게차"/>
    <s v="87주8410"/>
    <s v="김현수"/>
    <s v="010-5315-1508"/>
    <x v="4"/>
    <s v="고철(경A+B)"/>
    <n v="14440"/>
    <n v="19780"/>
    <n v="5340"/>
    <n v="5290"/>
    <m/>
    <n v="5290"/>
    <n v="490"/>
    <n v="2592100"/>
  </r>
  <r>
    <x v="38"/>
    <x v="11"/>
    <s v="원방"/>
    <s v="암롤트럭"/>
    <s v="86노1445"/>
    <s v="김현수"/>
    <s v="010-5315-1508"/>
    <x v="0"/>
    <s v="STS304"/>
    <n v="20390"/>
    <n v="27080"/>
    <n v="4450"/>
    <n v="4450"/>
    <n v="9"/>
    <n v="4441"/>
    <n v="2050"/>
    <n v="9104050"/>
  </r>
  <r>
    <x v="38"/>
    <x v="16"/>
    <s v="원방"/>
    <s v="암롤트럭"/>
    <s v="86노1445"/>
    <s v="김현수"/>
    <s v="010-5315-1508"/>
    <x v="0"/>
    <s v="STS304"/>
    <m/>
    <m/>
    <n v="2070"/>
    <n v="2070"/>
    <m/>
    <n v="2070"/>
    <n v="2050"/>
    <n v="4243500"/>
  </r>
  <r>
    <x v="38"/>
    <x v="10"/>
    <s v="원방"/>
    <s v="암롤트럭"/>
    <s v="86노1445"/>
    <s v="김현수"/>
    <s v="010-5315-1508"/>
    <x v="0"/>
    <s v="STS304"/>
    <m/>
    <m/>
    <n v="170"/>
    <n v="170"/>
    <m/>
    <n v="170"/>
    <n v="2050"/>
    <n v="348500"/>
  </r>
  <r>
    <x v="39"/>
    <x v="15"/>
    <s v="원방"/>
    <s v="카고"/>
    <s v="경기84아5691"/>
    <s v="이필선"/>
    <s v="010-5877-2833"/>
    <x v="3"/>
    <s v="프로파일 A"/>
    <m/>
    <m/>
    <n v="1392"/>
    <n v="1392"/>
    <m/>
    <n v="1392"/>
    <n v="4500"/>
    <n v="6264000"/>
  </r>
  <r>
    <x v="39"/>
    <x v="11"/>
    <s v="원방"/>
    <s v="카고"/>
    <s v="경기84아5691"/>
    <s v="이필선"/>
    <s v="010-5877-2833"/>
    <x v="3"/>
    <s v="프로파일 A"/>
    <n v="8550"/>
    <n v="14280"/>
    <n v="4338"/>
    <n v="4338"/>
    <n v="30"/>
    <n v="4308"/>
    <n v="4500"/>
    <n v="19386000"/>
  </r>
  <r>
    <x v="39"/>
    <x v="11"/>
    <s v="원방"/>
    <s v="집게차"/>
    <s v="82모8185"/>
    <s v="최명동"/>
    <s v="010-7997-2485"/>
    <x v="3"/>
    <s v="알판재 60"/>
    <n v="13360"/>
    <n v="20570"/>
    <n v="7210"/>
    <n v="7210"/>
    <n v="10"/>
    <n v="7200"/>
    <n v="4100"/>
    <n v="29520000"/>
  </r>
  <r>
    <x v="39"/>
    <x v="2"/>
    <s v="현장"/>
    <s v="방통차"/>
    <s v="서울88아6699"/>
    <m/>
    <m/>
    <x v="2"/>
    <s v="고철(철근)"/>
    <n v="18220"/>
    <n v="35800"/>
    <n v="17580"/>
    <n v="17580"/>
    <m/>
    <n v="17580"/>
    <n v="490"/>
    <n v="8614200"/>
  </r>
  <r>
    <x v="40"/>
    <x v="17"/>
    <m/>
    <m/>
    <m/>
    <m/>
    <m/>
    <x v="14"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1"/>
    <d v="2026-05-04T00:00:00"/>
    <d v="2026-05-04T00:00:00"/>
    <s v="O"/>
    <x v="0"/>
    <x v="0"/>
    <s v="원방"/>
    <s v="현장"/>
    <s v="암롤트럭"/>
    <s v="86노1445"/>
    <s v="김태정"/>
    <s v="010-3311-8084"/>
    <s v="투플러스"/>
    <s v="폐판넬"/>
    <n v="21020"/>
    <n v="24620"/>
    <n v="3600"/>
    <n v="4410"/>
    <n v="810"/>
    <n v="4410"/>
    <n v="50"/>
    <n v="50000"/>
    <n v="-2500000"/>
    <s v="출고"/>
    <m/>
  </r>
  <r>
    <n v="2"/>
    <d v="2026-05-04T00:00:00"/>
    <d v="2026-05-05T00:00:00"/>
    <s v="O"/>
    <x v="0"/>
    <x v="0"/>
    <s v="원방"/>
    <s v="현장"/>
    <s v="암롤트럭"/>
    <s v="86노1445"/>
    <s v="김태정"/>
    <s v="010-3311-8084"/>
    <s v="투플러스"/>
    <s v="폐판넬"/>
    <n v="20100"/>
    <n v="25540"/>
    <n v="5440"/>
    <n v="4690"/>
    <n v="-750"/>
    <n v="4690"/>
    <n v="50"/>
    <n v="50000"/>
    <n v="-2500000"/>
    <s v="출고"/>
    <s v="5/4상차 명일 하차"/>
  </r>
  <r>
    <n v="3"/>
    <d v="2026-05-06T00:00:00"/>
    <d v="2026-05-06T00:00:00"/>
    <s v="O"/>
    <x v="0"/>
    <x v="0"/>
    <s v="원방"/>
    <s v="현장"/>
    <s v="암롤트럭"/>
    <s v="86노1445"/>
    <s v="김태정"/>
    <s v="010-3311-8084"/>
    <s v="투플러스"/>
    <s v="폐판넬"/>
    <n v="20140"/>
    <n v="24280"/>
    <n v="4140"/>
    <n v="4210"/>
    <n v="70"/>
    <n v="4210"/>
    <n v="50"/>
    <n v="50000"/>
    <n v="-2500000"/>
    <s v="출고"/>
    <m/>
  </r>
  <r>
    <n v="4"/>
    <d v="2026-05-07T00:00:00"/>
    <d v="2026-05-07T00:00:00"/>
    <s v="O"/>
    <x v="0"/>
    <x v="0"/>
    <s v="원방"/>
    <s v="현장"/>
    <s v="암롤트럭"/>
    <s v="86노1445"/>
    <s v="김태정"/>
    <s v="010-3311-8084"/>
    <s v="도솔환경산업"/>
    <s v="폐콘크리트"/>
    <n v="20940"/>
    <n v="35520"/>
    <n v="14580"/>
    <n v="14580"/>
    <m/>
    <n v="14580"/>
    <n v="20"/>
    <n v="21875"/>
    <n v="-437500"/>
    <s v="출고"/>
    <s v="내화벽돌"/>
  </r>
  <r>
    <n v="5"/>
    <d v="2026-05-07T00:00:00"/>
    <d v="2026-05-08T00:00:00"/>
    <s v="O"/>
    <x v="0"/>
    <x v="0"/>
    <s v="원방"/>
    <s v="현장"/>
    <s v="암롤트럭"/>
    <s v="86노1445"/>
    <s v="김태정"/>
    <s v="010-3311-8084"/>
    <s v="투플러스"/>
    <s v="폐판넬"/>
    <n v="20100"/>
    <n v="24650"/>
    <n v="4550"/>
    <n v="4550"/>
    <m/>
    <n v="4550"/>
    <n v="50"/>
    <n v="50000"/>
    <n v="-2500000"/>
    <s v="출고"/>
    <s v="명일 5/8 하차"/>
  </r>
  <r>
    <n v="6"/>
    <d v="2026-05-11T00:00:00"/>
    <d v="2026-05-11T00:00:00"/>
    <s v="O"/>
    <x v="0"/>
    <x v="0"/>
    <s v="원방"/>
    <s v="현장"/>
    <s v="암롤트럭"/>
    <s v="86노1445"/>
    <s v="이민수"/>
    <s v="010-9992-4447"/>
    <s v="주원(KM)"/>
    <s v="폐합성수지"/>
    <n v="20920"/>
    <n v="33270"/>
    <n v="12350"/>
    <n v="12350"/>
    <m/>
    <n v="12350"/>
    <m/>
    <n v="170"/>
    <n v="-2099500"/>
    <s v="출고"/>
    <s v="직납, 주원 계근"/>
  </r>
  <r>
    <n v="7"/>
    <d v="2026-05-12T00:00:00"/>
    <d v="2026-05-12T00:00:00"/>
    <s v="O"/>
    <x v="1"/>
    <x v="1"/>
    <m/>
    <s v="현장"/>
    <s v="암롤트럭"/>
    <s v="86노1445"/>
    <s v="이민수"/>
    <s v="010-9992-4447"/>
    <s v="투플러스"/>
    <s v="페이퍼허니컴판넬"/>
    <n v="20120"/>
    <n v="28340"/>
    <n v="8220"/>
    <n v="8220"/>
    <n v="0"/>
    <n v="8220"/>
    <n v="50"/>
    <n v="30000"/>
    <n v="-1500000"/>
    <s v="출고"/>
    <s v="직납, 포스코 계근 8,220kg"/>
  </r>
  <r>
    <n v="8"/>
    <d v="2026-05-12T00:00:00"/>
    <d v="2026-05-12T00:00:00"/>
    <s v="O"/>
    <x v="1"/>
    <x v="1"/>
    <m/>
    <s v="현장"/>
    <s v="집게차"/>
    <s v="87주8410"/>
    <s v="배민국"/>
    <s v="010-9110-0126"/>
    <s v="투플러스"/>
    <s v="페이퍼허니컴판넬"/>
    <n v="14080"/>
    <n v="19510"/>
    <n v="5430"/>
    <n v="5430"/>
    <n v="0"/>
    <n v="5430"/>
    <n v="35"/>
    <n v="30000"/>
    <n v="-1050000"/>
    <s v="출고"/>
    <s v="직납, 포스코 계근 5,420kg"/>
  </r>
  <r>
    <n v="9"/>
    <d v="2026-05-13T00:00:00"/>
    <d v="2026-05-13T00:00:00"/>
    <s v="O"/>
    <x v="1"/>
    <x v="1"/>
    <m/>
    <s v="현장"/>
    <s v="암롤트럭"/>
    <s v="86노1445"/>
    <s v="이민수"/>
    <s v="010-9992-4447"/>
    <s v="투플러스"/>
    <s v="페이퍼허니컴판넬"/>
    <n v="20160"/>
    <n v="27600"/>
    <n v="7440"/>
    <n v="7440"/>
    <n v="0"/>
    <n v="7440"/>
    <n v="50"/>
    <n v="30000"/>
    <n v="-1500000"/>
    <s v="출고"/>
    <m/>
  </r>
  <r>
    <n v="10"/>
    <d v="2026-05-13T00:00:00"/>
    <d v="2026-05-13T00:00:00"/>
    <s v="O"/>
    <x v="1"/>
    <x v="1"/>
    <m/>
    <s v="현장"/>
    <s v="집게차"/>
    <s v="87주8410"/>
    <s v="배민국"/>
    <s v="010-9110-0126"/>
    <s v="투플러스"/>
    <s v="페이퍼허니컴판넬"/>
    <n v="14080"/>
    <n v="18400"/>
    <n v="4320"/>
    <n v="4320"/>
    <n v="0"/>
    <n v="4320"/>
    <n v="35"/>
    <n v="30000"/>
    <n v="-1050000"/>
    <s v="출고"/>
    <m/>
  </r>
  <r>
    <n v="11"/>
    <d v="2026-05-14T00:00:00"/>
    <d v="2026-05-14T00:00:00"/>
    <s v="O"/>
    <x v="1"/>
    <x v="1"/>
    <m/>
    <s v="현장"/>
    <s v="암롤트럭"/>
    <s v="86노1445"/>
    <s v="이민수"/>
    <s v="010-9992-4447"/>
    <s v="투플러스"/>
    <s v="페이퍼허니컴판넬"/>
    <n v="20160"/>
    <n v="27440"/>
    <n v="7280"/>
    <n v="7280"/>
    <n v="0"/>
    <n v="7280"/>
    <n v="35"/>
    <n v="30000"/>
    <n v="-1050000"/>
    <s v="출고"/>
    <m/>
  </r>
  <r>
    <n v="12"/>
    <d v="2026-05-14T00:00:00"/>
    <d v="2026-05-14T00:00:00"/>
    <s v="O"/>
    <x v="1"/>
    <x v="1"/>
    <m/>
    <s v="현장"/>
    <s v="집게차"/>
    <s v="87주8410"/>
    <s v="배민국"/>
    <s v="010-9110-0126"/>
    <s v="투플러스"/>
    <s v="페이퍼허니컴판넬"/>
    <n v="13990"/>
    <n v="18560"/>
    <n v="4570"/>
    <n v="4570"/>
    <n v="0"/>
    <n v="4570"/>
    <n v="50"/>
    <n v="30000"/>
    <n v="-1500000"/>
    <s v="출고"/>
    <m/>
  </r>
  <r>
    <n v="13"/>
    <d v="2026-05-14T00:00:00"/>
    <d v="2026-05-15T00:00:00"/>
    <s v="O"/>
    <x v="1"/>
    <x v="1"/>
    <m/>
    <s v="현장"/>
    <s v="암롤트럭"/>
    <s v="86노1445"/>
    <s v="이민수"/>
    <s v="010-9992-4447"/>
    <s v="투플러스"/>
    <s v="폐판넬"/>
    <n v="20050"/>
    <n v="25280"/>
    <n v="5230"/>
    <n v="5200"/>
    <n v="-30"/>
    <n v="5200"/>
    <m/>
    <m/>
    <n v="-4500000"/>
    <s v="출고"/>
    <m/>
  </r>
  <r>
    <n v="14"/>
    <d v="2026-05-14T00:00:00"/>
    <d v="2026-05-15T00:00:00"/>
    <s v="O"/>
    <x v="1"/>
    <x v="1"/>
    <m/>
    <s v="현장"/>
    <s v="집게차"/>
    <s v="87주8410"/>
    <s v="배민국"/>
    <s v="010-9110-0126"/>
    <s v="투플러스"/>
    <s v="폐판넬"/>
    <n v="14040"/>
    <n v="16590"/>
    <n v="2550"/>
    <n v="2550"/>
    <n v="0"/>
    <n v="2550"/>
    <m/>
    <m/>
    <n v="-4000000"/>
    <s v="출고"/>
    <m/>
  </r>
  <r>
    <n v="15"/>
    <d v="2026-05-15T00:00:00"/>
    <d v="2026-05-15T00:00:00"/>
    <s v="O"/>
    <x v="1"/>
    <x v="1"/>
    <m/>
    <s v="현장"/>
    <s v="암롤트럭"/>
    <s v="86노1445"/>
    <s v="이민수"/>
    <s v="010-9992-4447"/>
    <s v="투플러스"/>
    <s v="폐판넬"/>
    <n v="19980"/>
    <n v="28040"/>
    <n v="8060"/>
    <n v="7990"/>
    <n v="-70"/>
    <n v="7990"/>
    <m/>
    <m/>
    <n v="-4500000"/>
    <s v="출고"/>
    <m/>
  </r>
  <r>
    <n v="16"/>
    <d v="2026-05-15T00:00:00"/>
    <d v="2026-05-15T00:00:00"/>
    <s v="O"/>
    <x v="1"/>
    <x v="1"/>
    <m/>
    <s v="현장"/>
    <s v="집게차"/>
    <s v="87주8410"/>
    <s v="배민국"/>
    <s v="010-9110-0126"/>
    <s v="투플러스"/>
    <s v="폐판넬"/>
    <n v="13980"/>
    <n v="17380"/>
    <n v="3400"/>
    <n v="3390"/>
    <n v="-10"/>
    <n v="3790"/>
    <m/>
    <m/>
    <n v="-4000000"/>
    <s v="출고"/>
    <m/>
  </r>
  <r>
    <n v="17"/>
    <d v="2026-05-16T00:00:00"/>
    <d v="2026-05-16T00:00:00"/>
    <s v="O"/>
    <x v="1"/>
    <x v="1"/>
    <m/>
    <s v="현장"/>
    <s v="암롤트럭"/>
    <s v="86노1445"/>
    <s v="이민수"/>
    <s v="010-9992-4447"/>
    <s v="투플러스"/>
    <s v="폐판넬"/>
    <n v="20150"/>
    <n v="24440"/>
    <n v="4290"/>
    <n v="4270"/>
    <n v="-20"/>
    <n v="4270"/>
    <m/>
    <m/>
    <n v="-4500000"/>
    <s v="출고"/>
    <m/>
  </r>
  <r>
    <n v="18"/>
    <d v="2026-05-16T00:00:00"/>
    <d v="2026-05-16T00:00:00"/>
    <s v="O"/>
    <x v="1"/>
    <x v="1"/>
    <m/>
    <s v="현장"/>
    <s v="집게차"/>
    <s v="87주8410"/>
    <s v="배민국"/>
    <s v="010-9110-0126"/>
    <s v="투플러스"/>
    <s v="폐판넬"/>
    <n v="14000"/>
    <n v="16620"/>
    <n v="2620"/>
    <n v="2620"/>
    <n v="0"/>
    <n v="2620"/>
    <m/>
    <m/>
    <n v="-4000000"/>
    <s v="출고"/>
    <m/>
  </r>
  <r>
    <n v="19"/>
    <d v="2026-05-18T00:00:00"/>
    <d v="2026-05-18T00:00:00"/>
    <s v="O"/>
    <x v="1"/>
    <x v="1"/>
    <m/>
    <s v="현장"/>
    <s v="암롤트럭"/>
    <s v="86노1445"/>
    <s v="이민수"/>
    <s v="010-9992-4447"/>
    <s v="투플러스"/>
    <s v="폐판넬"/>
    <n v="20050"/>
    <n v="24630"/>
    <n v="4580"/>
    <n v="4550"/>
    <m/>
    <n v="4550"/>
    <m/>
    <m/>
    <n v="-4500000"/>
    <s v="출고"/>
    <m/>
  </r>
  <r>
    <n v="20"/>
    <d v="2026-05-18T00:00:00"/>
    <d v="2026-05-18T00:00:00"/>
    <s v="O"/>
    <x v="1"/>
    <x v="1"/>
    <s v="원방"/>
    <s v="현장"/>
    <s v="암롤트럭"/>
    <s v="86노1445"/>
    <s v="이민수"/>
    <s v="010-9992-4447"/>
    <s v="도솔환경산업"/>
    <s v="폐콘크리트"/>
    <n v="20130"/>
    <n v="44150"/>
    <n v="24020"/>
    <n v="24020"/>
    <m/>
    <n v="24020"/>
    <n v="17"/>
    <n v="22000"/>
    <n v="-374000"/>
    <s v="출고"/>
    <s v="원방 운반"/>
  </r>
  <r>
    <n v="21"/>
    <d v="2026-05-18T00:00:00"/>
    <d v="2026-05-18T00:00:00"/>
    <s v="O"/>
    <x v="1"/>
    <x v="1"/>
    <s v="도솔환경"/>
    <s v="현장"/>
    <s v="방통차"/>
    <s v="충남06노1592"/>
    <s v="전종식"/>
    <m/>
    <s v="도솔환경산업"/>
    <s v="폐콘크리트"/>
    <n v="14560"/>
    <n v="35960"/>
    <n v="21400"/>
    <n v="21400"/>
    <m/>
    <n v="21400"/>
    <n v="17"/>
    <n v="22000"/>
    <n v="-374000"/>
    <s v="출고"/>
    <s v="크로스 정산"/>
  </r>
  <r>
    <n v="22"/>
    <d v="2026-05-18T00:00:00"/>
    <d v="2026-05-18T00:00:00"/>
    <s v="O"/>
    <x v="1"/>
    <x v="1"/>
    <s v="도솔환경"/>
    <s v="현장"/>
    <s v="방통차"/>
    <s v="충남06모5639"/>
    <s v="조성환"/>
    <m/>
    <s v="도솔환경산업"/>
    <s v="폐콘크리트"/>
    <n v="14890"/>
    <n v="38690"/>
    <n v="23800"/>
    <n v="23800"/>
    <m/>
    <n v="23800"/>
    <n v="17"/>
    <n v="22000"/>
    <n v="-374000"/>
    <s v="출고"/>
    <s v="크로스 정산"/>
  </r>
  <r>
    <n v="23"/>
    <d v="2026-05-18T00:00:00"/>
    <d v="2026-05-18T00:00:00"/>
    <s v="O"/>
    <x v="1"/>
    <x v="1"/>
    <s v="도솔환경"/>
    <s v="현장"/>
    <s v="방통차"/>
    <s v="충남06고1626"/>
    <s v="양명석"/>
    <m/>
    <s v="도솔환경산업"/>
    <s v="폐콘크리트"/>
    <n v="14660"/>
    <n v="35460"/>
    <n v="20800"/>
    <n v="20800"/>
    <m/>
    <n v="20800"/>
    <n v="17"/>
    <n v="22000"/>
    <n v="-374000"/>
    <s v="출고"/>
    <s v="크로스 정산"/>
  </r>
  <r>
    <n v="24"/>
    <d v="2026-05-18T00:00:00"/>
    <d v="2026-05-18T00:00:00"/>
    <s v="O"/>
    <x v="1"/>
    <x v="1"/>
    <s v="도솔환경"/>
    <s v="현장"/>
    <s v="방통차"/>
    <s v="충남06노1598"/>
    <s v="임지환"/>
    <m/>
    <s v="도솔환경산업"/>
    <s v="폐콘크리트"/>
    <n v="15680"/>
    <n v="41940"/>
    <n v="26260"/>
    <n v="26260"/>
    <m/>
    <n v="26260"/>
    <n v="17"/>
    <n v="22000"/>
    <n v="-374000"/>
    <s v="출고"/>
    <s v="크로스 정산"/>
  </r>
  <r>
    <n v="25"/>
    <d v="2026-05-19T00:00:00"/>
    <d v="2026-05-19T00:00:00"/>
    <s v="O"/>
    <x v="1"/>
    <x v="1"/>
    <s v="도솔환경"/>
    <s v="현장"/>
    <s v="방통차"/>
    <s v="충남06노1592"/>
    <s v="전종식"/>
    <m/>
    <s v="도솔환경산업"/>
    <s v="폐콘크리트"/>
    <n v="14560"/>
    <n v="38290"/>
    <n v="23730"/>
    <n v="23730"/>
    <m/>
    <n v="23730"/>
    <n v="17"/>
    <n v="22000"/>
    <n v="-374000"/>
    <s v="출고"/>
    <s v="크로스 정산"/>
  </r>
  <r>
    <n v="26"/>
    <d v="2026-05-19T00:00:00"/>
    <d v="2026-05-19T00:00:00"/>
    <s v="O"/>
    <x v="1"/>
    <x v="1"/>
    <s v="도솔환경"/>
    <s v="현장"/>
    <s v="방통차"/>
    <s v="충남06노1598"/>
    <s v="임지환"/>
    <m/>
    <s v="도솔환경산업"/>
    <s v="폐콘크리트"/>
    <n v="15680"/>
    <n v="39530"/>
    <n v="23850"/>
    <n v="23850"/>
    <m/>
    <n v="23850"/>
    <n v="17"/>
    <n v="22000"/>
    <n v="-374000"/>
    <s v="출고"/>
    <s v="크로스 정산"/>
  </r>
  <r>
    <n v="27"/>
    <d v="2026-05-19T00:00:00"/>
    <d v="2026-05-19T00:00:00"/>
    <s v="O"/>
    <x v="1"/>
    <x v="1"/>
    <s v="도솔환경"/>
    <s v="현장"/>
    <s v="방통차"/>
    <s v="충남06고1626"/>
    <s v="양명석"/>
    <m/>
    <s v="도솔환경산업"/>
    <s v="폐콘크리트"/>
    <n v="14660"/>
    <n v="39390"/>
    <n v="24730"/>
    <n v="24730"/>
    <m/>
    <n v="24730"/>
    <n v="17"/>
    <n v="22000"/>
    <n v="-374000"/>
    <s v="출고"/>
    <s v="크로스 정산"/>
  </r>
  <r>
    <n v="28"/>
    <d v="2026-05-19T00:00:00"/>
    <d v="2026-05-19T00:00:00"/>
    <s v="O"/>
    <x v="1"/>
    <x v="1"/>
    <s v="도솔환경"/>
    <s v="현장"/>
    <s v="방통차"/>
    <s v="충남06고3191"/>
    <s v="이준호"/>
    <m/>
    <s v="도솔환경산업"/>
    <s v="폐콘크리트"/>
    <n v="14570"/>
    <n v="40120"/>
    <n v="25550"/>
    <n v="25550"/>
    <m/>
    <n v="25550"/>
    <n v="17"/>
    <n v="22000"/>
    <n v="-374000"/>
    <s v="출고"/>
    <s v="크로스 정산"/>
  </r>
  <r>
    <n v="29"/>
    <d v="2026-05-19T00:00:00"/>
    <d v="2026-05-19T00:00:00"/>
    <s v="O"/>
    <x v="1"/>
    <x v="1"/>
    <s v="도솔환경"/>
    <s v="현장"/>
    <s v="방통차"/>
    <s v="충남06노1592"/>
    <s v="전종식"/>
    <m/>
    <s v="도솔환경산업"/>
    <s v="폐콘크리트"/>
    <n v="14560"/>
    <n v="37840"/>
    <n v="23280"/>
    <n v="23280"/>
    <m/>
    <n v="23280"/>
    <n v="17"/>
    <n v="22000"/>
    <n v="-374000"/>
    <s v="출고"/>
    <s v="크로스 정산"/>
  </r>
  <r>
    <n v="30"/>
    <d v="2026-05-19T00:00:00"/>
    <d v="2026-05-19T00:00:00"/>
    <s v="O"/>
    <x v="1"/>
    <x v="1"/>
    <s v="도솔환경"/>
    <s v="현장"/>
    <s v="방통차"/>
    <s v="충남06노1598"/>
    <s v="임지환"/>
    <m/>
    <s v="도솔환경산업"/>
    <s v="폐콘크리트"/>
    <n v="15680"/>
    <n v="40420"/>
    <n v="24740"/>
    <n v="24740"/>
    <m/>
    <n v="24740"/>
    <n v="17"/>
    <n v="22000"/>
    <n v="-374000"/>
    <s v="출고"/>
    <s v="크로스 정산"/>
  </r>
  <r>
    <n v="31"/>
    <d v="2026-05-19T00:00:00"/>
    <d v="2026-05-19T00:00:00"/>
    <s v="O"/>
    <x v="1"/>
    <x v="1"/>
    <s v="도솔환경"/>
    <s v="현장"/>
    <s v="방통차"/>
    <s v="충남06고1626"/>
    <s v="양명석"/>
    <m/>
    <s v="도솔환경산업"/>
    <s v="폐콘크리트"/>
    <n v="14660"/>
    <n v="25890"/>
    <n v="11230"/>
    <n v="11230"/>
    <m/>
    <n v="11230"/>
    <n v="17"/>
    <n v="22000"/>
    <n v="-374000"/>
    <s v="출고"/>
    <s v="크로스 정산"/>
  </r>
  <r>
    <n v="32"/>
    <d v="2026-05-19T00:00:00"/>
    <m/>
    <s v="X"/>
    <x v="1"/>
    <x v="1"/>
    <s v="도솔환경"/>
    <s v="현장"/>
    <s v="방통차"/>
    <m/>
    <m/>
    <m/>
    <s v="도솔환경산업"/>
    <s v="폐콘크리트"/>
    <m/>
    <m/>
    <m/>
    <m/>
    <m/>
    <m/>
    <n v="17"/>
    <n v="6600"/>
    <n v="-112200"/>
    <m/>
    <s v="회차 차량"/>
  </r>
  <r>
    <n v="33"/>
    <d v="2026-05-19T00:00:00"/>
    <m/>
    <s v="X"/>
    <x v="0"/>
    <x v="2"/>
    <s v="한강그린"/>
    <s v="현장"/>
    <s v="탱크로리"/>
    <s v="84두0416"/>
    <m/>
    <m/>
    <s v="한강그린"/>
    <s v="절연유"/>
    <n v="15220"/>
    <n v="27820"/>
    <n v="12600"/>
    <m/>
    <m/>
    <n v="12600"/>
    <m/>
    <n v="0"/>
    <n v="0"/>
    <s v="출고"/>
    <s v="무상"/>
  </r>
  <r>
    <n v="34"/>
    <d v="2026-05-20T00:00:00"/>
    <d v="2026-05-20T00:00:00"/>
    <s v="O"/>
    <x v="0"/>
    <x v="3"/>
    <s v="주원"/>
    <s v="원방"/>
    <s v="암롤트럭"/>
    <s v="경기85사3405"/>
    <m/>
    <m/>
    <s v="주원"/>
    <s v="폐합성수지"/>
    <n v="20930"/>
    <n v="31240"/>
    <n v="6820"/>
    <m/>
    <m/>
    <n v="6820"/>
    <m/>
    <n v="170"/>
    <n v="-1159400"/>
    <s v="출고"/>
    <s v="동우 차감한 중량"/>
  </r>
  <r>
    <n v="35"/>
    <d v="2026-05-20T00:00:00"/>
    <d v="2026-05-20T00:00:00"/>
    <s v="O"/>
    <x v="1"/>
    <x v="3"/>
    <m/>
    <s v="원방"/>
    <s v="암롤트럭"/>
    <s v="경기85사3405"/>
    <m/>
    <m/>
    <s v="주원"/>
    <s v="폐합성수지"/>
    <m/>
    <m/>
    <n v="3490"/>
    <m/>
    <m/>
    <n v="3490"/>
    <m/>
    <n v="170"/>
    <n v="-593300"/>
    <s v="출고"/>
    <s v="5/19 동우 폐기물 입고분"/>
  </r>
  <r>
    <n v="36"/>
    <d v="2026-05-21T00:00:00"/>
    <d v="2026-05-21T00:00:00"/>
    <s v="O"/>
    <x v="0"/>
    <x v="0"/>
    <s v="원방"/>
    <s v="현장"/>
    <s v="암롤트럭"/>
    <s v="86노1445"/>
    <s v="김태정"/>
    <s v="010-3311-8084"/>
    <s v="도솔환경산업"/>
    <s v="폐콘크리트"/>
    <n v="20820"/>
    <n v="38840"/>
    <n v="18020"/>
    <n v="23980"/>
    <m/>
    <n v="23980"/>
    <n v="20"/>
    <n v="21875"/>
    <n v="-437500"/>
    <s v="출고"/>
    <s v="올바로 입력 값으로 정산예정"/>
  </r>
  <r>
    <n v="37"/>
    <d v="2026-05-22T00:00:00"/>
    <d v="2026-05-22T00:00:00"/>
    <s v="O"/>
    <x v="0"/>
    <x v="0"/>
    <s v="원방"/>
    <s v="현장"/>
    <s v="암롤트럭"/>
    <s v="86노1445"/>
    <s v="이민수"/>
    <s v="010-9992-4447"/>
    <s v="주원(KM)"/>
    <s v="폐합성수지"/>
    <n v="20690"/>
    <n v="37660"/>
    <n v="16970"/>
    <n v="16970"/>
    <m/>
    <n v="16970"/>
    <m/>
    <n v="170"/>
    <n v="-2884900"/>
    <s v="출고"/>
    <s v="주원 계근 정산"/>
  </r>
  <r>
    <n v="38"/>
    <d v="2026-05-29T00:00:00"/>
    <d v="2026-05-29T00:00:00"/>
    <s v="X"/>
    <x v="2"/>
    <x v="2"/>
    <m/>
    <s v="원방"/>
    <s v="집게차"/>
    <s v="96거5789"/>
    <s v="이민규"/>
    <s v="010-5899-9660"/>
    <s v="비젼월드"/>
    <s v="폐목재"/>
    <n v="13570"/>
    <n v="16400"/>
    <n v="2830"/>
    <m/>
    <m/>
    <n v="2830"/>
    <m/>
    <n v="0"/>
    <n v="0"/>
    <s v="출고"/>
    <s v="무상"/>
  </r>
  <r>
    <n v="39"/>
    <d v="2026-05-29T00:00:00"/>
    <d v="2026-05-29T00:00:00"/>
    <s v="O"/>
    <x v="0"/>
    <x v="0"/>
    <s v="도솔환경"/>
    <s v="현장"/>
    <s v="덤프트럭"/>
    <s v="충남06노1598"/>
    <m/>
    <m/>
    <s v="도솔환경산업"/>
    <s v="폐아스콘"/>
    <n v="14560"/>
    <n v="23000"/>
    <n v="8440"/>
    <n v="8440"/>
    <m/>
    <n v="8440"/>
    <n v="17"/>
    <n v="31250"/>
    <n v="-531250"/>
    <s v="출고"/>
    <m/>
  </r>
  <r>
    <n v="40"/>
    <d v="2026-05-29T00:00:00"/>
    <d v="2026-05-29T00:00:00"/>
    <s v="O"/>
    <x v="0"/>
    <x v="0"/>
    <s v="도솔환경"/>
    <s v="현장"/>
    <s v="덤프트럭"/>
    <s v="충남06고1626"/>
    <m/>
    <m/>
    <s v="도솔환경산업"/>
    <s v="폐아스콘"/>
    <n v="14660"/>
    <n v="26910"/>
    <n v="12250"/>
    <n v="12250"/>
    <m/>
    <n v="12250"/>
    <n v="17"/>
    <n v="31250"/>
    <n v="-531250"/>
    <s v="출고"/>
    <m/>
  </r>
  <r>
    <n v="41"/>
    <d v="2026-05-29T00:00:00"/>
    <d v="2026-05-29T00:00:00"/>
    <s v="O"/>
    <x v="0"/>
    <x v="0"/>
    <s v="도솔환경"/>
    <s v="현장"/>
    <s v="덤프트럭"/>
    <s v="충남06노1592"/>
    <m/>
    <m/>
    <s v="도솔환경산업"/>
    <s v="폐아스콘"/>
    <n v="14560"/>
    <n v="28090"/>
    <n v="13530"/>
    <n v="13530"/>
    <m/>
    <n v="13530"/>
    <n v="17"/>
    <n v="31250"/>
    <n v="-531250"/>
    <s v="출고"/>
    <m/>
  </r>
  <r>
    <m/>
    <d v="2026-05-29T00:00:00"/>
    <m/>
    <s v="-"/>
    <x v="0"/>
    <x v="0"/>
    <s v="도솔환경"/>
    <s v="현장"/>
    <s v="덤프트럭"/>
    <m/>
    <m/>
    <m/>
    <s v="도솔환경산업"/>
    <m/>
    <m/>
    <m/>
    <m/>
    <m/>
    <m/>
    <m/>
    <n v="17"/>
    <n v="9375"/>
    <n v="-159375"/>
    <s v="차량회차"/>
    <m/>
  </r>
  <r>
    <n v="43"/>
    <d v="2026-06-05T00:00:00"/>
    <d v="2026-06-05T00:00:00"/>
    <s v="O"/>
    <x v="1"/>
    <x v="1"/>
    <m/>
    <s v="현장"/>
    <s v="암롤트럭"/>
    <s v="86노1445"/>
    <s v="김현수"/>
    <s v="010-5315-1508"/>
    <s v="투플러스"/>
    <s v="페이퍼허니컴판넬"/>
    <n v="20830"/>
    <n v="29180"/>
    <n v="8350"/>
    <n v="8320"/>
    <m/>
    <n v="8320"/>
    <n v="50"/>
    <n v="30000"/>
    <n v="-1500000"/>
    <s v="출고"/>
    <m/>
  </r>
  <r>
    <n v="44"/>
    <d v="2026-06-05T00:00:00"/>
    <d v="2026-06-05T00:00:00"/>
    <s v="O"/>
    <x v="1"/>
    <x v="1"/>
    <m/>
    <s v="현장"/>
    <s v="암롤트럭"/>
    <s v="84나4888"/>
    <s v="이민규"/>
    <s v="010-5899-9660"/>
    <s v="투플러스"/>
    <s v="페이퍼허니컴판넬"/>
    <n v="21400"/>
    <n v="27030"/>
    <n v="5630"/>
    <n v="5670"/>
    <m/>
    <n v="5670"/>
    <n v="50"/>
    <n v="30000"/>
    <n v="-1500000"/>
    <s v="출고"/>
    <m/>
  </r>
  <r>
    <n v="45"/>
    <d v="2026-06-09T00:00:00"/>
    <d v="2026-06-09T00:00:00"/>
    <s v="O"/>
    <x v="1"/>
    <x v="1"/>
    <m/>
    <s v="현장"/>
    <s v="암롤트럭"/>
    <s v="86노1445"/>
    <m/>
    <m/>
    <s v="투플러스"/>
    <s v="페이퍼허니컴판넬"/>
    <n v="20100"/>
    <n v="29960"/>
    <n v="9860"/>
    <n v="9850"/>
    <m/>
    <n v="9850"/>
    <n v="50"/>
    <n v="30000"/>
    <n v="-1500000"/>
    <s v="출고"/>
    <m/>
  </r>
  <r>
    <n v="46"/>
    <d v="2026-06-09T00:00:00"/>
    <d v="2026-06-09T00:00:00"/>
    <s v="O"/>
    <x v="1"/>
    <x v="1"/>
    <m/>
    <s v="현장"/>
    <s v="집게차"/>
    <s v="84나4888"/>
    <m/>
    <m/>
    <s v="투플러스"/>
    <s v="페이퍼허니컴판넬"/>
    <n v="21290"/>
    <n v="25610"/>
    <n v="4320"/>
    <n v="4350"/>
    <m/>
    <n v="4350"/>
    <n v="50"/>
    <n v="30000"/>
    <n v="-1500000"/>
    <s v="출고"/>
    <m/>
  </r>
  <r>
    <n v="47"/>
    <d v="2026-06-10T00:00:00"/>
    <d v="2026-06-10T00:00:00"/>
    <s v="O"/>
    <x v="1"/>
    <x v="1"/>
    <m/>
    <s v="현장"/>
    <s v="암롤트럭"/>
    <s v="86노1445"/>
    <s v="김현수"/>
    <s v="010-5315-1508"/>
    <s v="투플러스"/>
    <s v="페이퍼허니컴판넬"/>
    <n v="20710"/>
    <n v="29170"/>
    <n v="8460"/>
    <n v="8450"/>
    <m/>
    <n v="8450"/>
    <n v="50"/>
    <n v="30000"/>
    <n v="-1500000"/>
    <s v="출고"/>
    <m/>
  </r>
  <r>
    <n v="48"/>
    <d v="2026-06-10T00:00:00"/>
    <d v="2026-06-10T00:00:00"/>
    <s v="O"/>
    <x v="1"/>
    <x v="1"/>
    <m/>
    <s v="현장"/>
    <s v="집게차"/>
    <s v="87주8410"/>
    <s v="배민국"/>
    <s v="010-9110-0126"/>
    <s v="투플러스"/>
    <s v="페이퍼허니컴판넬"/>
    <n v="14030"/>
    <n v="18140"/>
    <n v="4110"/>
    <n v="4100"/>
    <m/>
    <n v="4100"/>
    <n v="35"/>
    <n v="30000"/>
    <n v="-1050000"/>
    <s v="출고"/>
    <m/>
  </r>
  <r>
    <n v="49"/>
    <d v="2026-06-11T00:00:00"/>
    <d v="2026-06-11T00:00:00"/>
    <s v="O"/>
    <x v="3"/>
    <x v="3"/>
    <m/>
    <s v="원방"/>
    <s v="암롤트럭"/>
    <s v="경기85사3817"/>
    <m/>
    <m/>
    <s v="주원"/>
    <s v="폐합성수지"/>
    <n v="21490"/>
    <n v="35130"/>
    <n v="13640"/>
    <m/>
    <m/>
    <n v="13640"/>
    <m/>
    <n v="170"/>
    <n v="-2318800"/>
    <s v="출고"/>
    <m/>
  </r>
  <r>
    <n v="50"/>
    <d v="2026-06-12T00:00:00"/>
    <d v="2026-06-12T00:00:00"/>
    <s v="O"/>
    <x v="1"/>
    <x v="1"/>
    <m/>
    <s v="현장"/>
    <s v="암롤트럭"/>
    <s v="86노1445"/>
    <m/>
    <m/>
    <s v="투플러스"/>
    <s v="페이퍼허니컴판넬"/>
    <n v="20770"/>
    <n v="30040"/>
    <n v="9270"/>
    <n v="9270"/>
    <m/>
    <n v="9270"/>
    <n v="50"/>
    <n v="30000"/>
    <n v="-1500000"/>
    <s v="출고"/>
    <m/>
  </r>
  <r>
    <n v="51"/>
    <d v="2026-06-12T00:00:00"/>
    <d v="2026-06-12T00:00:00"/>
    <s v="O"/>
    <x v="1"/>
    <x v="1"/>
    <m/>
    <s v="현장"/>
    <s v="집게차"/>
    <s v="84나4888"/>
    <m/>
    <m/>
    <s v="투플러스"/>
    <s v="페이퍼허니컴판넬"/>
    <n v="21100"/>
    <n v="26550"/>
    <n v="5450"/>
    <n v="5460"/>
    <m/>
    <n v="5460"/>
    <n v="50"/>
    <n v="30000"/>
    <n v="-1500000"/>
    <s v="출고"/>
    <m/>
  </r>
  <r>
    <n v="52"/>
    <d v="2026-06-15T00:00:00"/>
    <d v="2026-06-15T00:00:00"/>
    <s v="O"/>
    <x v="1"/>
    <x v="1"/>
    <m/>
    <s v="현장"/>
    <s v="암롤트럭"/>
    <s v="86노1445"/>
    <s v="김현수"/>
    <s v="010-5315-1508"/>
    <s v="투플러스"/>
    <s v="페이퍼허니컴판넬"/>
    <n v="20090"/>
    <n v="29860"/>
    <n v="9770"/>
    <n v="9780"/>
    <m/>
    <n v="9780"/>
    <n v="50"/>
    <n v="30000"/>
    <n v="-1500000"/>
    <s v="출고"/>
    <m/>
  </r>
  <r>
    <n v="53"/>
    <d v="2026-06-15T00:00:00"/>
    <d v="2026-06-15T00:00:00"/>
    <s v="O"/>
    <x v="1"/>
    <x v="1"/>
    <m/>
    <s v="현장"/>
    <s v="집게차"/>
    <s v="84나4888"/>
    <s v="배민국"/>
    <s v="010-9110-0126"/>
    <s v="투플러스"/>
    <s v="페이퍼허니컴판넬"/>
    <n v="21130"/>
    <n v="26000"/>
    <n v="4870"/>
    <n v="4870"/>
    <m/>
    <n v="4870"/>
    <n v="50"/>
    <n v="30000"/>
    <n v="-1500000"/>
    <s v="출고"/>
    <m/>
  </r>
  <r>
    <n v="54"/>
    <d v="2026-06-15T00:00:00"/>
    <d v="2026-06-15T00:00:00"/>
    <s v="-"/>
    <x v="0"/>
    <x v="4"/>
    <s v="서윤산업"/>
    <s v="현장"/>
    <s v="암롤트럭"/>
    <s v="88어1563"/>
    <m/>
    <m/>
    <s v="서윤산업"/>
    <s v="폐기물(솔트류)"/>
    <n v="17600"/>
    <n v="40240"/>
    <n v="22640"/>
    <m/>
    <m/>
    <n v="22640"/>
    <m/>
    <n v="300"/>
    <n v="-6792000"/>
    <s v="출고"/>
    <m/>
  </r>
  <r>
    <n v="55"/>
    <d v="2026-06-16T00:00:00"/>
    <d v="2026-06-16T00:00:00"/>
    <s v="O"/>
    <x v="1"/>
    <x v="1"/>
    <m/>
    <s v="현장"/>
    <s v="암롤트럭"/>
    <s v="86노1445"/>
    <s v="김현수"/>
    <s v="010-5315-1508"/>
    <s v="투플러스"/>
    <s v="페이퍼허니컴판넬"/>
    <n v="20780"/>
    <n v="29800"/>
    <n v="9020"/>
    <n v="9010"/>
    <m/>
    <n v="9010"/>
    <n v="50"/>
    <n v="30000"/>
    <n v="-1500000"/>
    <s v="출고"/>
    <s v="우레탄 판넬 일부 포함"/>
  </r>
  <r>
    <n v="56"/>
    <d v="2026-06-16T00:00:00"/>
    <d v="2026-06-16T00:00:00"/>
    <s v="O"/>
    <x v="1"/>
    <x v="1"/>
    <m/>
    <s v="현장"/>
    <s v="집게차"/>
    <s v="84나4888"/>
    <s v="배민국"/>
    <s v="010-9110-0126"/>
    <s v="투플러스"/>
    <s v="페이퍼허니컴판넬"/>
    <n v="21020"/>
    <n v="26880"/>
    <n v="5860"/>
    <n v="5860"/>
    <m/>
    <n v="5860"/>
    <n v="50"/>
    <n v="30000"/>
    <n v="-1500000"/>
    <s v="출고"/>
    <s v="우레탄 판넬 일부 포함"/>
  </r>
  <r>
    <n v="57"/>
    <d v="2026-06-16T00:00:00"/>
    <d v="2026-06-17T00:00:00"/>
    <s v="X"/>
    <x v="1"/>
    <x v="2"/>
    <m/>
    <s v="원방"/>
    <s v="집게차"/>
    <s v="96거5789"/>
    <s v="배민국"/>
    <s v="010-9110-0126"/>
    <s v="투플러스"/>
    <s v="폐판넬"/>
    <n v="13530"/>
    <n v="15530"/>
    <n v="2000"/>
    <n v="2000"/>
    <m/>
    <n v="2000"/>
    <m/>
    <m/>
    <n v="0"/>
    <s v="이동"/>
    <s v="투플 계근량 입력"/>
  </r>
  <r>
    <n v="58"/>
    <d v="2026-06-18T00:00:00"/>
    <d v="2026-06-18T00:00:00"/>
    <s v="O"/>
    <x v="1"/>
    <x v="1"/>
    <m/>
    <s v="현장"/>
    <s v="암롤트럭"/>
    <s v="86노1445"/>
    <s v="김현수"/>
    <s v="010-5315-1508"/>
    <s v="투플러스"/>
    <s v="페이퍼허니컴판넬"/>
    <n v="20110"/>
    <n v="30030"/>
    <n v="9920"/>
    <n v="9920"/>
    <m/>
    <n v="9920"/>
    <n v="50"/>
    <n v="30000"/>
    <n v="-1500000"/>
    <s v="출고"/>
    <s v="우레탄 판넬 일부 포함"/>
  </r>
  <r>
    <n v="59"/>
    <d v="2026-06-18T00:00:00"/>
    <d v="2026-06-18T00:00:00"/>
    <s v="O"/>
    <x v="1"/>
    <x v="1"/>
    <m/>
    <s v="현장"/>
    <s v="집게차"/>
    <s v="84나4888"/>
    <s v="배민국"/>
    <s v="010-9110-0126"/>
    <s v="투플러스"/>
    <s v="페이퍼허니컴판넬"/>
    <n v="21360"/>
    <n v="25550"/>
    <n v="4190"/>
    <n v="4210"/>
    <m/>
    <n v="4210"/>
    <n v="50"/>
    <n v="30000"/>
    <n v="-1500000"/>
    <s v="출고"/>
    <s v="우레탄 판넬 일부 포함"/>
  </r>
  <r>
    <n v="60"/>
    <d v="2026-06-19T00:00:00"/>
    <d v="2026-06-19T00:00:00"/>
    <s v="O"/>
    <x v="1"/>
    <x v="1"/>
    <m/>
    <s v="현장"/>
    <s v="암롤트럭"/>
    <s v="86노1445"/>
    <s v="김현수"/>
    <s v="010-5315-1508"/>
    <s v="투플러스"/>
    <s v="페이퍼허니컴판넬"/>
    <n v="20770"/>
    <n v="31410"/>
    <n v="10640"/>
    <n v="10640"/>
    <m/>
    <n v="10640"/>
    <n v="50"/>
    <n v="30000"/>
    <n v="-1500000"/>
    <s v="출고"/>
    <m/>
  </r>
  <r>
    <n v="61"/>
    <d v="2026-06-19T00:00:00"/>
    <d v="2026-06-19T00:00:00"/>
    <s v="O"/>
    <x v="1"/>
    <x v="1"/>
    <m/>
    <s v="현장"/>
    <s v="집게차"/>
    <s v="84나4888"/>
    <s v="배민국"/>
    <s v="010-9110-0126"/>
    <s v="투플러스"/>
    <s v="페이퍼허니컴판넬"/>
    <n v="21010"/>
    <n v="27080"/>
    <n v="6070"/>
    <n v="6090"/>
    <m/>
    <n v="6090"/>
    <n v="50"/>
    <n v="30000"/>
    <n v="-1500000"/>
    <s v="출고"/>
    <m/>
  </r>
  <r>
    <n v="62"/>
    <d v="2026-06-22T00:00:00"/>
    <d v="2026-06-22T00:00:00"/>
    <s v="X"/>
    <x v="4"/>
    <x v="2"/>
    <m/>
    <s v="원방"/>
    <s v="집게차"/>
    <s v="96거5789"/>
    <s v="김현수"/>
    <s v="010-5315-1508"/>
    <s v="비젼월드"/>
    <s v="폐목재"/>
    <n v="13890"/>
    <n v="14760"/>
    <n v="870"/>
    <m/>
    <m/>
    <n v="870"/>
    <m/>
    <n v="0"/>
    <n v="0"/>
    <s v="출고"/>
    <s v="무상"/>
  </r>
  <r>
    <n v="63"/>
    <d v="2026-06-22T00:00:00"/>
    <d v="2026-06-23T00:00:00"/>
    <s v="X"/>
    <x v="4"/>
    <x v="2"/>
    <m/>
    <s v="원방"/>
    <s v="암롤트럭"/>
    <s v="86노1445"/>
    <s v="김태정"/>
    <s v="010-3311-8084"/>
    <s v="비젼월드"/>
    <s v="폐목재"/>
    <n v="20330"/>
    <n v="21370"/>
    <n v="1040"/>
    <m/>
    <m/>
    <n v="1040"/>
    <m/>
    <n v="0"/>
    <n v="0"/>
    <s v="출고"/>
    <s v="무상, 명일 출고"/>
  </r>
  <r>
    <n v="64"/>
    <d v="2026-06-22T00:00:00"/>
    <d v="2026-06-23T00:00:00"/>
    <s v="X"/>
    <x v="4"/>
    <x v="2"/>
    <m/>
    <s v="원방"/>
    <s v="암롤트럭"/>
    <s v="86노1445"/>
    <s v="김태정"/>
    <s v="010-3311-8084"/>
    <s v="비젼월드"/>
    <s v="폐목재"/>
    <n v="21370"/>
    <n v="23320"/>
    <n v="1950"/>
    <m/>
    <m/>
    <n v="1950"/>
    <m/>
    <n v="0"/>
    <n v="0"/>
    <s v="출고"/>
    <s v="무상, 명일 출고"/>
  </r>
  <r>
    <n v="65"/>
    <d v="2026-06-24T00:00:00"/>
    <d v="2026-06-24T00:00:00"/>
    <s v="-"/>
    <x v="0"/>
    <x v="4"/>
    <s v="서윤산업"/>
    <s v="현장"/>
    <s v="암롤트럭"/>
    <s v="88어1563"/>
    <m/>
    <m/>
    <s v="서윤산업"/>
    <s v="폐기물(솔트류)"/>
    <n v="17220"/>
    <n v="36660"/>
    <n v="19440"/>
    <m/>
    <m/>
    <n v="19440"/>
    <m/>
    <n v="300"/>
    <n v="-5832000"/>
    <s v="출고"/>
    <m/>
  </r>
  <r>
    <n v="66"/>
    <d v="2026-06-24T00:00:00"/>
    <d v="2026-06-24T00:00:00"/>
    <s v="-"/>
    <x v="0"/>
    <x v="4"/>
    <s v="서윤산업"/>
    <s v="현장"/>
    <s v="암롤트럭"/>
    <s v="88어1563"/>
    <m/>
    <m/>
    <s v="서윤산업"/>
    <s v="폐기물(솔트류)"/>
    <n v="17140"/>
    <n v="31620"/>
    <n v="14480"/>
    <m/>
    <m/>
    <n v="14480"/>
    <m/>
    <n v="300"/>
    <n v="-4344000"/>
    <s v="출고"/>
    <m/>
  </r>
  <r>
    <n v="67"/>
    <d v="2026-06-29T00:00:00"/>
    <d v="2026-06-29T00:00:00"/>
    <s v="O"/>
    <x v="1"/>
    <x v="1"/>
    <m/>
    <s v="현장"/>
    <s v="집게차"/>
    <s v="84나4888"/>
    <m/>
    <m/>
    <s v="투플러스"/>
    <s v="페이퍼허니컴판넬"/>
    <n v="21180"/>
    <n v="26260"/>
    <n v="5080"/>
    <n v="5120"/>
    <m/>
    <n v="5120"/>
    <n v="50"/>
    <n v="30000"/>
    <n v="-1500000"/>
    <s v="출고"/>
    <m/>
  </r>
  <r>
    <m/>
    <m/>
    <m/>
    <m/>
    <x v="5"/>
    <x v="2"/>
    <m/>
    <m/>
    <m/>
    <m/>
    <m/>
    <m/>
    <m/>
    <m/>
    <m/>
    <m/>
    <m/>
    <m/>
    <m/>
    <m/>
    <m/>
    <m/>
    <m/>
    <m/>
    <m/>
  </r>
  <r>
    <m/>
    <m/>
    <m/>
    <m/>
    <x v="5"/>
    <x v="2"/>
    <m/>
    <m/>
    <m/>
    <m/>
    <m/>
    <m/>
    <m/>
    <m/>
    <m/>
    <m/>
    <m/>
    <m/>
    <m/>
    <m/>
    <m/>
    <m/>
    <m/>
    <m/>
    <m/>
  </r>
  <r>
    <m/>
    <m/>
    <m/>
    <m/>
    <x v="5"/>
    <x v="2"/>
    <m/>
    <m/>
    <m/>
    <m/>
    <m/>
    <m/>
    <m/>
    <m/>
    <m/>
    <m/>
    <m/>
    <m/>
    <m/>
    <m/>
    <m/>
    <m/>
    <m/>
    <m/>
    <m/>
  </r>
  <r>
    <m/>
    <m/>
    <m/>
    <m/>
    <x v="5"/>
    <x v="2"/>
    <m/>
    <m/>
    <m/>
    <m/>
    <m/>
    <m/>
    <m/>
    <m/>
    <m/>
    <m/>
    <m/>
    <m/>
    <m/>
    <m/>
    <m/>
    <m/>
    <m/>
    <m/>
    <m/>
  </r>
  <r>
    <m/>
    <m/>
    <m/>
    <m/>
    <x v="5"/>
    <x v="2"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n v="1"/>
    <d v="2025-09-26T00:00:00"/>
    <x v="0"/>
    <m/>
    <s v="집게차"/>
    <s v="81오1758"/>
    <m/>
    <m/>
    <x v="0"/>
    <x v="0"/>
    <n v="19200"/>
    <n v="24190"/>
    <n v="4990"/>
    <n v="4770"/>
    <m/>
    <n v="4770"/>
    <n v="1710"/>
    <n v="8156700"/>
    <s v="출고"/>
    <m/>
  </r>
  <r>
    <n v="1"/>
    <d v="2025-09-26T00:00:00"/>
    <x v="0"/>
    <m/>
    <s v="집게차"/>
    <s v="81오1758"/>
    <m/>
    <m/>
    <x v="0"/>
    <x v="1"/>
    <m/>
    <m/>
    <m/>
    <n v="220"/>
    <m/>
    <n v="220"/>
    <n v="300"/>
    <n v="66000"/>
    <s v="출고"/>
    <m/>
  </r>
  <r>
    <n v="2"/>
    <d v="2025-09-26T00:00:00"/>
    <x v="0"/>
    <m/>
    <s v="집게차"/>
    <s v="96로8332"/>
    <m/>
    <m/>
    <x v="1"/>
    <x v="2"/>
    <n v="12630"/>
    <n v="13000"/>
    <n v="370"/>
    <n v="370"/>
    <m/>
    <n v="370"/>
    <n v="3890"/>
    <n v="1439300"/>
    <s v="출고"/>
    <m/>
  </r>
  <r>
    <n v="3"/>
    <d v="2025-09-26T00:00:00"/>
    <x v="0"/>
    <m/>
    <s v="집게차"/>
    <s v="96로8332"/>
    <m/>
    <m/>
    <x v="1"/>
    <x v="3"/>
    <n v="13000"/>
    <n v="13240"/>
    <n v="240"/>
    <n v="240"/>
    <m/>
    <n v="240"/>
    <n v="5130"/>
    <n v="1231200"/>
    <s v="출고"/>
    <m/>
  </r>
  <r>
    <n v="4"/>
    <d v="2025-09-26T00:00:00"/>
    <x v="0"/>
    <m/>
    <s v="집게차"/>
    <s v="96로8332"/>
    <m/>
    <m/>
    <x v="1"/>
    <x v="4"/>
    <n v="13240"/>
    <n v="13320"/>
    <n v="80"/>
    <n v="80"/>
    <n v="3"/>
    <n v="77"/>
    <n v="8360"/>
    <n v="643720"/>
    <s v="출고"/>
    <m/>
  </r>
  <r>
    <n v="5"/>
    <d v="2025-09-26T00:00:00"/>
    <x v="0"/>
    <m/>
    <s v="집게차"/>
    <s v="96로8332"/>
    <m/>
    <m/>
    <x v="1"/>
    <x v="5"/>
    <n v="13320"/>
    <n v="14740"/>
    <n v="1420"/>
    <n v="1420"/>
    <m/>
    <n v="1420"/>
    <n v="13400"/>
    <n v="19028000"/>
    <s v="출고"/>
    <m/>
  </r>
  <r>
    <n v="6"/>
    <d v="2025-09-26T00:00:00"/>
    <x v="0"/>
    <m/>
    <s v="집게차"/>
    <s v="96로8332"/>
    <m/>
    <m/>
    <x v="1"/>
    <x v="6"/>
    <n v="14740"/>
    <n v="15050"/>
    <n v="310"/>
    <n v="240"/>
    <m/>
    <n v="240"/>
    <n v="12900"/>
    <n v="3096000"/>
    <s v="출고"/>
    <m/>
  </r>
  <r>
    <n v="7"/>
    <d v="2025-09-26T00:00:00"/>
    <x v="0"/>
    <m/>
    <s v="집게차"/>
    <s v="96로8332"/>
    <m/>
    <m/>
    <x v="1"/>
    <x v="7"/>
    <m/>
    <m/>
    <m/>
    <n v="50"/>
    <m/>
    <n v="50"/>
    <n v="12000"/>
    <n v="600000"/>
    <s v="출고"/>
    <m/>
  </r>
  <r>
    <n v="8"/>
    <d v="2025-09-26T00:00:00"/>
    <x v="0"/>
    <m/>
    <s v="집게차"/>
    <s v="96로8332"/>
    <m/>
    <m/>
    <x v="1"/>
    <x v="8"/>
    <n v="15050"/>
    <n v="19230"/>
    <n v="4180"/>
    <n v="4190"/>
    <n v="25"/>
    <n v="4165"/>
    <n v="2610"/>
    <n v="10870650"/>
    <s v="출고"/>
    <m/>
  </r>
  <r>
    <n v="9"/>
    <d v="2025-09-26T00:00:00"/>
    <x v="0"/>
    <m/>
    <s v="집게차"/>
    <s v="96로8332"/>
    <m/>
    <m/>
    <x v="1"/>
    <x v="9"/>
    <n v="19230"/>
    <n v="20260"/>
    <n v="1030"/>
    <n v="1040"/>
    <m/>
    <n v="1050"/>
    <n v="6400"/>
    <n v="6720000"/>
    <s v="출고"/>
    <m/>
  </r>
  <r>
    <n v="10"/>
    <d v="2025-09-26T00:00:00"/>
    <x v="0"/>
    <m/>
    <s v="집게차"/>
    <s v="96로8332"/>
    <m/>
    <m/>
    <x v="1"/>
    <x v="10"/>
    <n v="20260"/>
    <n v="20600"/>
    <n v="340"/>
    <n v="350"/>
    <n v="13"/>
    <n v="337"/>
    <n v="8200"/>
    <n v="2763400"/>
    <s v="출고"/>
    <m/>
  </r>
  <r>
    <n v="11"/>
    <d v="2025-09-26T00:00:00"/>
    <x v="0"/>
    <m/>
    <s v="집게차"/>
    <s v="96로8332"/>
    <m/>
    <m/>
    <x v="1"/>
    <x v="11"/>
    <n v="20600"/>
    <n v="20700"/>
    <n v="100"/>
    <n v="100"/>
    <n v="3"/>
    <n v="97"/>
    <n v="6500"/>
    <n v="630500"/>
    <s v="출고"/>
    <m/>
  </r>
  <r>
    <n v="12"/>
    <d v="2025-09-26T00:00:00"/>
    <x v="0"/>
    <m/>
    <s v="집게차"/>
    <s v="96로8332"/>
    <m/>
    <m/>
    <x v="1"/>
    <x v="12"/>
    <n v="20700"/>
    <n v="21240"/>
    <n v="540"/>
    <n v="230"/>
    <n v="3"/>
    <n v="227"/>
    <n v="1850"/>
    <n v="419950"/>
    <s v="출고"/>
    <m/>
  </r>
  <r>
    <n v="13"/>
    <d v="2025-09-26T00:00:00"/>
    <x v="0"/>
    <m/>
    <s v="집게차"/>
    <s v="96로8332"/>
    <m/>
    <m/>
    <x v="1"/>
    <x v="13"/>
    <m/>
    <m/>
    <m/>
    <n v="310"/>
    <n v="3"/>
    <n v="307"/>
    <n v="500"/>
    <n v="153500"/>
    <s v="출고"/>
    <m/>
  </r>
  <r>
    <n v="14"/>
    <d v="2025-09-29T00:00:00"/>
    <x v="0"/>
    <m/>
    <s v="집게차"/>
    <s v="87주8410"/>
    <m/>
    <m/>
    <x v="2"/>
    <x v="14"/>
    <n v="14070"/>
    <n v="23360"/>
    <n v="9290"/>
    <n v="9290"/>
    <m/>
    <n v="9290"/>
    <n v="365"/>
    <n v="3390850"/>
    <s v="출고"/>
    <m/>
  </r>
  <r>
    <n v="15"/>
    <d v="2025-09-29T00:00:00"/>
    <x v="0"/>
    <m/>
    <s v="집게차"/>
    <s v="87주8410"/>
    <m/>
    <m/>
    <x v="2"/>
    <x v="14"/>
    <m/>
    <m/>
    <n v="9580"/>
    <n v="9580"/>
    <m/>
    <n v="9580"/>
    <n v="365"/>
    <n v="3496700"/>
    <s v="출고"/>
    <m/>
  </r>
  <r>
    <n v="16"/>
    <d v="2025-09-30T00:00:00"/>
    <x v="0"/>
    <m/>
    <s v="집게차"/>
    <s v="819도9774"/>
    <m/>
    <m/>
    <x v="3"/>
    <x v="15"/>
    <n v="17770"/>
    <n v="18910"/>
    <n v="1140"/>
    <m/>
    <m/>
    <n v="1140"/>
    <n v="3300"/>
    <n v="3762000"/>
    <s v="출고"/>
    <m/>
  </r>
  <r>
    <n v="17"/>
    <d v="2025-09-30T00:00:00"/>
    <x v="0"/>
    <m/>
    <s v="집게차"/>
    <s v="819도9774"/>
    <m/>
    <m/>
    <x v="3"/>
    <x v="16"/>
    <n v="18910"/>
    <n v="19200"/>
    <n v="290"/>
    <m/>
    <m/>
    <n v="290"/>
    <n v="3100"/>
    <n v="899000"/>
    <s v="출고"/>
    <m/>
  </r>
  <r>
    <n v="18"/>
    <d v="2026-05-04T00:00:00"/>
    <x v="1"/>
    <s v="현장"/>
    <s v="집게차"/>
    <s v="87주8410"/>
    <s v="배민국"/>
    <s v="010-9110-0126"/>
    <x v="4"/>
    <x v="17"/>
    <n v="14080"/>
    <n v="17880"/>
    <n v="3800"/>
    <n v="3800"/>
    <m/>
    <n v="3800"/>
    <n v="410"/>
    <n v="1558000"/>
    <s v="출고"/>
    <m/>
  </r>
  <r>
    <n v="19"/>
    <d v="2026-05-04T00:00:00"/>
    <x v="1"/>
    <s v="원방"/>
    <s v="집게차"/>
    <s v="87주8410"/>
    <s v="배민국"/>
    <s v="010-9110-0126"/>
    <x v="4"/>
    <x v="18"/>
    <n v="14060"/>
    <n v="18010"/>
    <n v="3950"/>
    <n v="3910"/>
    <m/>
    <n v="3910"/>
    <n v="410"/>
    <n v="1603100"/>
    <s v="출고"/>
    <m/>
  </r>
  <r>
    <n v="20"/>
    <d v="2026-05-04T00:00:00"/>
    <x v="1"/>
    <s v="원방"/>
    <s v="집게차"/>
    <s v="87주8410"/>
    <s v="배민국"/>
    <s v="010-9110-0126"/>
    <x v="4"/>
    <x v="18"/>
    <n v="14090"/>
    <n v="17180"/>
    <n v="3090"/>
    <n v="3130"/>
    <m/>
    <n v="3130"/>
    <n v="410"/>
    <n v="1283300"/>
    <s v="출고"/>
    <m/>
  </r>
  <r>
    <n v="21"/>
    <d v="2026-05-04T00:00:00"/>
    <x v="1"/>
    <s v="원방"/>
    <s v="집게차"/>
    <s v="87주8410"/>
    <s v="배민국"/>
    <s v="010-9110-0126"/>
    <x v="4"/>
    <x v="18"/>
    <n v="14020"/>
    <n v="17780"/>
    <n v="3760"/>
    <n v="3760"/>
    <m/>
    <n v="3760"/>
    <n v="410"/>
    <n v="1541600"/>
    <s v="출고"/>
    <m/>
  </r>
  <r>
    <n v="22"/>
    <d v="2026-05-04T00:00:00"/>
    <x v="1"/>
    <s v="원방"/>
    <s v="집게차"/>
    <s v="87주8410"/>
    <s v="배민국"/>
    <s v="010-9110-0126"/>
    <x v="4"/>
    <x v="18"/>
    <n v="14030"/>
    <n v="17650"/>
    <n v="3620"/>
    <n v="3620"/>
    <m/>
    <n v="3620"/>
    <n v="410"/>
    <n v="1484200"/>
    <s v="출고"/>
    <m/>
  </r>
  <r>
    <n v="23"/>
    <d v="2026-05-04T00:00:00"/>
    <x v="2"/>
    <s v="원방"/>
    <s v="집게차"/>
    <s v="87주8410"/>
    <s v="배민국"/>
    <s v="010-9110-0126"/>
    <x v="4"/>
    <x v="18"/>
    <n v="14040"/>
    <n v="16920"/>
    <n v="2880"/>
    <n v="3040"/>
    <m/>
    <n v="3040"/>
    <n v="410"/>
    <n v="1246400"/>
    <s v="출고"/>
    <m/>
  </r>
  <r>
    <n v="24"/>
    <d v="2026-05-04T00:00:00"/>
    <x v="3"/>
    <s v="원방"/>
    <s v="집게차"/>
    <s v="87주8410"/>
    <s v="배민국"/>
    <s v="010-9110-0126"/>
    <x v="4"/>
    <x v="19"/>
    <n v="16920"/>
    <n v="19640"/>
    <n v="2720"/>
    <n v="2590"/>
    <m/>
    <n v="2590"/>
    <n v="420"/>
    <n v="1087800"/>
    <s v="출고"/>
    <m/>
  </r>
  <r>
    <n v="25"/>
    <d v="2026-05-05T00:00:00"/>
    <x v="1"/>
    <s v="현장"/>
    <s v="집게차"/>
    <s v="87주8410"/>
    <s v="배민국"/>
    <s v="010-9110-0126"/>
    <x v="2"/>
    <x v="20"/>
    <n v="14220"/>
    <n v="17620"/>
    <n v="3400"/>
    <n v="3370"/>
    <m/>
    <n v="3400"/>
    <n v="420"/>
    <n v="1428000"/>
    <s v="출고"/>
    <m/>
  </r>
  <r>
    <n v="26"/>
    <d v="2026-05-05T00:00:00"/>
    <x v="1"/>
    <s v="원방"/>
    <s v="집게차"/>
    <s v="87주8410"/>
    <s v="배민국"/>
    <s v="010-9110-0126"/>
    <x v="0"/>
    <x v="21"/>
    <n v="14070"/>
    <n v="21810"/>
    <n v="5418"/>
    <n v="5397"/>
    <n v="9"/>
    <n v="5388"/>
    <n v="3800"/>
    <n v="20474400"/>
    <s v="출고"/>
    <m/>
  </r>
  <r>
    <n v="27"/>
    <d v="2026-05-05T00:00:00"/>
    <x v="4"/>
    <s v="원방"/>
    <s v="집게차"/>
    <s v="87주8410"/>
    <s v="배민국"/>
    <s v="010-9110-0126"/>
    <x v="0"/>
    <x v="21"/>
    <m/>
    <m/>
    <n v="2322"/>
    <n v="1213"/>
    <m/>
    <n v="1213"/>
    <n v="3800"/>
    <n v="4609400"/>
    <s v="출고"/>
    <m/>
  </r>
  <r>
    <n v="28"/>
    <d v="2026-05-05T00:00:00"/>
    <x v="4"/>
    <s v="원방"/>
    <s v="집게차"/>
    <s v="87주8410"/>
    <s v="배민국"/>
    <s v="010-9110-0126"/>
    <x v="0"/>
    <x v="22"/>
    <m/>
    <m/>
    <m/>
    <n v="1100"/>
    <m/>
    <n v="1100"/>
    <n v="3750"/>
    <n v="4125000"/>
    <s v="출고"/>
    <m/>
  </r>
  <r>
    <n v="29"/>
    <d v="2026-05-07T00:00:00"/>
    <x v="2"/>
    <s v="원방"/>
    <s v="집게차"/>
    <s v="87주8410"/>
    <s v="배민국"/>
    <s v="010-9110-0126"/>
    <x v="0"/>
    <x v="0"/>
    <m/>
    <m/>
    <n v="510"/>
    <n v="510"/>
    <m/>
    <n v="510"/>
    <n v="1920"/>
    <n v="979200"/>
    <s v="출고"/>
    <m/>
  </r>
  <r>
    <n v="30"/>
    <d v="2026-05-07T00:00:00"/>
    <x v="1"/>
    <s v="원방"/>
    <s v="집게차"/>
    <s v="87주8410"/>
    <s v="배민국"/>
    <s v="010-9110-0126"/>
    <x v="0"/>
    <x v="0"/>
    <n v="14050"/>
    <n v="15840"/>
    <n v="1790"/>
    <n v="1790"/>
    <m/>
    <n v="1790"/>
    <n v="1920"/>
    <n v="3436800"/>
    <s v="출고"/>
    <m/>
  </r>
  <r>
    <n v="31"/>
    <d v="2026-05-07T00:00:00"/>
    <x v="4"/>
    <s v="원방"/>
    <s v="집게차"/>
    <s v="87주8410"/>
    <s v="배민국"/>
    <s v="010-9110-0126"/>
    <x v="0"/>
    <x v="0"/>
    <n v="16350"/>
    <n v="19690"/>
    <n v="3340"/>
    <n v="3270"/>
    <n v="6"/>
    <n v="3264"/>
    <n v="1920"/>
    <n v="6266880"/>
    <s v="출고"/>
    <m/>
  </r>
  <r>
    <n v="32"/>
    <d v="2026-05-07T00:00:00"/>
    <x v="5"/>
    <s v="원방"/>
    <s v="집게차"/>
    <s v="87주8410"/>
    <s v="배민국"/>
    <s v="010-9110-0126"/>
    <x v="0"/>
    <x v="23"/>
    <n v="19680"/>
    <n v="20930"/>
    <n v="1250"/>
    <n v="1230"/>
    <n v="9"/>
    <n v="1221"/>
    <n v="1650"/>
    <n v="2014650"/>
    <s v="출고"/>
    <m/>
  </r>
  <r>
    <n v="33"/>
    <d v="2026-05-07T00:00:00"/>
    <x v="1"/>
    <s v="원방"/>
    <s v="집게차"/>
    <s v="96거5789"/>
    <s v="배민국"/>
    <s v="010-9110-0126"/>
    <x v="0"/>
    <x v="0"/>
    <n v="13450"/>
    <n v="20340"/>
    <n v="6890"/>
    <n v="2430"/>
    <m/>
    <n v="2430"/>
    <n v="1920"/>
    <n v="4665600"/>
    <s v="출고"/>
    <m/>
  </r>
  <r>
    <n v="34"/>
    <d v="2026-05-07T00:00:00"/>
    <x v="1"/>
    <s v="원방"/>
    <s v="집게차"/>
    <s v="96거5789"/>
    <s v="배민국"/>
    <s v="010-9110-0126"/>
    <x v="0"/>
    <x v="24"/>
    <m/>
    <m/>
    <m/>
    <n v="4410"/>
    <m/>
    <n v="4410"/>
    <n v="1850"/>
    <n v="8158500"/>
    <s v="출고"/>
    <m/>
  </r>
  <r>
    <n v="35"/>
    <d v="2026-05-08T00:00:00"/>
    <x v="1"/>
    <s v="원방"/>
    <s v="집게차"/>
    <s v="87주8410"/>
    <s v="배민국"/>
    <s v="010-9110-0126"/>
    <x v="4"/>
    <x v="20"/>
    <n v="15150"/>
    <n v="18380"/>
    <n v="3230"/>
    <n v="3460"/>
    <m/>
    <n v="3460"/>
    <n v="420"/>
    <n v="1453200"/>
    <s v="출고"/>
    <m/>
  </r>
  <r>
    <n v="36"/>
    <d v="2026-05-08T00:00:00"/>
    <x v="2"/>
    <s v="원방"/>
    <s v="집게차"/>
    <s v="87주8410"/>
    <s v="배민국"/>
    <s v="010-9110-0126"/>
    <x v="4"/>
    <x v="20"/>
    <n v="14060"/>
    <n v="15150"/>
    <n v="1090"/>
    <n v="1090"/>
    <m/>
    <n v="1090"/>
    <n v="420"/>
    <n v="457800"/>
    <s v="출고"/>
    <m/>
  </r>
  <r>
    <n v="37"/>
    <d v="2026-05-09T00:00:00"/>
    <x v="1"/>
    <s v="원방"/>
    <s v="집게차"/>
    <s v="87주8410"/>
    <s v="배민국"/>
    <s v="010-9110-0126"/>
    <x v="4"/>
    <x v="20"/>
    <n v="14160"/>
    <n v="16830"/>
    <n v="2670"/>
    <n v="3000"/>
    <m/>
    <n v="3000"/>
    <n v="420"/>
    <n v="1260000"/>
    <s v="출고"/>
    <m/>
  </r>
  <r>
    <n v="38"/>
    <d v="2026-05-09T00:00:00"/>
    <x v="1"/>
    <s v="원방"/>
    <s v="집게차"/>
    <s v="87주8410"/>
    <s v="배민국"/>
    <s v="010-9110-0126"/>
    <x v="4"/>
    <x v="20"/>
    <n v="14090"/>
    <n v="17700"/>
    <n v="3610"/>
    <n v="3600"/>
    <m/>
    <n v="3600"/>
    <n v="420"/>
    <n v="1512000"/>
    <s v="출고"/>
    <m/>
  </r>
  <r>
    <n v="39"/>
    <d v="2026-05-09T00:00:00"/>
    <x v="6"/>
    <s v="원방"/>
    <s v="집게차"/>
    <s v="96거5789"/>
    <s v="배민국"/>
    <s v="010-9110-0126"/>
    <x v="4"/>
    <x v="17"/>
    <n v="14050"/>
    <n v="15750"/>
    <n v="1700"/>
    <n v="1720"/>
    <m/>
    <n v="1720"/>
    <n v="410"/>
    <n v="705200"/>
    <s v="출고"/>
    <m/>
  </r>
  <r>
    <n v="40"/>
    <d v="2026-05-11T00:00:00"/>
    <x v="1"/>
    <s v="원방"/>
    <s v="최명동 집게차"/>
    <s v="82모8185"/>
    <s v="최명동"/>
    <m/>
    <x v="3"/>
    <x v="25"/>
    <n v="12930"/>
    <n v="16020"/>
    <n v="2030"/>
    <n v="2030"/>
    <n v="10"/>
    <n v="2020"/>
    <n v="3900"/>
    <n v="7878000"/>
    <s v="출고"/>
    <m/>
  </r>
  <r>
    <n v="41"/>
    <d v="2026-05-11T00:00:00"/>
    <x v="3"/>
    <s v="원방"/>
    <s v="최명동 집게차"/>
    <s v="82모8185"/>
    <s v="최명동"/>
    <m/>
    <x v="3"/>
    <x v="25"/>
    <m/>
    <m/>
    <n v="900"/>
    <n v="900"/>
    <m/>
    <n v="900"/>
    <n v="3900"/>
    <n v="3510000"/>
    <s v="출고"/>
    <m/>
  </r>
  <r>
    <n v="42"/>
    <d v="2026-05-11T00:00:00"/>
    <x v="2"/>
    <s v="원방"/>
    <s v="최명동 집게차"/>
    <s v="82모8185"/>
    <s v="최명동"/>
    <m/>
    <x v="3"/>
    <x v="25"/>
    <m/>
    <m/>
    <n v="100"/>
    <n v="100"/>
    <m/>
    <n v="100"/>
    <n v="3900"/>
    <n v="390000"/>
    <s v="출고"/>
    <m/>
  </r>
  <r>
    <n v="43"/>
    <d v="2026-05-11T00:00:00"/>
    <x v="6"/>
    <s v="원방"/>
    <s v="최명동 집게차"/>
    <s v="82모8185"/>
    <s v="최명동"/>
    <m/>
    <x v="3"/>
    <x v="25"/>
    <m/>
    <m/>
    <n v="60"/>
    <n v="60"/>
    <m/>
    <n v="60"/>
    <n v="3900"/>
    <n v="234000"/>
    <s v="출고"/>
    <m/>
  </r>
  <r>
    <n v="44"/>
    <d v="2026-05-12T00:00:00"/>
    <x v="1"/>
    <s v="원방"/>
    <s v="방통차"/>
    <s v="충남94바3450"/>
    <s v="구형서"/>
    <s v="010-4889-4456"/>
    <x v="1"/>
    <x v="5"/>
    <n v="18360"/>
    <n v="42030"/>
    <n v="19420"/>
    <n v="19430"/>
    <m/>
    <n v="19420"/>
    <n v="19600"/>
    <n v="380632000"/>
    <s v="출고"/>
    <m/>
  </r>
  <r>
    <n v="45"/>
    <d v="2026-05-12T00:00:00"/>
    <x v="2"/>
    <s v="원방"/>
    <s v="방통차"/>
    <s v="충남94바3450"/>
    <s v="구형서"/>
    <s v="010-4889-4456"/>
    <x v="1"/>
    <x v="5"/>
    <m/>
    <m/>
    <n v="800"/>
    <n v="800"/>
    <m/>
    <n v="800"/>
    <n v="19600"/>
    <n v="15680000"/>
    <s v="출고"/>
    <m/>
  </r>
  <r>
    <n v="46"/>
    <d v="2026-05-12T00:00:00"/>
    <x v="7"/>
    <s v="원방"/>
    <s v="방통차"/>
    <s v="충남94바3450"/>
    <s v="구형서"/>
    <s v="010-4889-4456"/>
    <x v="1"/>
    <x v="5"/>
    <m/>
    <m/>
    <n v="3450"/>
    <n v="3450"/>
    <m/>
    <n v="3450"/>
    <n v="19600"/>
    <n v="67620000"/>
    <s v="출고"/>
    <m/>
  </r>
  <r>
    <n v="47"/>
    <d v="2026-05-12T00:00:00"/>
    <x v="1"/>
    <s v="원방"/>
    <s v="방통차"/>
    <s v="충남94바3450"/>
    <s v="구형서"/>
    <s v="010-4889-4456"/>
    <x v="1"/>
    <x v="5"/>
    <n v="42030"/>
    <n v="42970"/>
    <n v="940"/>
    <n v="940"/>
    <m/>
    <n v="940"/>
    <n v="19600"/>
    <n v="18424000"/>
    <s v="출고"/>
    <m/>
  </r>
  <r>
    <n v="48"/>
    <d v="2026-05-12T00:00:00"/>
    <x v="1"/>
    <s v="원방"/>
    <s v="방통차"/>
    <s v="전남80바2667"/>
    <s v="김기용"/>
    <s v="010-2811-2300"/>
    <x v="1"/>
    <x v="26"/>
    <n v="18780"/>
    <n v="24690"/>
    <n v="5910"/>
    <n v="4930"/>
    <n v="18"/>
    <n v="4912"/>
    <n v="19200"/>
    <n v="94310400"/>
    <s v="출고"/>
    <m/>
  </r>
  <r>
    <n v="49"/>
    <d v="2026-05-12T00:00:00"/>
    <x v="7"/>
    <s v="원방"/>
    <s v="방통차"/>
    <s v="전남80바2667"/>
    <s v="김기용"/>
    <s v="010-2811-2300"/>
    <x v="1"/>
    <x v="6"/>
    <n v="24690"/>
    <n v="39200"/>
    <n v="12080"/>
    <n v="13070"/>
    <n v="21"/>
    <n v="13049"/>
    <n v="18800"/>
    <n v="245321200"/>
    <s v="출고"/>
    <m/>
  </r>
  <r>
    <n v="50"/>
    <d v="2026-05-12T00:00:00"/>
    <x v="1"/>
    <s v="원방"/>
    <m/>
    <s v="전남80바2667"/>
    <s v="김기용"/>
    <s v="010-2811-2300"/>
    <x v="1"/>
    <x v="6"/>
    <m/>
    <m/>
    <n v="2150"/>
    <n v="2150"/>
    <m/>
    <n v="2150"/>
    <n v="18800"/>
    <n v="40420000"/>
    <s v="출고"/>
    <m/>
  </r>
  <r>
    <n v="51"/>
    <d v="2026-05-12T00:00:00"/>
    <x v="2"/>
    <s v="원방"/>
    <s v="방통차"/>
    <s v="전남80바2667"/>
    <s v="김기용"/>
    <s v="010-2811-2300"/>
    <x v="1"/>
    <x v="6"/>
    <m/>
    <m/>
    <n v="280"/>
    <n v="280"/>
    <m/>
    <n v="280"/>
    <n v="18800"/>
    <n v="5264000"/>
    <s v="출고"/>
    <m/>
  </r>
  <r>
    <n v="52"/>
    <d v="2026-05-12T00:00:00"/>
    <x v="1"/>
    <s v="원방"/>
    <s v="방통차"/>
    <s v="전남86바1578"/>
    <s v="김영윤"/>
    <s v="010-3999-1056"/>
    <x v="1"/>
    <x v="27"/>
    <n v="18160"/>
    <n v="42940"/>
    <n v="24780"/>
    <n v="24960"/>
    <m/>
    <n v="24780"/>
    <n v="7960"/>
    <n v="197248800"/>
    <s v="출고"/>
    <m/>
  </r>
  <r>
    <n v="53"/>
    <d v="2026-05-12T00:00:00"/>
    <x v="7"/>
    <s v="원방"/>
    <s v="집게차"/>
    <s v="89러0134"/>
    <s v="다문산업"/>
    <m/>
    <x v="1"/>
    <x v="28"/>
    <n v="12900"/>
    <n v="16640"/>
    <n v="1500"/>
    <n v="1500"/>
    <m/>
    <n v="1500"/>
    <n v="7960"/>
    <n v="11940000"/>
    <s v="출고"/>
    <m/>
  </r>
  <r>
    <n v="54"/>
    <d v="2026-05-12T00:00:00"/>
    <x v="1"/>
    <s v="원방"/>
    <s v="집게차"/>
    <s v="89러0134"/>
    <s v="다문산업"/>
    <m/>
    <x v="1"/>
    <x v="28"/>
    <m/>
    <m/>
    <n v="1230"/>
    <n v="1250"/>
    <m/>
    <n v="1230"/>
    <n v="7960"/>
    <n v="9790800"/>
    <s v="출고"/>
    <m/>
  </r>
  <r>
    <n v="55"/>
    <d v="2026-05-12T00:00:00"/>
    <x v="6"/>
    <s v="원방"/>
    <s v="집게차"/>
    <s v="89러0134"/>
    <s v="다문산업"/>
    <m/>
    <x v="1"/>
    <x v="28"/>
    <m/>
    <m/>
    <n v="1010"/>
    <n v="1010"/>
    <m/>
    <n v="1010"/>
    <n v="7960"/>
    <n v="8039600"/>
    <s v="출고"/>
    <m/>
  </r>
  <r>
    <n v="56"/>
    <d v="2026-05-12T00:00:00"/>
    <x v="7"/>
    <s v="원방"/>
    <s v="집게차"/>
    <s v="89러0134"/>
    <s v="다문산업"/>
    <m/>
    <x v="1"/>
    <x v="28"/>
    <n v="16640"/>
    <n v="22260"/>
    <n v="5620"/>
    <n v="5620"/>
    <m/>
    <n v="5620"/>
    <n v="7960"/>
    <n v="44735200"/>
    <s v="출고"/>
    <m/>
  </r>
  <r>
    <n v="57"/>
    <d v="2026-05-12T00:00:00"/>
    <x v="6"/>
    <s v="원방"/>
    <s v="집게차"/>
    <s v="89러0134"/>
    <s v="다문산업"/>
    <m/>
    <x v="1"/>
    <x v="29"/>
    <n v="22260"/>
    <n v="23590"/>
    <n v="660"/>
    <n v="660"/>
    <n v="6"/>
    <n v="654"/>
    <n v="12340"/>
    <n v="8070360"/>
    <s v="출고"/>
    <m/>
  </r>
  <r>
    <n v="58"/>
    <d v="2026-05-12T00:00:00"/>
    <x v="1"/>
    <s v="원방"/>
    <s v="집게차"/>
    <s v="89러0134"/>
    <s v="다문산업"/>
    <m/>
    <x v="1"/>
    <x v="29"/>
    <m/>
    <m/>
    <n v="670"/>
    <n v="670"/>
    <n v="21"/>
    <n v="649"/>
    <n v="12340"/>
    <n v="8008660"/>
    <s v="출고"/>
    <m/>
  </r>
  <r>
    <n v="59"/>
    <d v="2026-05-13T00:00:00"/>
    <x v="1"/>
    <s v="정민산업"/>
    <s v="카고"/>
    <s v="경기80바7139"/>
    <m/>
    <m/>
    <x v="5"/>
    <x v="30"/>
    <n v="7930"/>
    <n v="14670"/>
    <n v="-6740"/>
    <m/>
    <m/>
    <n v="-6740"/>
    <m/>
    <n v="-1250000"/>
    <s v="반납"/>
    <m/>
  </r>
  <r>
    <n v="60"/>
    <d v="2026-05-13T00:00:00"/>
    <x v="5"/>
    <s v="원방"/>
    <s v="1톤트럭"/>
    <s v="81구6225"/>
    <s v="김태정"/>
    <s v="010-3311-8084"/>
    <x v="0"/>
    <x v="31"/>
    <n v="2140"/>
    <n v="2730"/>
    <n v="590"/>
    <n v="563.5"/>
    <n v="3"/>
    <n v="560.5"/>
    <n v="13000"/>
    <n v="7286500"/>
    <s v="출고"/>
    <m/>
  </r>
  <r>
    <n v="61"/>
    <d v="2026-05-13T00:00:00"/>
    <x v="4"/>
    <s v="원방"/>
    <s v="1톤트럭"/>
    <s v="81구6225"/>
    <s v="김태정"/>
    <s v="010-3311-8084"/>
    <x v="0"/>
    <x v="32"/>
    <n v="2730"/>
    <n v="3050"/>
    <n v="320"/>
    <n v="125.5"/>
    <m/>
    <n v="125.5"/>
    <n v="18000"/>
    <n v="2259000"/>
    <s v="출고"/>
    <m/>
  </r>
  <r>
    <n v="62"/>
    <d v="2026-05-13T00:00:00"/>
    <x v="4"/>
    <s v="원방"/>
    <s v="1톤트럭"/>
    <s v="81구6225"/>
    <s v="김태정"/>
    <s v="010-3311-8084"/>
    <x v="0"/>
    <x v="0"/>
    <m/>
    <m/>
    <m/>
    <n v="185.5"/>
    <m/>
    <n v="185.5"/>
    <n v="1900"/>
    <n v="352450"/>
    <s v="출고"/>
    <m/>
  </r>
  <r>
    <n v="63"/>
    <d v="2026-05-13T00:00:00"/>
    <x v="1"/>
    <s v="원방"/>
    <s v="1톤트럭"/>
    <s v="81구6225"/>
    <s v="김태정"/>
    <s v="010-3311-8084"/>
    <x v="0"/>
    <x v="33"/>
    <n v="3050"/>
    <n v="3170"/>
    <n v="120"/>
    <n v="114"/>
    <n v="3"/>
    <n v="111"/>
    <n v="50000"/>
    <n v="5550000"/>
    <s v="출고"/>
    <m/>
  </r>
  <r>
    <n v="64"/>
    <d v="2026-05-13T00:00:00"/>
    <x v="1"/>
    <s v="현장"/>
    <s v="방통차"/>
    <s v="경기90자2889"/>
    <m/>
    <m/>
    <x v="2"/>
    <x v="14"/>
    <n v="18700"/>
    <n v="42920"/>
    <n v="24220"/>
    <n v="24130"/>
    <m/>
    <n v="24220"/>
    <n v="480"/>
    <n v="11625600"/>
    <s v="출고"/>
    <m/>
  </r>
  <r>
    <n v="65"/>
    <d v="2026-05-13T00:00:00"/>
    <x v="1"/>
    <s v="현장"/>
    <s v="방통차"/>
    <s v="경기80바7145"/>
    <m/>
    <m/>
    <x v="2"/>
    <x v="14"/>
    <n v="18520"/>
    <n v="43200"/>
    <n v="24680"/>
    <n v="24570"/>
    <m/>
    <n v="24680"/>
    <n v="480"/>
    <n v="11846400"/>
    <s v="출고"/>
    <m/>
  </r>
  <r>
    <n v="66"/>
    <d v="2026-05-13T00:00:00"/>
    <x v="1"/>
    <s v="현장"/>
    <s v="방통차"/>
    <s v="충북91아2060"/>
    <m/>
    <m/>
    <x v="2"/>
    <x v="14"/>
    <n v="18140"/>
    <n v="43960"/>
    <n v="25820"/>
    <n v="25720"/>
    <m/>
    <n v="25820"/>
    <n v="480"/>
    <n v="12393600"/>
    <s v="출고"/>
    <m/>
  </r>
  <r>
    <n v="67"/>
    <d v="2026-05-13T00:00:00"/>
    <x v="1"/>
    <s v="현장"/>
    <s v="방통차"/>
    <s v="서울82바4890"/>
    <m/>
    <m/>
    <x v="2"/>
    <x v="14"/>
    <n v="18460"/>
    <n v="43520"/>
    <n v="25060"/>
    <n v="24960"/>
    <m/>
    <n v="25060"/>
    <n v="480"/>
    <n v="12028800"/>
    <s v="출고"/>
    <m/>
  </r>
  <r>
    <n v="68"/>
    <d v="2026-05-13T00:00:00"/>
    <x v="1"/>
    <s v="현장"/>
    <s v="방통차"/>
    <s v="서울88아4910"/>
    <m/>
    <m/>
    <x v="2"/>
    <x v="14"/>
    <n v="17940"/>
    <n v="43200"/>
    <n v="25260"/>
    <n v="25150"/>
    <m/>
    <n v="25260"/>
    <n v="480"/>
    <n v="12124800"/>
    <s v="출고"/>
    <m/>
  </r>
  <r>
    <n v="69"/>
    <d v="2026-05-13T00:00:00"/>
    <x v="1"/>
    <s v="현장"/>
    <s v="방통차"/>
    <s v="인천80자1904"/>
    <s v="배조성"/>
    <s v="010-4737-6803"/>
    <x v="2"/>
    <x v="14"/>
    <n v="18540"/>
    <n v="42920"/>
    <n v="24380"/>
    <n v="24370"/>
    <m/>
    <n v="24380"/>
    <n v="480"/>
    <n v="11702400"/>
    <s v="출고"/>
    <m/>
  </r>
  <r>
    <n v="70"/>
    <d v="2026-05-13T00:00:00"/>
    <x v="1"/>
    <s v="현장"/>
    <s v="방통차"/>
    <s v="인천80사7274"/>
    <m/>
    <m/>
    <x v="2"/>
    <x v="14"/>
    <n v="18300"/>
    <n v="42760"/>
    <n v="24460"/>
    <n v="24400"/>
    <m/>
    <n v="24460"/>
    <n v="480"/>
    <n v="11740800"/>
    <s v="출고"/>
    <m/>
  </r>
  <r>
    <n v="71"/>
    <d v="2026-05-13T00:00:00"/>
    <x v="1"/>
    <s v="현장"/>
    <s v="방통차"/>
    <s v="경기90자2889"/>
    <m/>
    <m/>
    <x v="2"/>
    <x v="14"/>
    <n v="18580"/>
    <n v="42660"/>
    <n v="24080"/>
    <n v="23900"/>
    <m/>
    <n v="24080"/>
    <n v="480"/>
    <n v="11558400"/>
    <s v="출고"/>
    <m/>
  </r>
  <r>
    <n v="72"/>
    <d v="2026-05-13T00:00:00"/>
    <x v="1"/>
    <s v="현장"/>
    <s v="방통차"/>
    <s v="경기80바7145"/>
    <m/>
    <m/>
    <x v="2"/>
    <x v="14"/>
    <n v="18360"/>
    <n v="43320"/>
    <n v="24960"/>
    <n v="24940"/>
    <m/>
    <n v="24960"/>
    <n v="480"/>
    <n v="11980800"/>
    <s v="출고"/>
    <m/>
  </r>
  <r>
    <n v="73"/>
    <d v="2026-05-13T00:00:00"/>
    <x v="1"/>
    <s v="현장"/>
    <s v="방통차"/>
    <s v="서울87아8165"/>
    <m/>
    <m/>
    <x v="2"/>
    <x v="14"/>
    <n v="18500"/>
    <n v="42880"/>
    <n v="24380"/>
    <n v="24240"/>
    <m/>
    <n v="24380"/>
    <n v="480"/>
    <n v="11702400"/>
    <s v="출고"/>
    <m/>
  </r>
  <r>
    <n v="74"/>
    <d v="2026-05-14T00:00:00"/>
    <x v="1"/>
    <s v="원방"/>
    <s v="집게차"/>
    <s v="89러0134"/>
    <s v="다문산업"/>
    <m/>
    <x v="1"/>
    <x v="34"/>
    <n v="12920"/>
    <n v="22270"/>
    <n v="5610"/>
    <n v="5610"/>
    <n v="21"/>
    <n v="5589"/>
    <n v="3700"/>
    <n v="20679300"/>
    <s v="출고"/>
    <m/>
  </r>
  <r>
    <n v="75"/>
    <d v="2026-05-14T00:00:00"/>
    <x v="7"/>
    <s v="원방"/>
    <s v="집게차"/>
    <s v="89러0134"/>
    <s v="다문산업"/>
    <m/>
    <x v="1"/>
    <x v="34"/>
    <m/>
    <m/>
    <n v="3740"/>
    <n v="3740"/>
    <n v="12"/>
    <n v="3728"/>
    <n v="3700"/>
    <n v="13793600"/>
    <s v="출고"/>
    <m/>
  </r>
  <r>
    <n v="76"/>
    <d v="2026-05-14T00:00:00"/>
    <x v="1"/>
    <s v="원방"/>
    <s v="집게차"/>
    <s v="89러0134"/>
    <s v="다문산업"/>
    <m/>
    <x v="1"/>
    <x v="3"/>
    <n v="22260"/>
    <n v="25170"/>
    <n v="2910"/>
    <n v="2910"/>
    <n v="39"/>
    <n v="2871"/>
    <n v="10600"/>
    <n v="30432600"/>
    <s v="출고"/>
    <m/>
  </r>
  <r>
    <n v="77"/>
    <d v="2026-05-14T00:00:00"/>
    <x v="1"/>
    <s v="원방"/>
    <s v="집게차"/>
    <s v="89러0134"/>
    <s v="다문산업"/>
    <m/>
    <x v="1"/>
    <x v="35"/>
    <n v="25170"/>
    <n v="26770"/>
    <n v="1600"/>
    <n v="1620"/>
    <m/>
    <n v="1600"/>
    <n v="18200"/>
    <n v="29120000"/>
    <s v="출고"/>
    <m/>
  </r>
  <r>
    <n v="78"/>
    <d v="2026-05-14T00:00:00"/>
    <x v="1"/>
    <s v="현장"/>
    <s v="방통차"/>
    <s v="서울87아8165"/>
    <m/>
    <m/>
    <x v="2"/>
    <x v="14"/>
    <n v="18500"/>
    <n v="42800"/>
    <n v="24300"/>
    <n v="24260"/>
    <m/>
    <n v="24300"/>
    <n v="480"/>
    <n v="11664000"/>
    <s v="출고"/>
    <m/>
  </r>
  <r>
    <n v="79"/>
    <d v="2026-05-14T00:00:00"/>
    <x v="1"/>
    <s v="현장"/>
    <s v="방통차"/>
    <s v="서울82바4890"/>
    <m/>
    <m/>
    <x v="2"/>
    <x v="14"/>
    <n v="18500"/>
    <n v="43060"/>
    <n v="24560"/>
    <n v="24540"/>
    <m/>
    <n v="24560"/>
    <n v="480"/>
    <n v="11788800"/>
    <s v="출고"/>
    <m/>
  </r>
  <r>
    <n v="80"/>
    <d v="2026-05-14T00:00:00"/>
    <x v="1"/>
    <s v="현장"/>
    <s v="방통차"/>
    <s v="경기80바7145"/>
    <m/>
    <m/>
    <x v="2"/>
    <x v="14"/>
    <n v="18380"/>
    <n v="42500"/>
    <n v="24120"/>
    <n v="23950"/>
    <m/>
    <n v="24120"/>
    <n v="480"/>
    <n v="11577600"/>
    <s v="출고"/>
    <m/>
  </r>
  <r>
    <n v="81"/>
    <d v="2026-05-14T00:00:00"/>
    <x v="1"/>
    <s v="현장"/>
    <s v="방통차"/>
    <s v="서울88아4910"/>
    <m/>
    <m/>
    <x v="2"/>
    <x v="14"/>
    <n v="17920"/>
    <n v="42660"/>
    <n v="24740"/>
    <n v="24630"/>
    <m/>
    <n v="24740"/>
    <n v="480"/>
    <n v="11875200"/>
    <s v="출고"/>
    <m/>
  </r>
  <r>
    <n v="82"/>
    <d v="2026-05-14T00:00:00"/>
    <x v="1"/>
    <s v="현장"/>
    <s v="방통차"/>
    <s v="인천80자1932"/>
    <s v="이종화"/>
    <s v="010-5396-9846"/>
    <x v="2"/>
    <x v="14"/>
    <n v="18400"/>
    <n v="43580"/>
    <n v="25180"/>
    <n v="25110"/>
    <m/>
    <n v="25180"/>
    <n v="480"/>
    <n v="12086400"/>
    <s v="출고"/>
    <m/>
  </r>
  <r>
    <n v="83"/>
    <d v="2026-05-14T00:00:00"/>
    <x v="1"/>
    <s v="현장"/>
    <s v="방통차"/>
    <s v="인천80사7274"/>
    <m/>
    <m/>
    <x v="2"/>
    <x v="14"/>
    <n v="18420"/>
    <n v="42360"/>
    <n v="23940"/>
    <n v="23900"/>
    <m/>
    <n v="23940"/>
    <n v="480"/>
    <n v="11491200"/>
    <s v="출고"/>
    <m/>
  </r>
  <r>
    <n v="84"/>
    <d v="2026-05-14T00:00:00"/>
    <x v="1"/>
    <s v="현장"/>
    <s v="방통차"/>
    <s v="경기80바6092"/>
    <m/>
    <m/>
    <x v="2"/>
    <x v="14"/>
    <n v="18800"/>
    <n v="42060"/>
    <n v="23260"/>
    <n v="23220"/>
    <m/>
    <n v="23260"/>
    <n v="480"/>
    <n v="11164800"/>
    <s v="출고"/>
    <m/>
  </r>
  <r>
    <n v="85"/>
    <d v="2026-05-14T00:00:00"/>
    <x v="1"/>
    <s v="현장"/>
    <s v="방통차"/>
    <s v="서울87아8165"/>
    <m/>
    <m/>
    <x v="2"/>
    <x v="14"/>
    <n v="18460"/>
    <n v="42120"/>
    <n v="23660"/>
    <n v="23650"/>
    <m/>
    <n v="23660"/>
    <n v="480"/>
    <n v="11356800"/>
    <s v="출고"/>
    <m/>
  </r>
  <r>
    <n v="86"/>
    <d v="2026-05-14T00:00:00"/>
    <x v="1"/>
    <s v="현장"/>
    <s v="방통차"/>
    <s v="서울82바4890"/>
    <m/>
    <m/>
    <x v="2"/>
    <x v="14"/>
    <n v="18700"/>
    <n v="43040"/>
    <n v="24340"/>
    <n v="24290"/>
    <m/>
    <n v="24340"/>
    <n v="480"/>
    <n v="11683200"/>
    <s v="출고"/>
    <m/>
  </r>
  <r>
    <n v="87"/>
    <d v="2026-05-14T00:00:00"/>
    <x v="1"/>
    <s v="현장"/>
    <s v="방통차"/>
    <s v="경기80바7145"/>
    <m/>
    <m/>
    <x v="2"/>
    <x v="14"/>
    <n v="18500"/>
    <n v="42840"/>
    <n v="24340"/>
    <n v="24270"/>
    <m/>
    <n v="24340"/>
    <n v="480"/>
    <n v="11683200"/>
    <s v="출고"/>
    <m/>
  </r>
  <r>
    <n v="88"/>
    <d v="2026-05-15T00:00:00"/>
    <x v="1"/>
    <s v="현장"/>
    <s v="방통차"/>
    <s v="인천80자1904"/>
    <s v="배조성"/>
    <s v="010-4737-6803"/>
    <x v="2"/>
    <x v="14"/>
    <n v="18560"/>
    <n v="43580"/>
    <n v="25020"/>
    <m/>
    <m/>
    <n v="25020"/>
    <n v="480"/>
    <n v="12009600"/>
    <s v="출고"/>
    <m/>
  </r>
  <r>
    <n v="89"/>
    <d v="2026-05-15T00:00:00"/>
    <x v="1"/>
    <s v="현장"/>
    <s v="방통차"/>
    <s v="인천85아5409"/>
    <s v="김문중"/>
    <s v="010-6667-8255"/>
    <x v="2"/>
    <x v="14"/>
    <n v="18240"/>
    <n v="42480"/>
    <n v="24240"/>
    <m/>
    <m/>
    <n v="24240"/>
    <n v="480"/>
    <n v="11635200"/>
    <s v="출고"/>
    <m/>
  </r>
  <r>
    <n v="90"/>
    <d v="2026-05-15T00:00:00"/>
    <x v="1"/>
    <s v="현장"/>
    <s v="방통차"/>
    <s v="인천80자1932"/>
    <s v="이종화"/>
    <s v="010-5396-9846"/>
    <x v="2"/>
    <x v="14"/>
    <n v="18400"/>
    <n v="43240"/>
    <n v="24840"/>
    <m/>
    <m/>
    <n v="24840"/>
    <n v="480"/>
    <n v="11923200"/>
    <s v="출고"/>
    <m/>
  </r>
  <r>
    <n v="91"/>
    <d v="2026-05-15T00:00:00"/>
    <x v="1"/>
    <s v="현장"/>
    <s v="방통차"/>
    <s v="서울87아7712"/>
    <s v="김기범"/>
    <s v="010-7700-7041"/>
    <x v="2"/>
    <x v="14"/>
    <n v="18740"/>
    <n v="43220"/>
    <n v="24480"/>
    <m/>
    <m/>
    <n v="24480"/>
    <n v="480"/>
    <n v="11750400"/>
    <s v="출고"/>
    <m/>
  </r>
  <r>
    <n v="92"/>
    <d v="2026-05-15T00:00:00"/>
    <x v="1"/>
    <s v="현장"/>
    <s v="방통차"/>
    <s v="대구84아9559"/>
    <s v="임상현"/>
    <s v="010-4714-8294"/>
    <x v="2"/>
    <x v="14"/>
    <n v="18760"/>
    <n v="42460"/>
    <n v="23700"/>
    <m/>
    <m/>
    <n v="23700"/>
    <n v="480"/>
    <n v="11376000"/>
    <s v="출고"/>
    <m/>
  </r>
  <r>
    <n v="93"/>
    <d v="2026-05-15T00:00:00"/>
    <x v="1"/>
    <s v="현장"/>
    <s v="방통차"/>
    <s v="인천85바3859"/>
    <s v="김태동"/>
    <s v="010-7504-1068"/>
    <x v="2"/>
    <x v="14"/>
    <n v="18420"/>
    <n v="43020"/>
    <n v="24600"/>
    <m/>
    <m/>
    <n v="24600"/>
    <n v="480"/>
    <n v="11808000"/>
    <s v="출고"/>
    <m/>
  </r>
  <r>
    <n v="94"/>
    <d v="2026-05-16T00:00:00"/>
    <x v="8"/>
    <s v="현장"/>
    <s v="집게차"/>
    <s v="87주8410"/>
    <s v="배민국"/>
    <s v="010-9110-0126"/>
    <x v="2"/>
    <x v="20"/>
    <n v="13930"/>
    <n v="17800"/>
    <n v="3870"/>
    <n v="3850"/>
    <m/>
    <n v="3870"/>
    <n v="445"/>
    <n v="1722150"/>
    <s v="출고"/>
    <m/>
  </r>
  <r>
    <n v="95"/>
    <d v="2026-05-16T00:00:00"/>
    <x v="1"/>
    <s v="현장"/>
    <s v="방통차"/>
    <s v="서울88아3514"/>
    <s v="박인규"/>
    <s v="010-5332-9890"/>
    <x v="2"/>
    <x v="36"/>
    <n v="18520"/>
    <n v="33300"/>
    <n v="14780"/>
    <n v="14630"/>
    <m/>
    <n v="14780"/>
    <n v="460"/>
    <n v="6798800"/>
    <s v="출고"/>
    <m/>
  </r>
  <r>
    <n v="96"/>
    <d v="2026-05-16T00:00:00"/>
    <x v="1"/>
    <s v="현장"/>
    <s v="방통차"/>
    <s v="인천95바4643"/>
    <s v="홍정희"/>
    <s v="010-6224-9825"/>
    <x v="2"/>
    <x v="14"/>
    <n v="19060"/>
    <n v="42140"/>
    <n v="23080"/>
    <n v="23020"/>
    <m/>
    <n v="23080"/>
    <n v="480"/>
    <n v="11078400"/>
    <s v="출고"/>
    <m/>
  </r>
  <r>
    <n v="97"/>
    <d v="2026-05-16T00:00:00"/>
    <x v="1"/>
    <s v="현장"/>
    <s v="방통차"/>
    <s v="경기93자8201"/>
    <m/>
    <m/>
    <x v="2"/>
    <x v="36"/>
    <n v="18840"/>
    <n v="33780"/>
    <n v="14940"/>
    <n v="13460"/>
    <m/>
    <n v="14940"/>
    <n v="460"/>
    <n v="6872400"/>
    <s v="출고"/>
    <m/>
  </r>
  <r>
    <n v="98"/>
    <d v="2026-05-16T00:00:00"/>
    <x v="1"/>
    <s v="현장"/>
    <s v="방통차"/>
    <s v="경기80바6092"/>
    <m/>
    <m/>
    <x v="2"/>
    <x v="14"/>
    <n v="18840"/>
    <n v="41780"/>
    <n v="22940"/>
    <n v="22810"/>
    <m/>
    <n v="22940"/>
    <n v="480"/>
    <n v="11011200"/>
    <s v="출고"/>
    <m/>
  </r>
  <r>
    <n v="99"/>
    <d v="2026-05-16T00:00:00"/>
    <x v="1"/>
    <s v="현장"/>
    <s v="방통차"/>
    <s v="서울87아7712"/>
    <s v="김기범"/>
    <s v="010-7700-7041"/>
    <x v="2"/>
    <x v="36"/>
    <n v="18740"/>
    <n v="31080"/>
    <n v="12340"/>
    <n v="12320"/>
    <m/>
    <n v="12340"/>
    <n v="460"/>
    <n v="5676400"/>
    <s v="출고"/>
    <m/>
  </r>
  <r>
    <n v="100"/>
    <d v="2026-05-16T00:00:00"/>
    <x v="1"/>
    <s v="현장"/>
    <s v="방통차"/>
    <s v="대전89아7686"/>
    <s v="김민욱"/>
    <s v="010-7139-2998"/>
    <x v="2"/>
    <x v="36"/>
    <n v="18640"/>
    <n v="32020"/>
    <n v="13380"/>
    <n v="13340"/>
    <m/>
    <n v="13380"/>
    <n v="460"/>
    <n v="6154800"/>
    <s v="출고"/>
    <m/>
  </r>
  <r>
    <n v="101"/>
    <d v="2026-05-16T00:00:00"/>
    <x v="1"/>
    <s v="현장"/>
    <s v="방통차"/>
    <s v="인천85바9168"/>
    <s v="최원곤"/>
    <s v="010-6495-2983"/>
    <x v="2"/>
    <x v="36"/>
    <n v="18440"/>
    <n v="33500"/>
    <n v="15060"/>
    <n v="14890"/>
    <m/>
    <n v="15060"/>
    <n v="460"/>
    <n v="6927600"/>
    <s v="출고"/>
    <m/>
  </r>
  <r>
    <n v="102"/>
    <d v="2026-05-16T00:00:00"/>
    <x v="1"/>
    <s v="현장"/>
    <s v="방통차"/>
    <s v="충북91아2060"/>
    <m/>
    <m/>
    <x v="2"/>
    <x v="14"/>
    <n v="17960"/>
    <n v="43060"/>
    <n v="25100"/>
    <n v="25060"/>
    <m/>
    <n v="25100"/>
    <n v="480"/>
    <n v="12048000"/>
    <s v="출고"/>
    <m/>
  </r>
  <r>
    <n v="103"/>
    <d v="2026-05-16T00:00:00"/>
    <x v="1"/>
    <s v="현장"/>
    <s v="방통차"/>
    <s v="인천80아8306"/>
    <s v="이용화"/>
    <s v="010-3323-9265"/>
    <x v="2"/>
    <x v="36"/>
    <n v="18320"/>
    <n v="33460"/>
    <n v="15140"/>
    <n v="15000"/>
    <m/>
    <n v="15140"/>
    <n v="460"/>
    <n v="6964400"/>
    <s v="출고"/>
    <m/>
  </r>
  <r>
    <n v="104"/>
    <d v="2026-05-16T00:00:00"/>
    <x v="1"/>
    <s v="현장"/>
    <s v="방통차"/>
    <s v="경기90자2889"/>
    <m/>
    <m/>
    <x v="2"/>
    <x v="14"/>
    <n v="18700"/>
    <n v="43600"/>
    <n v="24900"/>
    <n v="24800"/>
    <m/>
    <n v="24900"/>
    <n v="480"/>
    <n v="11952000"/>
    <s v="출고"/>
    <m/>
  </r>
  <r>
    <n v="105"/>
    <d v="2026-05-16T00:00:00"/>
    <x v="1"/>
    <s v="현장"/>
    <s v="방통차"/>
    <s v="인천86아1820"/>
    <s v="이종하"/>
    <s v="010-5396-9846"/>
    <x v="2"/>
    <x v="14"/>
    <n v="18740"/>
    <n v="42860"/>
    <n v="24120"/>
    <n v="24070"/>
    <m/>
    <n v="24120"/>
    <n v="480"/>
    <n v="11577600"/>
    <s v="출고"/>
    <m/>
  </r>
  <r>
    <n v="106"/>
    <d v="2026-05-16T00:00:00"/>
    <x v="1"/>
    <s v="현장"/>
    <s v="방통차"/>
    <s v="경기93자8201"/>
    <m/>
    <m/>
    <x v="2"/>
    <x v="36"/>
    <n v="18800"/>
    <n v="32300"/>
    <n v="13500"/>
    <n v="14750"/>
    <m/>
    <n v="13500"/>
    <n v="460"/>
    <n v="6210000"/>
    <s v="출고"/>
    <m/>
  </r>
  <r>
    <n v="107"/>
    <d v="2026-05-16T00:00:00"/>
    <x v="1"/>
    <s v="현장"/>
    <s v="방통차"/>
    <s v="서울87아7712"/>
    <s v="김기범"/>
    <s v="010-7700-7041"/>
    <x v="2"/>
    <x v="36"/>
    <n v="18700"/>
    <n v="37720"/>
    <n v="19020"/>
    <n v="18990"/>
    <m/>
    <n v="19020"/>
    <n v="460"/>
    <n v="8749200"/>
    <s v="출고"/>
    <m/>
  </r>
  <r>
    <n v="108"/>
    <d v="2026-05-16T00:00:00"/>
    <x v="1"/>
    <s v="현장"/>
    <s v="방통차"/>
    <s v="대전89아7686"/>
    <s v="김민욱"/>
    <s v="010-7139-2998"/>
    <x v="2"/>
    <x v="36"/>
    <n v="18580"/>
    <n v="31700"/>
    <n v="13120"/>
    <n v="13030"/>
    <m/>
    <n v="13120"/>
    <n v="460"/>
    <n v="6035200"/>
    <s v="출고"/>
    <m/>
  </r>
  <r>
    <n v="109"/>
    <d v="2026-05-16T00:00:00"/>
    <x v="1"/>
    <s v="현장"/>
    <s v="방통차"/>
    <s v="인천80아8306"/>
    <s v="이용화"/>
    <s v="010-3323-9265"/>
    <x v="2"/>
    <x v="36"/>
    <n v="18280"/>
    <n v="35540"/>
    <n v="17260"/>
    <n v="17070"/>
    <n v="500"/>
    <n v="16760"/>
    <n v="460"/>
    <n v="7709600"/>
    <s v="출고"/>
    <m/>
  </r>
  <r>
    <n v="110"/>
    <d v="2026-05-17T00:00:00"/>
    <x v="8"/>
    <s v="현장"/>
    <s v="집게차"/>
    <s v="84나4888"/>
    <s v="이민규"/>
    <s v="010-5899-9660"/>
    <x v="2"/>
    <x v="37"/>
    <n v="21390"/>
    <n v="32670"/>
    <n v="11280"/>
    <m/>
    <m/>
    <n v="11280"/>
    <n v="490"/>
    <n v="5527200"/>
    <s v="출고"/>
    <m/>
  </r>
  <r>
    <n v="111"/>
    <d v="2026-05-17T00:00:00"/>
    <x v="8"/>
    <s v="현장"/>
    <s v="방통차"/>
    <s v="경북80아9218"/>
    <s v="정현철"/>
    <s v="010-3873-2063"/>
    <x v="2"/>
    <x v="37"/>
    <n v="17930"/>
    <n v="32120"/>
    <n v="14190"/>
    <m/>
    <m/>
    <n v="14190"/>
    <n v="475"/>
    <n v="6740250"/>
    <s v="출고"/>
    <m/>
  </r>
  <r>
    <n v="112"/>
    <d v="2026-05-17T00:00:00"/>
    <x v="8"/>
    <s v="현장"/>
    <s v="방통차"/>
    <s v="경북80아9218"/>
    <s v="정현철"/>
    <s v="010-3873-2063"/>
    <x v="2"/>
    <x v="37"/>
    <n v="17910"/>
    <n v="33670"/>
    <n v="15760"/>
    <m/>
    <m/>
    <n v="15760"/>
    <n v="475"/>
    <n v="7486000"/>
    <s v="출고"/>
    <m/>
  </r>
  <r>
    <n v="113"/>
    <d v="2026-05-18T00:00:00"/>
    <x v="1"/>
    <s v="현장"/>
    <s v="집게차"/>
    <s v="87주8410"/>
    <s v="배민국"/>
    <s v="010-9110-0126"/>
    <x v="0"/>
    <x v="0"/>
    <n v="14080"/>
    <n v="19060"/>
    <n v="4980"/>
    <n v="4490"/>
    <n v="3"/>
    <n v="4487"/>
    <n v="1920"/>
    <n v="8615040"/>
    <s v="출고"/>
    <m/>
  </r>
  <r>
    <n v="114"/>
    <d v="2026-05-18T00:00:00"/>
    <x v="1"/>
    <s v="현장"/>
    <s v="집게차"/>
    <s v="87주8410"/>
    <s v="배민국"/>
    <s v="010-9110-0126"/>
    <x v="0"/>
    <x v="13"/>
    <m/>
    <m/>
    <m/>
    <n v="510"/>
    <m/>
    <n v="510"/>
    <n v="200"/>
    <n v="102000"/>
    <s v="출고"/>
    <m/>
  </r>
  <r>
    <n v="115"/>
    <d v="2026-05-18T00:00:00"/>
    <x v="1"/>
    <s v="현장"/>
    <s v="방통차"/>
    <s v="경기80바6092"/>
    <m/>
    <m/>
    <x v="2"/>
    <x v="14"/>
    <n v="18820"/>
    <n v="43060"/>
    <n v="24240"/>
    <n v="24210"/>
    <m/>
    <n v="24240"/>
    <n v="500"/>
    <n v="12120000"/>
    <s v="출고"/>
    <m/>
  </r>
  <r>
    <n v="116"/>
    <d v="2026-05-18T00:00:00"/>
    <x v="1"/>
    <s v="현장"/>
    <s v="방통차"/>
    <s v="서울87아7712"/>
    <s v="김기범"/>
    <s v="010-7700-7041"/>
    <x v="2"/>
    <x v="36"/>
    <n v="18760"/>
    <n v="28660"/>
    <n v="9900"/>
    <n v="10010"/>
    <m/>
    <n v="9900"/>
    <n v="480"/>
    <n v="4752000"/>
    <s v="출고"/>
    <m/>
  </r>
  <r>
    <n v="117"/>
    <d v="2026-05-18T00:00:00"/>
    <x v="1"/>
    <s v="현장"/>
    <s v="방통차"/>
    <s v="충남80바2810"/>
    <s v="김상철"/>
    <s v="010-7107-6000"/>
    <x v="2"/>
    <x v="36"/>
    <n v="18780"/>
    <n v="33420"/>
    <n v="14640"/>
    <n v="14620"/>
    <m/>
    <n v="14640"/>
    <n v="480"/>
    <n v="7027200"/>
    <s v="출고"/>
    <m/>
  </r>
  <r>
    <n v="118"/>
    <d v="2026-05-18T00:00:00"/>
    <x v="1"/>
    <s v="현장"/>
    <s v="방통차"/>
    <s v="경북80아9218"/>
    <s v="정현철"/>
    <s v="010-3873-2063"/>
    <x v="2"/>
    <x v="36"/>
    <n v="18380"/>
    <n v="35340"/>
    <n v="16960"/>
    <n v="17040"/>
    <m/>
    <n v="16960"/>
    <n v="480"/>
    <n v="8140800"/>
    <s v="출고"/>
    <m/>
  </r>
  <r>
    <n v="119"/>
    <d v="2026-05-18T00:00:00"/>
    <x v="1"/>
    <s v="현장"/>
    <s v="방통차"/>
    <s v="인천86아1820"/>
    <s v="이종하"/>
    <s v="010-5396-9846"/>
    <x v="2"/>
    <x v="36"/>
    <n v="18620"/>
    <n v="38140"/>
    <n v="19520"/>
    <n v="19430"/>
    <m/>
    <n v="19520"/>
    <n v="480"/>
    <n v="9369600"/>
    <s v="출고"/>
    <m/>
  </r>
  <r>
    <n v="120"/>
    <d v="2026-05-18T00:00:00"/>
    <x v="1"/>
    <s v="현장"/>
    <s v="방통차"/>
    <s v="인천80자1923"/>
    <s v="최한영"/>
    <s v="010-9651-9909"/>
    <x v="2"/>
    <x v="36"/>
    <n v="17980"/>
    <n v="37640"/>
    <n v="19660"/>
    <n v="19630"/>
    <m/>
    <n v="19660"/>
    <n v="480"/>
    <n v="9436800"/>
    <s v="출고"/>
    <m/>
  </r>
  <r>
    <n v="121"/>
    <d v="2026-05-18T00:00:00"/>
    <x v="1"/>
    <s v="현장"/>
    <s v="방통차"/>
    <s v="인천80자1903"/>
    <s v="박영재"/>
    <s v="010-5063-2467"/>
    <x v="2"/>
    <x v="36"/>
    <n v="18640"/>
    <n v="34640"/>
    <n v="16000"/>
    <n v="15830"/>
    <m/>
    <n v="16000"/>
    <n v="480"/>
    <n v="7680000"/>
    <s v="출고"/>
    <m/>
  </r>
  <r>
    <n v="122"/>
    <d v="2026-05-18T00:00:00"/>
    <x v="1"/>
    <s v="현장"/>
    <s v="방통차"/>
    <s v="경기96자1089"/>
    <s v="서건식"/>
    <s v="010-9037-6416"/>
    <x v="2"/>
    <x v="14"/>
    <n v="18960"/>
    <n v="34600"/>
    <n v="15640"/>
    <n v="15560"/>
    <n v="400"/>
    <n v="15240"/>
    <n v="480"/>
    <n v="7315200"/>
    <s v="출고"/>
    <m/>
  </r>
  <r>
    <n v="123"/>
    <d v="2026-05-18T00:00:00"/>
    <x v="1"/>
    <s v="현장"/>
    <s v="방통차"/>
    <s v="대전87아8321"/>
    <s v="조병태"/>
    <s v="010-9082-6354"/>
    <x v="2"/>
    <x v="36"/>
    <n v="19000"/>
    <n v="37080"/>
    <n v="18080"/>
    <n v="18010"/>
    <m/>
    <n v="18080"/>
    <n v="480"/>
    <n v="8678400"/>
    <s v="출고"/>
    <m/>
  </r>
  <r>
    <n v="124"/>
    <d v="2026-05-18T00:00:00"/>
    <x v="1"/>
    <s v="현장"/>
    <s v="방통차"/>
    <s v="인천86아1820"/>
    <s v="이종하"/>
    <s v="010-5396-9846"/>
    <x v="2"/>
    <x v="36"/>
    <n v="18600"/>
    <n v="35280"/>
    <n v="16680"/>
    <n v="16630"/>
    <m/>
    <n v="16680"/>
    <n v="480"/>
    <n v="8006400"/>
    <s v="출고"/>
    <m/>
  </r>
  <r>
    <n v="125"/>
    <d v="2026-05-18T00:00:00"/>
    <x v="1"/>
    <s v="현장"/>
    <s v="방통차"/>
    <s v="인천80자1923"/>
    <s v="최한영"/>
    <s v="010-9651-9909"/>
    <x v="2"/>
    <x v="36"/>
    <n v="18080"/>
    <n v="36460"/>
    <n v="18380"/>
    <n v="18270"/>
    <m/>
    <n v="18380"/>
    <n v="480"/>
    <n v="8822400"/>
    <s v="출고"/>
    <m/>
  </r>
  <r>
    <n v="126"/>
    <d v="2026-05-18T00:00:00"/>
    <x v="8"/>
    <s v="현장"/>
    <s v="집게차"/>
    <s v="87주8410"/>
    <s v="배민국"/>
    <s v="010-9110-0126"/>
    <x v="2"/>
    <x v="19"/>
    <n v="15570"/>
    <n v="19660"/>
    <n v="4090"/>
    <n v="4090"/>
    <m/>
    <n v="4090"/>
    <n v="465"/>
    <n v="1901850"/>
    <s v="출고"/>
    <m/>
  </r>
  <r>
    <n v="127"/>
    <d v="2026-05-18T00:00:00"/>
    <x v="8"/>
    <s v="현장"/>
    <s v="방통차"/>
    <s v="경북80아9218"/>
    <s v="정현철"/>
    <s v="010-3873-2063"/>
    <x v="2"/>
    <x v="20"/>
    <n v="18080"/>
    <n v="26800"/>
    <n v="8720"/>
    <n v="8680"/>
    <m/>
    <n v="8720"/>
    <n v="450"/>
    <n v="3924000"/>
    <s v="출고"/>
    <m/>
  </r>
  <r>
    <n v="128"/>
    <d v="2026-05-18T00:00:00"/>
    <x v="8"/>
    <s v="현장"/>
    <s v="방통차"/>
    <s v="인천83사9675"/>
    <s v="서재하"/>
    <s v="010-9027-1162"/>
    <x v="2"/>
    <x v="18"/>
    <n v="18610"/>
    <n v="25680"/>
    <n v="7070"/>
    <n v="7270"/>
    <m/>
    <n v="7070"/>
    <n v="450"/>
    <n v="3181500"/>
    <s v="출고"/>
    <m/>
  </r>
  <r>
    <n v="129"/>
    <d v="2026-05-18T00:00:00"/>
    <x v="8"/>
    <s v="현장"/>
    <s v="방통차"/>
    <s v="충남80바2810"/>
    <s v="김상철"/>
    <s v="010-7107-6000"/>
    <x v="2"/>
    <x v="36"/>
    <n v="18840"/>
    <n v="32380"/>
    <n v="13540"/>
    <n v="13450"/>
    <m/>
    <n v="13540"/>
    <n v="470"/>
    <n v="6363800"/>
    <s v="출고"/>
    <m/>
  </r>
  <r>
    <n v="130"/>
    <d v="2026-05-18T00:00:00"/>
    <x v="8"/>
    <s v="현장"/>
    <s v="방통차"/>
    <s v="경기96자1089"/>
    <s v="서건식"/>
    <s v="010-9037-6416"/>
    <x v="2"/>
    <x v="36"/>
    <n v="18700"/>
    <n v="31220"/>
    <n v="12520"/>
    <n v="12470"/>
    <m/>
    <n v="12520"/>
    <n v="470"/>
    <n v="5884400"/>
    <s v="출고"/>
    <m/>
  </r>
  <r>
    <n v="131"/>
    <d v="2026-05-19T00:00:00"/>
    <x v="1"/>
    <s v="원방"/>
    <s v="암롤트럭"/>
    <s v="86노1445"/>
    <m/>
    <m/>
    <x v="0"/>
    <x v="0"/>
    <n v="20020"/>
    <n v="25820"/>
    <n v="5800"/>
    <n v="4810"/>
    <n v="6"/>
    <n v="4804"/>
    <n v="1920"/>
    <n v="9223680"/>
    <s v="출고"/>
    <m/>
  </r>
  <r>
    <n v="132"/>
    <d v="2026-05-19T00:00:00"/>
    <x v="6"/>
    <s v="원방"/>
    <s v="암롤트럭"/>
    <s v="86노1445"/>
    <m/>
    <m/>
    <x v="0"/>
    <x v="0"/>
    <m/>
    <m/>
    <m/>
    <n v="240"/>
    <m/>
    <n v="240"/>
    <n v="1920"/>
    <n v="460800"/>
    <s v="출고"/>
    <m/>
  </r>
  <r>
    <n v="133"/>
    <d v="2026-05-19T00:00:00"/>
    <x v="9"/>
    <s v="원방"/>
    <s v="암롤트럭"/>
    <s v="86노1445"/>
    <m/>
    <m/>
    <x v="0"/>
    <x v="0"/>
    <m/>
    <m/>
    <m/>
    <n v="580"/>
    <m/>
    <n v="580"/>
    <n v="1920"/>
    <n v="1113600"/>
    <s v="출고"/>
    <m/>
  </r>
  <r>
    <n v="134"/>
    <d v="2026-05-19T00:00:00"/>
    <x v="1"/>
    <s v="원방"/>
    <s v="암롤트럭"/>
    <s v="86노1445"/>
    <m/>
    <m/>
    <x v="0"/>
    <x v="1"/>
    <m/>
    <m/>
    <m/>
    <n v="150"/>
    <m/>
    <n v="150"/>
    <n v="250"/>
    <n v="37500"/>
    <s v="출고"/>
    <m/>
  </r>
  <r>
    <n v="135"/>
    <d v="2026-05-19T00:00:00"/>
    <x v="1"/>
    <s v="현장"/>
    <s v="방통차"/>
    <s v="대전87아8321"/>
    <s v="조병태"/>
    <s v="010-9082-6354"/>
    <x v="2"/>
    <x v="14"/>
    <n v="18940"/>
    <n v="42040"/>
    <n v="23100"/>
    <n v="22970"/>
    <m/>
    <n v="23100"/>
    <n v="500"/>
    <n v="11550000"/>
    <s v="출고"/>
    <m/>
  </r>
  <r>
    <n v="136"/>
    <d v="2026-05-19T00:00:00"/>
    <x v="1"/>
    <s v="현장"/>
    <s v="방통차"/>
    <s v="경기90자2889"/>
    <m/>
    <m/>
    <x v="2"/>
    <x v="14"/>
    <n v="18600"/>
    <n v="42320"/>
    <n v="23720"/>
    <n v="23650"/>
    <m/>
    <n v="23720"/>
    <n v="500"/>
    <n v="11860000"/>
    <s v="출고"/>
    <m/>
  </r>
  <r>
    <n v="137"/>
    <d v="2026-05-19T00:00:00"/>
    <x v="1"/>
    <s v="현장"/>
    <s v="방통차"/>
    <s v="경기80바6092"/>
    <m/>
    <m/>
    <x v="2"/>
    <x v="36"/>
    <n v="18740"/>
    <n v="42180"/>
    <n v="23440"/>
    <n v="23410"/>
    <m/>
    <n v="23440"/>
    <n v="480"/>
    <n v="11251200"/>
    <s v="출고"/>
    <m/>
  </r>
  <r>
    <n v="138"/>
    <d v="2026-05-19T00:00:00"/>
    <x v="1"/>
    <s v="현장"/>
    <s v="방통차"/>
    <s v="대구84아9559"/>
    <s v="임상현"/>
    <s v="010-4714-8294"/>
    <x v="2"/>
    <x v="14"/>
    <n v="18800"/>
    <n v="42660"/>
    <n v="23860"/>
    <n v="23800"/>
    <m/>
    <n v="23860"/>
    <n v="500"/>
    <n v="11930000"/>
    <s v="출고"/>
    <m/>
  </r>
  <r>
    <n v="139"/>
    <d v="2026-05-19T00:00:00"/>
    <x v="1"/>
    <s v="현장"/>
    <s v="방통차"/>
    <s v="인천85아5409"/>
    <s v="김문중"/>
    <s v="010-6667-8255"/>
    <x v="2"/>
    <x v="36"/>
    <n v="18100"/>
    <n v="38560"/>
    <n v="20460"/>
    <n v="20320"/>
    <m/>
    <n v="20460"/>
    <n v="480"/>
    <n v="9820800"/>
    <s v="출고"/>
    <m/>
  </r>
  <r>
    <n v="140"/>
    <d v="2026-05-19T00:00:00"/>
    <x v="1"/>
    <s v="현장"/>
    <s v="방통차"/>
    <s v="인천80자1932"/>
    <s v="이종화"/>
    <s v="010-5396-9846"/>
    <x v="2"/>
    <x v="38"/>
    <n v="18520"/>
    <n v="39520"/>
    <n v="21000"/>
    <n v="20810"/>
    <m/>
    <n v="21000"/>
    <n v="420"/>
    <n v="8820000"/>
    <s v="출고"/>
    <m/>
  </r>
  <r>
    <n v="141"/>
    <d v="2026-05-19T00:00:00"/>
    <x v="1"/>
    <s v="현장"/>
    <s v="방통차"/>
    <s v="대전87아8321"/>
    <s v="조병태"/>
    <s v="010-9082-6354"/>
    <x v="2"/>
    <x v="14"/>
    <n v="18940"/>
    <n v="42600"/>
    <n v="23660"/>
    <n v="23510"/>
    <m/>
    <n v="23660"/>
    <n v="500"/>
    <n v="11830000"/>
    <s v="출고"/>
    <m/>
  </r>
  <r>
    <n v="142"/>
    <d v="2026-05-19T00:00:00"/>
    <x v="1"/>
    <s v="현장"/>
    <s v="방통차"/>
    <s v="경기90자2889"/>
    <m/>
    <m/>
    <x v="2"/>
    <x v="14"/>
    <n v="18760"/>
    <n v="42620"/>
    <n v="23860"/>
    <n v="23850"/>
    <m/>
    <n v="23860"/>
    <n v="500"/>
    <n v="11930000"/>
    <s v="출고"/>
    <m/>
  </r>
  <r>
    <n v="143"/>
    <d v="2026-05-19T00:00:00"/>
    <x v="1"/>
    <s v="현장"/>
    <s v="방통차"/>
    <s v="경기80바6092"/>
    <m/>
    <m/>
    <x v="2"/>
    <x v="36"/>
    <n v="18860"/>
    <n v="43100"/>
    <n v="24240"/>
    <n v="24200"/>
    <m/>
    <n v="24240"/>
    <n v="480"/>
    <n v="11635200"/>
    <s v="출고"/>
    <m/>
  </r>
  <r>
    <n v="144"/>
    <d v="2026-05-19T00:00:00"/>
    <x v="1"/>
    <s v="현장"/>
    <s v="방통차"/>
    <s v="대구84아9559"/>
    <s v="임상현"/>
    <s v="010-4714-8294"/>
    <x v="2"/>
    <x v="14"/>
    <n v="18800"/>
    <n v="42520"/>
    <n v="23720"/>
    <n v="23680"/>
    <m/>
    <n v="23720"/>
    <n v="500"/>
    <n v="11860000"/>
    <s v="출고"/>
    <m/>
  </r>
  <r>
    <n v="145"/>
    <d v="2026-05-19T00:00:00"/>
    <x v="1"/>
    <s v="현장"/>
    <s v="카고"/>
    <s v="충남80바7815"/>
    <m/>
    <m/>
    <x v="2"/>
    <x v="39"/>
    <n v="14820"/>
    <n v="20920"/>
    <n v="6100"/>
    <n v="6060"/>
    <m/>
    <n v="6100"/>
    <n v="470"/>
    <n v="2867000"/>
    <s v="출고"/>
    <m/>
  </r>
  <r>
    <n v="146"/>
    <d v="2026-05-19T00:00:00"/>
    <x v="8"/>
    <s v="현장"/>
    <s v="집게차"/>
    <s v="87주8410"/>
    <s v="배민국"/>
    <s v="010-9110-0126"/>
    <x v="2"/>
    <x v="18"/>
    <n v="14010"/>
    <n v="17900"/>
    <n v="3890"/>
    <n v="3890"/>
    <m/>
    <n v="3890"/>
    <n v="465"/>
    <n v="1808850"/>
    <s v="출고"/>
    <m/>
  </r>
  <r>
    <n v="147"/>
    <d v="2026-05-19T00:00:00"/>
    <x v="8"/>
    <s v="현장"/>
    <s v="집게차"/>
    <s v="87주8410"/>
    <s v="배민국"/>
    <s v="010-9110-0126"/>
    <x v="2"/>
    <x v="19"/>
    <n v="17900"/>
    <n v="21120"/>
    <n v="3220"/>
    <n v="3220"/>
    <m/>
    <n v="3220"/>
    <n v="465"/>
    <n v="1497300"/>
    <s v="출고"/>
    <m/>
  </r>
  <r>
    <n v="148"/>
    <d v="2026-05-19T00:00:00"/>
    <x v="1"/>
    <s v="현장"/>
    <s v="1톤트럭"/>
    <s v="93버4384"/>
    <m/>
    <m/>
    <x v="6"/>
    <x v="40"/>
    <n v="3940"/>
    <n v="8000"/>
    <n v="4060"/>
    <m/>
    <m/>
    <n v="4060"/>
    <n v="1063.9135000000001"/>
    <n v="4319488.8100000005"/>
    <s v="출고"/>
    <m/>
  </r>
  <r>
    <n v="149"/>
    <d v="2026-05-19T00:00:00"/>
    <x v="1"/>
    <s v="현장"/>
    <s v="카고"/>
    <s v="인천86아6863"/>
    <m/>
    <m/>
    <x v="6"/>
    <x v="40"/>
    <n v="15660"/>
    <n v="37620"/>
    <n v="21960"/>
    <m/>
    <m/>
    <n v="21960"/>
    <n v="1063.9135000000001"/>
    <n v="23363540.460000001"/>
    <s v="출고"/>
    <m/>
  </r>
  <r>
    <n v="150"/>
    <d v="2026-05-19T00:00:00"/>
    <x v="1"/>
    <s v="현장"/>
    <s v="카고"/>
    <s v="86가7213"/>
    <m/>
    <m/>
    <x v="6"/>
    <x v="40"/>
    <n v="7440"/>
    <n v="19360"/>
    <n v="11920"/>
    <m/>
    <m/>
    <n v="11920"/>
    <n v="1063.9135000000001"/>
    <n v="12681848.920000002"/>
    <s v="출고"/>
    <m/>
  </r>
  <r>
    <n v="151"/>
    <d v="2026-05-19T00:00:00"/>
    <x v="1"/>
    <s v="현장"/>
    <s v="1톤트럭"/>
    <s v="806거1970"/>
    <m/>
    <m/>
    <x v="6"/>
    <x v="40"/>
    <n v="4360"/>
    <n v="8920"/>
    <n v="4560"/>
    <m/>
    <m/>
    <n v="4560"/>
    <n v="1063.9135000000001"/>
    <n v="4851445.5600000005"/>
    <s v="출고"/>
    <m/>
  </r>
  <r>
    <n v="152"/>
    <d v="2026-05-19T00:00:00"/>
    <x v="1"/>
    <s v="현장"/>
    <s v="1톤트럭"/>
    <s v="81부6706"/>
    <m/>
    <m/>
    <x v="6"/>
    <x v="40"/>
    <n v="2180"/>
    <n v="3800"/>
    <n v="1620"/>
    <m/>
    <m/>
    <n v="1620"/>
    <n v="1063.9135000000001"/>
    <n v="1723539.87"/>
    <s v="출고"/>
    <m/>
  </r>
  <r>
    <n v="153"/>
    <d v="2026-05-20T00:00:00"/>
    <x v="8"/>
    <s v="현장"/>
    <s v="집게차"/>
    <s v="87주8410"/>
    <s v="배민국"/>
    <s v="010-9110-0126"/>
    <x v="2"/>
    <x v="37"/>
    <n v="14090"/>
    <n v="20150"/>
    <n v="6060"/>
    <n v="5600"/>
    <m/>
    <n v="5600"/>
    <n v="500"/>
    <n v="2800000"/>
    <s v="출고"/>
    <m/>
  </r>
  <r>
    <n v="154"/>
    <d v="2026-05-20T00:00:00"/>
    <x v="8"/>
    <s v="현장"/>
    <s v="집게차"/>
    <s v="87주8410"/>
    <s v="배민국"/>
    <s v="010-9110-0126"/>
    <x v="2"/>
    <x v="20"/>
    <m/>
    <m/>
    <m/>
    <n v="410"/>
    <m/>
    <n v="410"/>
    <n v="465"/>
    <n v="190650"/>
    <s v="출고"/>
    <m/>
  </r>
  <r>
    <n v="155"/>
    <d v="2026-05-20T00:00:00"/>
    <x v="1"/>
    <s v="현장"/>
    <s v="방통차"/>
    <s v="서울82바4890"/>
    <m/>
    <m/>
    <x v="2"/>
    <x v="14"/>
    <n v="18520"/>
    <n v="43540"/>
    <n v="25020"/>
    <m/>
    <m/>
    <n v="25020"/>
    <n v="500"/>
    <n v="12510000"/>
    <s v="출고"/>
    <m/>
  </r>
  <r>
    <n v="156"/>
    <d v="2026-05-20T00:00:00"/>
    <x v="1"/>
    <s v="현장"/>
    <s v="방통차"/>
    <s v="인천80자1912"/>
    <s v="곽노하"/>
    <s v="010-5315-3802"/>
    <x v="2"/>
    <x v="36"/>
    <n v="18400"/>
    <n v="41460"/>
    <n v="23060"/>
    <m/>
    <m/>
    <n v="23060"/>
    <n v="480"/>
    <n v="11068800"/>
    <s v="출고"/>
    <m/>
  </r>
  <r>
    <n v="157"/>
    <d v="2026-05-20T00:00:00"/>
    <x v="1"/>
    <s v="현장"/>
    <s v="방통차"/>
    <s v="충북91아2060"/>
    <m/>
    <m/>
    <x v="2"/>
    <x v="36"/>
    <n v="18100"/>
    <n v="43180"/>
    <n v="25080"/>
    <m/>
    <m/>
    <n v="25080"/>
    <n v="480"/>
    <n v="12038400"/>
    <s v="출고"/>
    <m/>
  </r>
  <r>
    <n v="158"/>
    <d v="2026-05-21T00:00:00"/>
    <x v="1"/>
    <s v="원방"/>
    <s v="집게차"/>
    <s v="87주8410"/>
    <s v="배민국"/>
    <s v="010-9110-0126"/>
    <x v="2"/>
    <x v="36"/>
    <n v="14590"/>
    <n v="27080"/>
    <n v="12490"/>
    <n v="12400"/>
    <m/>
    <n v="12490"/>
    <n v="480"/>
    <n v="5995200"/>
    <s v="출고"/>
    <m/>
  </r>
  <r>
    <n v="159"/>
    <d v="2026-05-21T00:00:00"/>
    <x v="1"/>
    <s v="원방"/>
    <s v="집게차"/>
    <s v="87주8410"/>
    <s v="배민국"/>
    <s v="010-9110-0126"/>
    <x v="2"/>
    <x v="36"/>
    <n v="14590"/>
    <n v="25360"/>
    <n v="10770"/>
    <n v="10770"/>
    <m/>
    <n v="10770"/>
    <n v="480"/>
    <n v="5169600"/>
    <s v="출고"/>
    <m/>
  </r>
  <r>
    <n v="160"/>
    <d v="2026-05-21T00:00:00"/>
    <x v="1"/>
    <s v="현장"/>
    <s v="방통차"/>
    <s v="경기96자1089"/>
    <s v="서건식"/>
    <s v="010-9037-6416"/>
    <x v="2"/>
    <x v="41"/>
    <n v="18940"/>
    <n v="43480"/>
    <n v="24540"/>
    <n v="24640"/>
    <m/>
    <n v="24640"/>
    <n v="380"/>
    <n v="9363200"/>
    <s v="출고"/>
    <m/>
  </r>
  <r>
    <n v="161"/>
    <d v="2026-05-21T00:00:00"/>
    <x v="1"/>
    <s v="현장"/>
    <s v="방통차"/>
    <s v="전북80사5648"/>
    <s v="이윤희"/>
    <s v="010-8770-9101"/>
    <x v="2"/>
    <x v="41"/>
    <n v="19340"/>
    <n v="42260"/>
    <n v="22920"/>
    <n v="23530"/>
    <m/>
    <n v="23530"/>
    <n v="380"/>
    <n v="8941400"/>
    <s v="출고"/>
    <m/>
  </r>
  <r>
    <n v="162"/>
    <d v="2026-05-21T00:00:00"/>
    <x v="1"/>
    <s v="현장"/>
    <s v="1톤트럭"/>
    <s v="81부6706"/>
    <m/>
    <m/>
    <x v="6"/>
    <x v="40"/>
    <n v="2180"/>
    <n v="4440"/>
    <n v="2260"/>
    <m/>
    <m/>
    <n v="2260"/>
    <n v="1063.9135000000001"/>
    <n v="2404444.5100000002"/>
    <s v="출고"/>
    <m/>
  </r>
  <r>
    <n v="163"/>
    <d v="2026-05-21T00:00:00"/>
    <x v="1"/>
    <s v="현장"/>
    <s v="카고"/>
    <s v="806거1970"/>
    <m/>
    <m/>
    <x v="6"/>
    <x v="40"/>
    <n v="4260"/>
    <n v="9820"/>
    <n v="5560"/>
    <m/>
    <m/>
    <n v="5560"/>
    <n v="1063.9135000000001"/>
    <n v="5915359.0600000005"/>
    <s v="출고"/>
    <m/>
  </r>
  <r>
    <n v="164"/>
    <d v="2026-05-21T00:00:00"/>
    <x v="1"/>
    <s v="현장"/>
    <s v="카고"/>
    <s v="93버4384"/>
    <m/>
    <m/>
    <x v="6"/>
    <x v="40"/>
    <n v="3960"/>
    <n v="8440"/>
    <n v="4480"/>
    <m/>
    <m/>
    <n v="4480"/>
    <n v="1063.9135000000001"/>
    <n v="4766332.4800000004"/>
    <s v="출고"/>
    <m/>
  </r>
  <r>
    <n v="165"/>
    <d v="2026-05-22T00:00:00"/>
    <x v="1"/>
    <s v="원방"/>
    <s v="1톤트럭"/>
    <s v="81구6225"/>
    <s v="김태정"/>
    <s v="010-3311-8084"/>
    <x v="2"/>
    <x v="42"/>
    <n v="2140"/>
    <n v="3590"/>
    <n v="1450"/>
    <n v="1440"/>
    <m/>
    <n v="1450"/>
    <n v="150"/>
    <n v="217500"/>
    <s v="출고"/>
    <m/>
  </r>
  <r>
    <n v="166"/>
    <d v="2026-05-22T00:00:00"/>
    <x v="10"/>
    <s v="현장"/>
    <s v="집게차"/>
    <s v="87주8410"/>
    <s v="배민국"/>
    <s v="010-9110-0126"/>
    <x v="2"/>
    <x v="14"/>
    <n v="16830"/>
    <n v="19250"/>
    <n v="2420"/>
    <n v="2420"/>
    <m/>
    <n v="2420"/>
    <n v="480"/>
    <n v="1161600"/>
    <s v="출고"/>
    <m/>
  </r>
  <r>
    <n v="167"/>
    <d v="2026-05-22T00:00:00"/>
    <x v="10"/>
    <s v="현장"/>
    <s v="집게차"/>
    <s v="87주8410"/>
    <s v="배민국"/>
    <s v="010-9110-0126"/>
    <x v="2"/>
    <x v="20"/>
    <n v="14010"/>
    <n v="16830"/>
    <n v="2820"/>
    <n v="2820"/>
    <m/>
    <n v="2820"/>
    <n v="465"/>
    <n v="1311300"/>
    <s v="출고"/>
    <m/>
  </r>
  <r>
    <n v="168"/>
    <d v="2026-05-22T00:00:00"/>
    <x v="9"/>
    <s v="원방"/>
    <s v="집게차"/>
    <s v="87주8410"/>
    <s v="배민국"/>
    <s v="010-9110-0126"/>
    <x v="2"/>
    <x v="20"/>
    <n v="14110"/>
    <n v="16590"/>
    <n v="2480"/>
    <n v="2480"/>
    <m/>
    <n v="2480"/>
    <n v="465"/>
    <n v="1153200"/>
    <s v="출고"/>
    <m/>
  </r>
  <r>
    <n v="169"/>
    <d v="2026-05-22T00:00:00"/>
    <x v="1"/>
    <s v="현장"/>
    <s v="방통차"/>
    <s v="인천80자1917"/>
    <s v="심충우"/>
    <s v="010-2801-5063"/>
    <x v="2"/>
    <x v="36"/>
    <n v="18420"/>
    <n v="42920"/>
    <n v="24500"/>
    <n v="24320"/>
    <m/>
    <n v="24500"/>
    <n v="480"/>
    <n v="11760000"/>
    <s v="출고"/>
    <m/>
  </r>
  <r>
    <n v="170"/>
    <d v="2026-05-22T00:00:00"/>
    <x v="1"/>
    <s v="현장"/>
    <s v="방통차"/>
    <s v="경기96자1089"/>
    <s v="서건식"/>
    <s v="010-9037-6416"/>
    <x v="2"/>
    <x v="41"/>
    <n v="18960"/>
    <n v="43460"/>
    <n v="24500"/>
    <n v="24390"/>
    <n v="300"/>
    <n v="24200"/>
    <n v="480"/>
    <n v="11616000"/>
    <s v="출고"/>
    <m/>
  </r>
  <r>
    <n v="171"/>
    <d v="2026-05-22T00:00:00"/>
    <x v="1"/>
    <s v="원방"/>
    <s v="집게차"/>
    <s v="87주8410"/>
    <s v="배민국"/>
    <s v="010-9110-0126"/>
    <x v="4"/>
    <x v="20"/>
    <n v="14090"/>
    <n v="19390"/>
    <n v="5300"/>
    <n v="5280"/>
    <m/>
    <n v="5280"/>
    <n v="460"/>
    <n v="2428800"/>
    <s v="출고"/>
    <m/>
  </r>
  <r>
    <n v="172"/>
    <d v="2026-05-22T00:00:00"/>
    <x v="1"/>
    <s v="현장"/>
    <s v="암롤트럭"/>
    <s v="86노1445"/>
    <s v="이민수"/>
    <s v="010-8282-5885"/>
    <x v="0"/>
    <x v="43"/>
    <n v="20720"/>
    <n v="33160"/>
    <n v="12440"/>
    <n v="10440"/>
    <n v="9"/>
    <n v="10431"/>
    <n v="1500"/>
    <n v="15646500"/>
    <s v="출고"/>
    <m/>
  </r>
  <r>
    <n v="173"/>
    <d v="2026-05-22T00:00:00"/>
    <x v="1"/>
    <s v="현장"/>
    <s v="암롤트럭"/>
    <s v="86노1445"/>
    <s v="이민수"/>
    <s v="010-8282-5885"/>
    <x v="0"/>
    <x v="13"/>
    <m/>
    <m/>
    <m/>
    <n v="1260"/>
    <m/>
    <n v="1260"/>
    <n v="200"/>
    <n v="252000"/>
    <s v="출고"/>
    <m/>
  </r>
  <r>
    <n v="174"/>
    <d v="2026-05-22T00:00:00"/>
    <x v="1"/>
    <s v="현장"/>
    <s v="암롤트럭"/>
    <s v="86노1445"/>
    <s v="이민수"/>
    <s v="010-8282-5885"/>
    <x v="0"/>
    <x v="1"/>
    <m/>
    <m/>
    <m/>
    <n v="740"/>
    <m/>
    <n v="740"/>
    <n v="250"/>
    <n v="185000"/>
    <s v="출고"/>
    <m/>
  </r>
  <r>
    <n v="175"/>
    <d v="2026-05-22T00:00:00"/>
    <x v="1"/>
    <s v="원방"/>
    <s v="집게차"/>
    <s v="87주8410"/>
    <s v="배민국"/>
    <s v="010-9110-0126"/>
    <x v="0"/>
    <x v="44"/>
    <n v="14090"/>
    <n v="16810"/>
    <n v="2720"/>
    <n v="450"/>
    <m/>
    <n v="450"/>
    <n v="4500"/>
    <n v="2025000"/>
    <s v="출고"/>
    <m/>
  </r>
  <r>
    <n v="176"/>
    <d v="2026-05-22T00:00:00"/>
    <x v="1"/>
    <s v="원방"/>
    <s v="집게차"/>
    <s v="87주8410"/>
    <s v="배민국"/>
    <s v="010-9110-0126"/>
    <x v="0"/>
    <x v="0"/>
    <m/>
    <m/>
    <m/>
    <n v="2240"/>
    <m/>
    <n v="2240"/>
    <n v="1920"/>
    <n v="4300800"/>
    <s v="출고"/>
    <m/>
  </r>
  <r>
    <n v="177"/>
    <d v="2026-05-22T00:00:00"/>
    <x v="1"/>
    <s v="현장"/>
    <s v="1톤트럭"/>
    <s v="81구3225"/>
    <s v="김태정"/>
    <s v="010-3311-8084"/>
    <x v="0"/>
    <x v="45"/>
    <n v="2150"/>
    <n v="3820"/>
    <n v="1670"/>
    <n v="1660"/>
    <m/>
    <n v="1660"/>
    <n v="1920"/>
    <n v="3187200"/>
    <s v="출고"/>
    <m/>
  </r>
  <r>
    <n v="178"/>
    <d v="2026-05-25T00:00:00"/>
    <x v="8"/>
    <s v="원방"/>
    <s v="집게차"/>
    <s v="96거5789"/>
    <s v="김현수"/>
    <s v="010-5315-1508"/>
    <x v="4"/>
    <x v="20"/>
    <n v="13490"/>
    <n v="18960"/>
    <n v="5470"/>
    <n v="5450"/>
    <m/>
    <n v="5450"/>
    <n v="460"/>
    <n v="2507000"/>
    <s v="출고"/>
    <m/>
  </r>
  <r>
    <n v="179"/>
    <d v="2026-05-25T00:00:00"/>
    <x v="1"/>
    <s v="원방"/>
    <s v="집게차"/>
    <s v="84나4888"/>
    <s v="김현수"/>
    <s v="010-5315-1508"/>
    <x v="2"/>
    <x v="36"/>
    <n v="21470"/>
    <n v="36550"/>
    <n v="15080"/>
    <n v="15120"/>
    <m/>
    <n v="15080"/>
    <n v="480"/>
    <n v="7238400"/>
    <s v="출고"/>
    <m/>
  </r>
  <r>
    <n v="180"/>
    <d v="2026-05-25T00:00:00"/>
    <x v="8"/>
    <s v="원방"/>
    <s v="집게차"/>
    <s v="84나4888"/>
    <s v="김태정"/>
    <s v="010-3311-8084"/>
    <x v="0"/>
    <x v="0"/>
    <n v="21010"/>
    <n v="25100"/>
    <n v="4090"/>
    <n v="4040"/>
    <m/>
    <n v="4040"/>
    <n v="1930"/>
    <n v="7797200"/>
    <s v="출고"/>
    <m/>
  </r>
  <r>
    <n v="181"/>
    <d v="2026-05-25T00:00:00"/>
    <x v="8"/>
    <s v="원방"/>
    <s v="암롤트럭"/>
    <s v="86노1445"/>
    <s v="김태정"/>
    <s v="010-3311-8084"/>
    <x v="0"/>
    <x v="0"/>
    <n v="20950"/>
    <n v="25100"/>
    <n v="4150"/>
    <n v="3950"/>
    <m/>
    <n v="3950"/>
    <n v="1930"/>
    <n v="7623500"/>
    <s v="출고"/>
    <m/>
  </r>
  <r>
    <n v="182"/>
    <d v="2026-05-25T00:00:00"/>
    <x v="8"/>
    <s v="원방"/>
    <s v="암롤트럭"/>
    <s v="86노1445"/>
    <s v="김태정"/>
    <s v="010-3311-8084"/>
    <x v="0"/>
    <x v="13"/>
    <m/>
    <m/>
    <m/>
    <n v="140"/>
    <m/>
    <n v="140"/>
    <n v="250"/>
    <n v="35000"/>
    <s v="출고"/>
    <m/>
  </r>
  <r>
    <n v="183"/>
    <d v="2026-05-26T00:00:00"/>
    <x v="0"/>
    <s v="원방"/>
    <s v="카고"/>
    <s v="경기82바8403"/>
    <s v="주호중"/>
    <s v="010-5482-1235"/>
    <x v="7"/>
    <x v="46"/>
    <n v="3960"/>
    <n v="6010"/>
    <n v="2050"/>
    <m/>
    <m/>
    <n v="2050"/>
    <m/>
    <n v="200000"/>
    <s v="출고"/>
    <m/>
  </r>
  <r>
    <n v="184"/>
    <d v="2026-05-26T00:00:00"/>
    <x v="8"/>
    <s v="원방"/>
    <s v="집게차"/>
    <s v="96거5789"/>
    <s v="배민국"/>
    <s v="010-9110-0126"/>
    <x v="4"/>
    <x v="20"/>
    <n v="13600"/>
    <n v="15240"/>
    <n v="1640"/>
    <n v="1610"/>
    <m/>
    <n v="1610"/>
    <n v="460"/>
    <n v="740600"/>
    <s v="출고"/>
    <m/>
  </r>
  <r>
    <n v="185"/>
    <d v="2026-05-26T00:00:00"/>
    <x v="8"/>
    <m/>
    <m/>
    <m/>
    <m/>
    <m/>
    <x v="4"/>
    <x v="47"/>
    <m/>
    <m/>
    <m/>
    <m/>
    <n v="40"/>
    <m/>
    <n v="-550"/>
    <n v="-22000"/>
    <s v="구매"/>
    <m/>
  </r>
  <r>
    <n v="186"/>
    <d v="2026-05-26T00:00:00"/>
    <x v="8"/>
    <m/>
    <m/>
    <m/>
    <m/>
    <m/>
    <x v="4"/>
    <x v="48"/>
    <m/>
    <m/>
    <m/>
    <m/>
    <n v="5"/>
    <m/>
    <n v="-10000"/>
    <n v="-50000"/>
    <s v="구매"/>
    <m/>
  </r>
  <r>
    <n v="187"/>
    <d v="2026-05-26T00:00:00"/>
    <x v="9"/>
    <s v="원방"/>
    <s v="집게차"/>
    <s v="84나4888"/>
    <s v="김현수"/>
    <s v="010-5315-1508"/>
    <x v="2"/>
    <x v="36"/>
    <n v="21340"/>
    <n v="28340"/>
    <n v="6300"/>
    <n v="6300"/>
    <m/>
    <n v="6300"/>
    <n v="480"/>
    <n v="3024000"/>
    <s v="출고"/>
    <m/>
  </r>
  <r>
    <n v="188"/>
    <d v="2026-05-26T00:00:00"/>
    <x v="8"/>
    <s v="원방"/>
    <s v="집게차"/>
    <s v="84나4888"/>
    <s v="김현수"/>
    <s v="010-5315-1508"/>
    <x v="2"/>
    <x v="36"/>
    <m/>
    <m/>
    <n v="700"/>
    <n v="690"/>
    <m/>
    <n v="700"/>
    <n v="480"/>
    <n v="336000"/>
    <s v="출고"/>
    <m/>
  </r>
  <r>
    <n v="189"/>
    <d v="2026-05-26T00:00:00"/>
    <x v="8"/>
    <s v="원방"/>
    <s v="집게차"/>
    <s v="84나4888"/>
    <s v="김현수"/>
    <s v="010-5315-1508"/>
    <x v="2"/>
    <x v="14"/>
    <n v="21290"/>
    <n v="38460"/>
    <n v="15400"/>
    <n v="15400"/>
    <m/>
    <n v="15400"/>
    <n v="500"/>
    <n v="7700000"/>
    <s v="출고"/>
    <m/>
  </r>
  <r>
    <n v="190"/>
    <d v="2026-05-26T00:00:00"/>
    <x v="1"/>
    <s v="원방"/>
    <s v="집게차"/>
    <s v="84나4888"/>
    <s v="김현수"/>
    <s v="010-5315-1508"/>
    <x v="2"/>
    <x v="14"/>
    <m/>
    <m/>
    <n v="1770"/>
    <n v="1590"/>
    <m/>
    <n v="1770"/>
    <n v="500"/>
    <n v="885000"/>
    <s v="출고"/>
    <m/>
  </r>
  <r>
    <n v="191"/>
    <d v="2026-05-26T00:00:00"/>
    <x v="1"/>
    <s v="원방"/>
    <s v="암롤트럭"/>
    <s v="86노1445"/>
    <s v="김태정"/>
    <s v="010-3311-8084"/>
    <x v="0"/>
    <x v="0"/>
    <n v="20950"/>
    <n v="26320"/>
    <n v="3870"/>
    <n v="3320"/>
    <m/>
    <n v="3320"/>
    <n v="1930"/>
    <n v="6407600"/>
    <s v="출고"/>
    <m/>
  </r>
  <r>
    <n v="192"/>
    <d v="2026-05-26T00:00:00"/>
    <x v="1"/>
    <s v="원방"/>
    <s v="암롤트럭"/>
    <s v="86노1445"/>
    <s v="김태정"/>
    <s v="010-3311-8084"/>
    <x v="0"/>
    <x v="13"/>
    <m/>
    <m/>
    <m/>
    <n v="400"/>
    <m/>
    <n v="400"/>
    <n v="250"/>
    <n v="100000"/>
    <s v="출고"/>
    <m/>
  </r>
  <r>
    <n v="193"/>
    <d v="2026-05-26T00:00:00"/>
    <x v="8"/>
    <s v="원방"/>
    <s v="암롤트럭"/>
    <s v="86노1445"/>
    <s v="김태정"/>
    <s v="010-3311-8084"/>
    <x v="0"/>
    <x v="0"/>
    <m/>
    <m/>
    <n v="1500"/>
    <n v="1500"/>
    <m/>
    <n v="1500"/>
    <n v="1930"/>
    <n v="2895000"/>
    <s v="출고"/>
    <m/>
  </r>
  <r>
    <n v="194"/>
    <d v="2026-05-27T00:00:00"/>
    <x v="1"/>
    <s v="원방"/>
    <s v="집게차"/>
    <s v="충남80아4034"/>
    <s v="김현수"/>
    <s v="010-5315-1508"/>
    <x v="2"/>
    <x v="39"/>
    <n v="12270"/>
    <n v="32620"/>
    <n v="20350"/>
    <n v="20210"/>
    <m/>
    <n v="20350"/>
    <n v="460"/>
    <n v="9361000"/>
    <s v="출고"/>
    <m/>
  </r>
  <r>
    <n v="195"/>
    <d v="2026-05-28T00:00:00"/>
    <x v="1"/>
    <s v="원방"/>
    <s v="집게차"/>
    <s v="84나4888"/>
    <s v="김현수"/>
    <s v="010-5315-1508"/>
    <x v="2"/>
    <x v="14"/>
    <n v="21290"/>
    <n v="48330"/>
    <n v="27040"/>
    <n v="26590"/>
    <m/>
    <n v="27040"/>
    <n v="500"/>
    <n v="13520000"/>
    <s v="출고"/>
    <m/>
  </r>
  <r>
    <n v="196"/>
    <d v="2026-05-28T00:00:00"/>
    <x v="6"/>
    <s v="현장"/>
    <s v="방통차"/>
    <s v="대전87아5426"/>
    <m/>
    <m/>
    <x v="2"/>
    <x v="19"/>
    <n v="18760"/>
    <n v="37650"/>
    <n v="18890"/>
    <n v="18870"/>
    <m/>
    <n v="18890"/>
    <n v="480"/>
    <n v="9067200"/>
    <s v="출고"/>
    <m/>
  </r>
  <r>
    <n v="197"/>
    <d v="2026-05-28T00:00:00"/>
    <x v="6"/>
    <s v="현장"/>
    <s v="방통차"/>
    <s v="충남94바3226"/>
    <s v="노성래"/>
    <s v="010-5421-2238"/>
    <x v="2"/>
    <x v="37"/>
    <n v="17780"/>
    <n v="30830"/>
    <n v="13050"/>
    <n v="13070"/>
    <n v="500"/>
    <n v="12550"/>
    <n v="495"/>
    <n v="6212250"/>
    <s v="출고"/>
    <m/>
  </r>
  <r>
    <n v="198"/>
    <d v="2026-05-28T00:00:00"/>
    <x v="6"/>
    <s v="현장"/>
    <s v="방통차"/>
    <s v="충남82바1054"/>
    <s v="한창용"/>
    <s v="010-2566-7740"/>
    <x v="2"/>
    <x v="37"/>
    <n v="18050"/>
    <n v="28620"/>
    <n v="10570"/>
    <n v="10440"/>
    <m/>
    <n v="10570"/>
    <n v="495"/>
    <n v="5232150"/>
    <s v="출고"/>
    <m/>
  </r>
  <r>
    <n v="199"/>
    <d v="2026-05-28T00:00:00"/>
    <x v="6"/>
    <s v="현장"/>
    <s v="방통차"/>
    <s v="경기96자1089"/>
    <s v="서건식"/>
    <s v="010-9037-6416"/>
    <x v="2"/>
    <x v="37"/>
    <n v="18780"/>
    <n v="30820"/>
    <n v="12040"/>
    <n v="11930"/>
    <m/>
    <n v="12040"/>
    <n v="495"/>
    <n v="5959800"/>
    <s v="출고"/>
    <m/>
  </r>
  <r>
    <n v="200"/>
    <d v="2026-05-28T00:00:00"/>
    <x v="6"/>
    <s v="현장"/>
    <s v="방통차"/>
    <s v="충남80바2810"/>
    <s v="김상철"/>
    <s v="010-7107-6000"/>
    <x v="2"/>
    <x v="37"/>
    <n v="18800"/>
    <n v="29070"/>
    <n v="10270"/>
    <n v="10200"/>
    <m/>
    <n v="10270"/>
    <n v="495"/>
    <n v="5083650"/>
    <s v="출고"/>
    <m/>
  </r>
  <r>
    <n v="201"/>
    <d v="2026-05-28T00:00:00"/>
    <x v="6"/>
    <s v="현장"/>
    <s v="집게차"/>
    <s v="87주8410"/>
    <s v="배민국"/>
    <s v="010-9110-0126"/>
    <x v="2"/>
    <x v="20"/>
    <n v="13960"/>
    <n v="16320"/>
    <n v="2360"/>
    <n v="2360"/>
    <m/>
    <n v="2360"/>
    <n v="465"/>
    <n v="1097400"/>
    <s v="출고"/>
    <m/>
  </r>
  <r>
    <n v="202"/>
    <d v="2026-05-28T00:00:00"/>
    <x v="1"/>
    <s v="원방"/>
    <s v="집게차"/>
    <s v="87주8410"/>
    <s v="배민국"/>
    <s v="010-9110-0126"/>
    <x v="2"/>
    <x v="49"/>
    <n v="14080"/>
    <n v="31400"/>
    <n v="17320"/>
    <n v="17120"/>
    <m/>
    <n v="17320"/>
    <n v="500"/>
    <n v="8660000"/>
    <s v="출고"/>
    <m/>
  </r>
  <r>
    <n v="203"/>
    <d v="2026-05-29T00:00:00"/>
    <x v="6"/>
    <s v="원방"/>
    <s v="집게차"/>
    <s v="87주8410"/>
    <s v="배민국"/>
    <s v="010-9110-0126"/>
    <x v="4"/>
    <x v="50"/>
    <m/>
    <m/>
    <n v="1100"/>
    <n v="1100"/>
    <m/>
    <n v="1100"/>
    <n v="460"/>
    <n v="506000"/>
    <s v="출고"/>
    <m/>
  </r>
  <r>
    <n v="204"/>
    <d v="2026-05-29T00:00:00"/>
    <x v="1"/>
    <s v="원방"/>
    <s v="집게차"/>
    <s v="87주8410"/>
    <s v="배민국"/>
    <s v="010-9110-0126"/>
    <x v="4"/>
    <x v="50"/>
    <n v="14370"/>
    <n v="21460"/>
    <n v="5990"/>
    <n v="5990"/>
    <m/>
    <n v="5990"/>
    <n v="460"/>
    <n v="2755400"/>
    <s v="출고"/>
    <m/>
  </r>
  <r>
    <n v="205"/>
    <d v="2026-05-29T00:00:00"/>
    <x v="6"/>
    <s v="현장"/>
    <s v="집게차"/>
    <s v="87주8410"/>
    <m/>
    <m/>
    <x v="4"/>
    <x v="50"/>
    <n v="15020"/>
    <n v="17950"/>
    <n v="2930"/>
    <n v="2880"/>
    <m/>
    <n v="2930"/>
    <n v="460"/>
    <n v="1347800"/>
    <s v="출고"/>
    <m/>
  </r>
  <r>
    <n v="206"/>
    <d v="2026-05-30T00:00:00"/>
    <x v="1"/>
    <s v="원방"/>
    <s v="카고"/>
    <s v="충남80아4194"/>
    <s v="이근학"/>
    <s v="010-3198-8472"/>
    <x v="8"/>
    <x v="30"/>
    <n v="9710"/>
    <n v="13610"/>
    <n v="3900"/>
    <m/>
    <m/>
    <n v="3900"/>
    <n v="0"/>
    <n v="0"/>
    <s v="출고"/>
    <m/>
  </r>
  <r>
    <n v="207"/>
    <d v="2026-05-30T00:00:00"/>
    <x v="1"/>
    <s v="원방"/>
    <s v="카고"/>
    <s v="충남83아1305"/>
    <s v="조상갑"/>
    <s v="010-5408-0449"/>
    <x v="8"/>
    <x v="30"/>
    <n v="9360"/>
    <n v="13250"/>
    <n v="3890"/>
    <m/>
    <m/>
    <n v="3890"/>
    <n v="0"/>
    <n v="0"/>
    <s v="출고"/>
    <m/>
  </r>
  <r>
    <n v="208"/>
    <d v="2026-05-30T00:00:00"/>
    <x v="1"/>
    <s v="원방"/>
    <s v="집게차"/>
    <s v="84나4888"/>
    <s v="김현수"/>
    <s v="010-5899-9660"/>
    <x v="2"/>
    <x v="14"/>
    <n v="21320"/>
    <n v="53910"/>
    <n v="32590"/>
    <m/>
    <m/>
    <n v="32590"/>
    <n v="510"/>
    <n v="16620900"/>
    <s v="출고"/>
    <m/>
  </r>
  <r>
    <n v="209"/>
    <d v="2026-05-30T00:00:00"/>
    <x v="1"/>
    <s v="원방"/>
    <s v="암롤트럭"/>
    <s v="86노1445"/>
    <s v="김태정"/>
    <s v="010-3311-8084"/>
    <x v="2"/>
    <x v="14"/>
    <n v="19410"/>
    <n v="48390"/>
    <n v="28980"/>
    <m/>
    <m/>
    <n v="28980"/>
    <n v="500"/>
    <n v="14490000"/>
    <s v="출고"/>
    <m/>
  </r>
  <r>
    <n v="210"/>
    <d v="2026-05-30T00:00:00"/>
    <x v="1"/>
    <s v="원방"/>
    <s v="집게차"/>
    <s v="87주8410"/>
    <s v="배민국"/>
    <s v="010-9110-0126"/>
    <x v="2"/>
    <x v="14"/>
    <n v="14400"/>
    <n v="21890"/>
    <n v="7490"/>
    <m/>
    <m/>
    <n v="7490"/>
    <n v="520"/>
    <n v="3894800"/>
    <s v="출고"/>
    <m/>
  </r>
  <r>
    <n v="211"/>
    <d v="2026-06-01T00:00:00"/>
    <x v="1"/>
    <s v="원방"/>
    <s v="집게차"/>
    <s v="96거5789"/>
    <s v="배민국"/>
    <s v="010-9110-0126"/>
    <x v="0"/>
    <x v="0"/>
    <n v="13600"/>
    <n v="14810"/>
    <n v="605"/>
    <n v="610"/>
    <n v="3"/>
    <n v="607"/>
    <n v="2030"/>
    <n v="1232210"/>
    <s v="출고"/>
    <m/>
  </r>
  <r>
    <n v="212"/>
    <d v="2026-06-01T00:00:00"/>
    <x v="8"/>
    <s v="원방"/>
    <s v="집게차"/>
    <s v="96거5789"/>
    <s v="배민국"/>
    <s v="010-9110-0126"/>
    <x v="0"/>
    <x v="0"/>
    <m/>
    <m/>
    <n v="605"/>
    <n v="400"/>
    <n v="3"/>
    <n v="397"/>
    <n v="2030"/>
    <n v="805910"/>
    <s v="출고"/>
    <m/>
  </r>
  <r>
    <n v="213"/>
    <d v="2026-06-01T00:00:00"/>
    <x v="8"/>
    <s v="원방"/>
    <s v="집게차"/>
    <s v="96거5789"/>
    <s v="배민국"/>
    <s v="010-9110-0126"/>
    <x v="0"/>
    <x v="1"/>
    <m/>
    <m/>
    <m/>
    <n v="210"/>
    <m/>
    <n v="210"/>
    <n v="250"/>
    <n v="52500"/>
    <s v="출고"/>
    <m/>
  </r>
  <r>
    <n v="214"/>
    <d v="2026-06-01T00:00:00"/>
    <x v="1"/>
    <s v="원방"/>
    <s v="최명동 집게차"/>
    <s v="82모8185"/>
    <s v="최명동"/>
    <m/>
    <x v="3"/>
    <x v="25"/>
    <n v="13230"/>
    <n v="15460"/>
    <n v="1561"/>
    <n v="1561"/>
    <n v="10"/>
    <n v="1551"/>
    <n v="3900"/>
    <n v="6048900"/>
    <s v="출고"/>
    <m/>
  </r>
  <r>
    <n v="215"/>
    <d v="2026-06-01T00:00:00"/>
    <x v="8"/>
    <s v="원방"/>
    <s v="최명동 집게차"/>
    <s v="82모8185"/>
    <s v="최명동"/>
    <m/>
    <x v="3"/>
    <x v="25"/>
    <m/>
    <m/>
    <n v="669"/>
    <n v="669"/>
    <m/>
    <n v="669"/>
    <n v="3900"/>
    <n v="2609100"/>
    <s v="출고"/>
    <m/>
  </r>
  <r>
    <n v="216"/>
    <d v="2026-06-01T00:00:00"/>
    <x v="1"/>
    <s v="원방"/>
    <s v="집게차"/>
    <s v="82서3367"/>
    <m/>
    <m/>
    <x v="9"/>
    <x v="5"/>
    <n v="13390"/>
    <n v="15740"/>
    <n v="2350"/>
    <m/>
    <m/>
    <n v="2350"/>
    <n v="19950"/>
    <n v="46882500"/>
    <s v="출고"/>
    <m/>
  </r>
  <r>
    <n v="217"/>
    <d v="2026-06-01T00:00:00"/>
    <x v="1"/>
    <s v="원방"/>
    <s v="집게차"/>
    <s v="87주8410"/>
    <s v="배민국"/>
    <s v="010-9110-0126"/>
    <x v="2"/>
    <x v="14"/>
    <n v="14480"/>
    <n v="20910"/>
    <n v="6430"/>
    <n v="6430"/>
    <m/>
    <n v="6430"/>
    <n v="510"/>
    <n v="3279300"/>
    <s v="출고"/>
    <m/>
  </r>
  <r>
    <n v="218"/>
    <d v="2026-06-01T00:00:00"/>
    <x v="6"/>
    <s v="현장"/>
    <s v="방통차"/>
    <s v="대전87아5975"/>
    <s v="성태규"/>
    <s v="010-9049-6769"/>
    <x v="2"/>
    <x v="19"/>
    <n v="18510"/>
    <n v="36790"/>
    <n v="18280"/>
    <n v="18200"/>
    <m/>
    <n v="18280"/>
    <n v="480"/>
    <n v="8774400"/>
    <s v="출고"/>
    <m/>
  </r>
  <r>
    <n v="219"/>
    <d v="2026-06-01T00:00:00"/>
    <x v="6"/>
    <s v="현장"/>
    <s v="방통차"/>
    <s v="대전87아5975"/>
    <s v="성태규"/>
    <s v="010-9049-6769"/>
    <x v="2"/>
    <x v="36"/>
    <n v="18770"/>
    <n v="36360"/>
    <n v="17590"/>
    <m/>
    <m/>
    <n v="17590"/>
    <n v="490"/>
    <n v="8619100"/>
    <s v="출고"/>
    <m/>
  </r>
  <r>
    <n v="220"/>
    <d v="2026-06-01T00:00:00"/>
    <x v="6"/>
    <s v="현장"/>
    <s v="집게차"/>
    <s v="84나4888"/>
    <s v="김현수"/>
    <s v="010-5315-1508"/>
    <x v="4"/>
    <x v="20"/>
    <n v="21220"/>
    <n v="24620"/>
    <n v="3400"/>
    <m/>
    <m/>
    <n v="3400"/>
    <n v="450"/>
    <n v="1530000"/>
    <s v="출고"/>
    <m/>
  </r>
  <r>
    <n v="221"/>
    <d v="2026-06-02T00:00:00"/>
    <x v="1"/>
    <s v="원방"/>
    <s v="집게차"/>
    <s v="87주8410"/>
    <s v="배민국"/>
    <s v="010-9110-0126"/>
    <x v="0"/>
    <x v="51"/>
    <n v="14400"/>
    <n v="14700"/>
    <n v="300"/>
    <n v="250"/>
    <m/>
    <n v="250"/>
    <n v="700"/>
    <n v="175000"/>
    <s v="출고"/>
    <m/>
  </r>
  <r>
    <n v="222"/>
    <d v="2026-06-02T00:00:00"/>
    <x v="1"/>
    <s v="원방"/>
    <s v="집게차"/>
    <s v="87주8410"/>
    <s v="배민국"/>
    <s v="010-9110-0126"/>
    <x v="0"/>
    <x v="21"/>
    <n v="14700"/>
    <n v="15390"/>
    <n v="690"/>
    <n v="700"/>
    <n v="3"/>
    <n v="697"/>
    <n v="3900"/>
    <n v="2718300"/>
    <s v="출고"/>
    <m/>
  </r>
  <r>
    <n v="223"/>
    <d v="2026-06-02T00:00:00"/>
    <x v="1"/>
    <s v="원방"/>
    <s v="집게차"/>
    <s v="87주8410"/>
    <s v="배민국"/>
    <s v="010-9110-0126"/>
    <x v="0"/>
    <x v="44"/>
    <n v="15390"/>
    <n v="15700"/>
    <n v="310"/>
    <n v="304"/>
    <n v="3"/>
    <n v="301"/>
    <n v="5100"/>
    <n v="1535100"/>
    <s v="출고"/>
    <m/>
  </r>
  <r>
    <n v="224"/>
    <d v="2026-06-02T00:00:00"/>
    <x v="1"/>
    <s v="원방"/>
    <s v="집게차"/>
    <s v="87주8410"/>
    <s v="배민국"/>
    <s v="010-9110-0126"/>
    <x v="0"/>
    <x v="52"/>
    <n v="15700"/>
    <n v="16070"/>
    <n v="370"/>
    <n v="406"/>
    <n v="3"/>
    <n v="403"/>
    <n v="5000"/>
    <n v="2015000"/>
    <s v="출고"/>
    <m/>
  </r>
  <r>
    <n v="225"/>
    <d v="2026-06-02T00:00:00"/>
    <x v="1"/>
    <s v="원방"/>
    <s v="집게차"/>
    <s v="87주8410"/>
    <s v="배민국"/>
    <s v="010-9110-0126"/>
    <x v="0"/>
    <x v="33"/>
    <n v="16070"/>
    <n v="16130"/>
    <n v="26"/>
    <n v="26"/>
    <m/>
    <n v="26"/>
    <n v="40000"/>
    <n v="1040000"/>
    <s v="출고"/>
    <m/>
  </r>
  <r>
    <n v="226"/>
    <d v="2026-06-02T00:00:00"/>
    <x v="1"/>
    <s v="원방"/>
    <s v="집게차"/>
    <s v="87주8410"/>
    <s v="배민국"/>
    <s v="010-9110-0126"/>
    <x v="0"/>
    <x v="52"/>
    <m/>
    <m/>
    <n v="34"/>
    <m/>
    <m/>
    <n v="0"/>
    <m/>
    <n v="0"/>
    <s v="출고"/>
    <m/>
  </r>
  <r>
    <n v="227"/>
    <d v="2026-06-02T00:00:00"/>
    <x v="1"/>
    <s v="원방"/>
    <s v="집게차"/>
    <s v="89러0134"/>
    <s v="다문산업"/>
    <m/>
    <x v="1"/>
    <x v="5"/>
    <n v="12950"/>
    <n v="15370"/>
    <n v="2420"/>
    <n v="2420"/>
    <n v="6"/>
    <n v="2414"/>
    <n v="20100"/>
    <n v="48521400"/>
    <s v="출고"/>
    <m/>
  </r>
  <r>
    <n v="228"/>
    <d v="2026-06-02T00:00:00"/>
    <x v="1"/>
    <s v="원방"/>
    <s v="집게차"/>
    <s v="89러0134"/>
    <s v="다문산업"/>
    <m/>
    <x v="1"/>
    <x v="26"/>
    <n v="15370"/>
    <n v="16130"/>
    <n v="700"/>
    <n v="750"/>
    <n v="3"/>
    <n v="697"/>
    <n v="19700"/>
    <n v="13730900"/>
    <s v="출고"/>
    <m/>
  </r>
  <r>
    <n v="229"/>
    <d v="2026-06-02T00:00:00"/>
    <x v="1"/>
    <s v="원방"/>
    <s v="집게차"/>
    <s v="89러0134"/>
    <s v="다문산업"/>
    <m/>
    <x v="1"/>
    <x v="6"/>
    <n v="16130"/>
    <n v="18970"/>
    <n v="2900"/>
    <n v="2840"/>
    <n v="27"/>
    <n v="2873"/>
    <n v="19300"/>
    <n v="55448900"/>
    <s v="출고"/>
    <m/>
  </r>
  <r>
    <n v="230"/>
    <d v="2026-06-02T00:00:00"/>
    <x v="1"/>
    <s v="원방"/>
    <s v="집게차"/>
    <s v="89러0134"/>
    <s v="다문산업"/>
    <m/>
    <x v="1"/>
    <x v="2"/>
    <n v="18970"/>
    <n v="20930"/>
    <n v="1960"/>
    <n v="1950"/>
    <n v="15"/>
    <n v="1945"/>
    <n v="6400"/>
    <n v="12448000"/>
    <s v="출고"/>
    <m/>
  </r>
  <r>
    <n v="231"/>
    <d v="2026-06-02T00:00:00"/>
    <x v="1"/>
    <s v="원방"/>
    <s v="집게차"/>
    <s v="89러0134"/>
    <s v="다문산업"/>
    <m/>
    <x v="1"/>
    <x v="53"/>
    <n v="20930"/>
    <n v="22810"/>
    <n v="1880"/>
    <n v="1880"/>
    <n v="6"/>
    <n v="1874"/>
    <n v="9600"/>
    <n v="17990400"/>
    <s v="출고"/>
    <m/>
  </r>
  <r>
    <n v="232"/>
    <d v="2026-06-03T00:00:00"/>
    <x v="1"/>
    <s v="원방"/>
    <s v="집게차"/>
    <s v="89러0134"/>
    <s v="다문산업"/>
    <m/>
    <x v="1"/>
    <x v="6"/>
    <n v="12920"/>
    <n v="24130"/>
    <n v="11210"/>
    <n v="11210"/>
    <n v="3"/>
    <n v="11207"/>
    <n v="19000"/>
    <n v="212933000"/>
    <s v="출고"/>
    <m/>
  </r>
  <r>
    <n v="233"/>
    <d v="2026-06-03T00:00:00"/>
    <x v="1"/>
    <s v="원방"/>
    <s v="집게차"/>
    <s v="89러0134"/>
    <s v="다문산업"/>
    <m/>
    <x v="1"/>
    <x v="6"/>
    <n v="24130"/>
    <n v="24180"/>
    <n v="50"/>
    <n v="50"/>
    <n v="3"/>
    <n v="47"/>
    <n v="19000"/>
    <n v="893000"/>
    <s v="출고"/>
    <m/>
  </r>
  <r>
    <n v="234"/>
    <d v="2026-06-03T00:00:00"/>
    <x v="1"/>
    <s v="원방"/>
    <s v="카고"/>
    <s v="경북82아6875"/>
    <m/>
    <m/>
    <x v="1"/>
    <x v="54"/>
    <n v="15720"/>
    <n v="29570"/>
    <n v="13850"/>
    <n v="13850"/>
    <n v="500"/>
    <n v="13350"/>
    <n v="3700"/>
    <n v="49395000"/>
    <s v="출고"/>
    <m/>
  </r>
  <r>
    <n v="235"/>
    <d v="2026-06-03T00:00:00"/>
    <x v="9"/>
    <s v="원방"/>
    <s v="카고"/>
    <s v="경북82아6875"/>
    <m/>
    <m/>
    <x v="1"/>
    <x v="34"/>
    <n v="29570"/>
    <n v="33220"/>
    <n v="3450"/>
    <n v="3450"/>
    <n v="3"/>
    <n v="3447"/>
    <n v="3700"/>
    <n v="12753900"/>
    <s v="출고"/>
    <m/>
  </r>
  <r>
    <n v="236"/>
    <d v="2026-06-03T00:00:00"/>
    <x v="1"/>
    <s v="원방"/>
    <s v="카고"/>
    <s v="경북82아6875"/>
    <m/>
    <m/>
    <x v="1"/>
    <x v="34"/>
    <m/>
    <m/>
    <n v="200"/>
    <n v="200"/>
    <m/>
    <n v="200"/>
    <n v="3700"/>
    <n v="740000"/>
    <s v="출고"/>
    <m/>
  </r>
  <r>
    <n v="237"/>
    <d v="2026-06-03T00:00:00"/>
    <x v="1"/>
    <s v="원방"/>
    <s v="카고"/>
    <s v="경북82아6875"/>
    <m/>
    <m/>
    <x v="1"/>
    <x v="41"/>
    <n v="33220"/>
    <n v="36920"/>
    <n v="3700"/>
    <n v="3700"/>
    <n v="24"/>
    <n v="3676"/>
    <n v="1250"/>
    <n v="4595000"/>
    <s v="출고"/>
    <m/>
  </r>
  <r>
    <n v="238"/>
    <d v="2026-06-03T00:00:00"/>
    <x v="1"/>
    <s v="원방"/>
    <s v="집게차"/>
    <s v="96로8332"/>
    <s v="다문산업"/>
    <m/>
    <x v="1"/>
    <x v="41"/>
    <n v="12670"/>
    <n v="14420"/>
    <n v="1750"/>
    <n v="1750"/>
    <n v="3"/>
    <n v="1747"/>
    <n v="1250"/>
    <n v="2183750"/>
    <s v="출고"/>
    <m/>
  </r>
  <r>
    <n v="239"/>
    <d v="2026-06-03T00:00:00"/>
    <x v="1"/>
    <s v="원방"/>
    <s v="집게차"/>
    <s v="96로8332"/>
    <s v="다문산업"/>
    <m/>
    <x v="1"/>
    <x v="55"/>
    <n v="14420"/>
    <n v="19780"/>
    <n v="5360"/>
    <n v="5360"/>
    <n v="30"/>
    <n v="5330"/>
    <n v="11500"/>
    <n v="61295000"/>
    <s v="출고"/>
    <m/>
  </r>
  <r>
    <n v="240"/>
    <d v="2026-06-04T00:00:00"/>
    <x v="8"/>
    <s v="현장"/>
    <s v="집게차"/>
    <s v="84나4888"/>
    <s v="김현수"/>
    <s v="010-5315-1508"/>
    <x v="0"/>
    <x v="24"/>
    <n v="21280"/>
    <n v="23840"/>
    <n v="2380"/>
    <n v="2360"/>
    <m/>
    <n v="2360"/>
    <n v="1930"/>
    <n v="4554800"/>
    <s v="출고"/>
    <m/>
  </r>
  <r>
    <n v="241"/>
    <d v="2026-06-04T00:00:00"/>
    <x v="1"/>
    <s v="원방"/>
    <s v="카고"/>
    <s v="84나4888"/>
    <s v="김현수"/>
    <s v="010-5315-1508"/>
    <x v="0"/>
    <x v="24"/>
    <m/>
    <m/>
    <n v="180"/>
    <n v="180"/>
    <m/>
    <n v="180"/>
    <n v="1930"/>
    <n v="347400"/>
    <s v="출고"/>
    <m/>
  </r>
  <r>
    <n v="242"/>
    <d v="2026-06-04T00:00:00"/>
    <x v="8"/>
    <s v="원방"/>
    <s v="카고"/>
    <s v="충남80아3416"/>
    <s v="오인섭"/>
    <s v="010-2403-9428"/>
    <x v="0"/>
    <x v="24"/>
    <n v="8890"/>
    <n v="11270"/>
    <n v="2380"/>
    <n v="2370"/>
    <m/>
    <n v="2370"/>
    <n v="1930"/>
    <n v="4574100"/>
    <s v="출고"/>
    <m/>
  </r>
  <r>
    <n v="243"/>
    <d v="2026-06-04T00:00:00"/>
    <x v="6"/>
    <s v="현장"/>
    <s v="방통차"/>
    <s v="전북80사5648"/>
    <s v="이윤희"/>
    <s v="010-8770-9101"/>
    <x v="2"/>
    <x v="19"/>
    <n v="18570"/>
    <n v="39780"/>
    <n v="21210"/>
    <m/>
    <m/>
    <n v="21210"/>
    <n v="480"/>
    <n v="10180800"/>
    <s v="출고"/>
    <m/>
  </r>
  <r>
    <n v="244"/>
    <d v="2026-06-04T00:00:00"/>
    <x v="6"/>
    <s v="현장"/>
    <s v="집게차"/>
    <s v="84나4888"/>
    <s v="이민수"/>
    <s v="010-8282-5885"/>
    <x v="4"/>
    <x v="20"/>
    <n v="21100"/>
    <n v="26580"/>
    <n v="5240"/>
    <n v="5240"/>
    <m/>
    <n v="5240"/>
    <n v="460"/>
    <n v="2410400"/>
    <s v="출고"/>
    <m/>
  </r>
  <r>
    <n v="245"/>
    <d v="2026-06-09T00:00:00"/>
    <x v="6"/>
    <s v="현장"/>
    <s v="덤프트럭"/>
    <s v="충북91아2060"/>
    <m/>
    <m/>
    <x v="2"/>
    <x v="19"/>
    <n v="18130"/>
    <n v="37530"/>
    <n v="19400"/>
    <n v="19390"/>
    <m/>
    <n v="19400"/>
    <n v="490"/>
    <n v="9506000"/>
    <s v="출고"/>
    <m/>
  </r>
  <r>
    <n v="246"/>
    <d v="2026-06-09T00:00:00"/>
    <x v="6"/>
    <s v="현장"/>
    <s v="덤프트럭"/>
    <s v="경기90자2889"/>
    <m/>
    <m/>
    <x v="2"/>
    <x v="19"/>
    <n v="18530"/>
    <n v="37930"/>
    <n v="19400"/>
    <n v="19370"/>
    <m/>
    <n v="19400"/>
    <n v="490"/>
    <n v="9506000"/>
    <s v="출고"/>
    <m/>
  </r>
  <r>
    <n v="247"/>
    <d v="2026-06-10T00:00:00"/>
    <x v="11"/>
    <s v="원방"/>
    <s v="레이"/>
    <s v="196모1540"/>
    <m/>
    <m/>
    <x v="10"/>
    <x v="56"/>
    <n v="1150"/>
    <n v="1210"/>
    <n v="60"/>
    <m/>
    <m/>
    <n v="60"/>
    <m/>
    <n v="0"/>
    <s v="출고"/>
    <m/>
  </r>
  <r>
    <n v="248"/>
    <d v="2026-06-10T00:00:00"/>
    <x v="12"/>
    <s v="크로스"/>
    <s v="1톤트럭"/>
    <s v="84러0698"/>
    <s v="김성호"/>
    <s v="010-5495-4460"/>
    <x v="11"/>
    <x v="57"/>
    <n v="1960"/>
    <n v="3130"/>
    <n v="1170"/>
    <m/>
    <m/>
    <n v="1170"/>
    <n v="1500"/>
    <n v="1755000"/>
    <s v="출고"/>
    <m/>
  </r>
  <r>
    <n v="249"/>
    <d v="2026-06-11T00:00:00"/>
    <x v="6"/>
    <s v="현장"/>
    <s v="방통차"/>
    <s v="인천80자1904"/>
    <s v="배조성"/>
    <s v="010-4737-6803"/>
    <x v="2"/>
    <x v="19"/>
    <n v="18600"/>
    <n v="36780"/>
    <n v="18180"/>
    <n v="17990"/>
    <m/>
    <n v="18180"/>
    <n v="490"/>
    <n v="8908200"/>
    <s v="출고"/>
    <m/>
  </r>
  <r>
    <n v="250"/>
    <d v="2026-06-11T00:00:00"/>
    <x v="6"/>
    <s v="현장"/>
    <s v="방통차"/>
    <s v="전남90바1977"/>
    <m/>
    <m/>
    <x v="2"/>
    <x v="19"/>
    <n v="18470"/>
    <n v="42010"/>
    <n v="23540"/>
    <n v="23410"/>
    <m/>
    <n v="23540"/>
    <n v="490"/>
    <n v="11534600"/>
    <s v="출고"/>
    <m/>
  </r>
  <r>
    <n v="251"/>
    <d v="2026-06-13T00:00:00"/>
    <x v="11"/>
    <s v="원방"/>
    <s v="집게차"/>
    <s v="87주8410"/>
    <s v="배민국"/>
    <s v="010-9110-0126"/>
    <x v="4"/>
    <x v="20"/>
    <n v="14410"/>
    <n v="19710"/>
    <n v="5300"/>
    <n v="5210"/>
    <m/>
    <n v="5210"/>
    <n v="490"/>
    <n v="2552900"/>
    <s v="출고"/>
    <m/>
  </r>
  <r>
    <n v="252"/>
    <d v="2026-06-13T00:00:00"/>
    <x v="6"/>
    <s v="원방"/>
    <s v="집게차"/>
    <s v="87주8410"/>
    <s v="배민국"/>
    <s v="010-9110-0126"/>
    <x v="4"/>
    <x v="20"/>
    <n v="14450"/>
    <n v="15650"/>
    <n v="1200"/>
    <n v="1200"/>
    <m/>
    <n v="1200"/>
    <n v="490"/>
    <n v="588000"/>
    <s v="출고"/>
    <m/>
  </r>
  <r>
    <n v="253"/>
    <d v="2026-06-13T00:00:00"/>
    <x v="1"/>
    <s v="원방"/>
    <s v="집게차"/>
    <s v="87주8410"/>
    <s v="배민국"/>
    <s v="010-9110-0126"/>
    <x v="4"/>
    <x v="20"/>
    <n v="15650"/>
    <n v="18290"/>
    <n v="2640"/>
    <n v="2620"/>
    <m/>
    <n v="2620"/>
    <n v="490"/>
    <n v="1283800"/>
    <s v="출고"/>
    <m/>
  </r>
  <r>
    <n v="254"/>
    <d v="2026-06-13T00:00:00"/>
    <x v="13"/>
    <s v="원방"/>
    <s v="집게차"/>
    <s v="87주8410"/>
    <s v="배민국"/>
    <s v="010-9110-0126"/>
    <x v="2"/>
    <x v="14"/>
    <n v="14450"/>
    <n v="19880"/>
    <n v="5430"/>
    <n v="5370"/>
    <m/>
    <n v="5430"/>
    <n v="510"/>
    <n v="2769300"/>
    <s v="출고"/>
    <m/>
  </r>
  <r>
    <n v="255"/>
    <d v="2026-06-13T00:00:00"/>
    <x v="6"/>
    <s v="원방"/>
    <s v="집게차"/>
    <s v="87주8410"/>
    <s v="배민국"/>
    <s v="010-9110-0126"/>
    <x v="2"/>
    <x v="19"/>
    <n v="19880"/>
    <n v="26610"/>
    <n v="6730"/>
    <n v="6640"/>
    <m/>
    <n v="6730"/>
    <n v="490"/>
    <n v="3297700"/>
    <s v="출고"/>
    <m/>
  </r>
  <r>
    <n v="256"/>
    <d v="2026-06-13T00:00:00"/>
    <x v="6"/>
    <s v="원방"/>
    <s v="집게차"/>
    <s v="84나4888"/>
    <s v="김현수"/>
    <s v="010-5315-1508"/>
    <x v="2"/>
    <x v="58"/>
    <n v="21150"/>
    <n v="22680"/>
    <n v="1530"/>
    <n v="1500"/>
    <m/>
    <n v="1530"/>
    <n v="465"/>
    <n v="711450"/>
    <s v="출고"/>
    <m/>
  </r>
  <r>
    <n v="257"/>
    <d v="2026-06-13T00:00:00"/>
    <x v="10"/>
    <s v="원방"/>
    <s v="집게차"/>
    <s v="84나4888"/>
    <s v="김현수"/>
    <s v="010-5315-1508"/>
    <x v="2"/>
    <x v="14"/>
    <n v="21150"/>
    <n v="24480"/>
    <n v="3330"/>
    <n v="3330"/>
    <m/>
    <n v="3330"/>
    <n v="500"/>
    <n v="1665000"/>
    <s v="출고"/>
    <m/>
  </r>
  <r>
    <n v="258"/>
    <d v="2026-06-13T00:00:00"/>
    <x v="11"/>
    <s v="원방"/>
    <s v="집게차"/>
    <s v="84나4888"/>
    <s v="김현수"/>
    <s v="010-5315-1508"/>
    <x v="2"/>
    <x v="14"/>
    <n v="24480"/>
    <n v="28930"/>
    <n v="4450"/>
    <n v="4450"/>
    <m/>
    <n v="4450"/>
    <n v="500"/>
    <n v="2225000"/>
    <s v="출고"/>
    <m/>
  </r>
  <r>
    <n v="259"/>
    <d v="2026-06-13T00:00:00"/>
    <x v="14"/>
    <s v="원방"/>
    <s v="집게차"/>
    <s v="84나4888"/>
    <s v="김현수"/>
    <s v="010-5315-1508"/>
    <x v="2"/>
    <x v="14"/>
    <n v="28930"/>
    <n v="30690"/>
    <n v="1760"/>
    <n v="1670"/>
    <m/>
    <n v="1760"/>
    <n v="500"/>
    <n v="880000"/>
    <s v="출고"/>
    <m/>
  </r>
  <r>
    <n v="260"/>
    <d v="2026-06-18T00:00:00"/>
    <x v="11"/>
    <s v="원방"/>
    <s v="방통차"/>
    <s v="전북86사3075"/>
    <s v="이창민"/>
    <s v="010-8369-1270"/>
    <x v="3"/>
    <x v="59"/>
    <n v="18740"/>
    <n v="31860"/>
    <n v="12120"/>
    <n v="12120"/>
    <n v="28"/>
    <n v="12092"/>
    <n v="4400"/>
    <n v="53204800"/>
    <s v="출고"/>
    <m/>
  </r>
  <r>
    <n v="261"/>
    <d v="2026-06-18T00:00:00"/>
    <x v="15"/>
    <s v="원방"/>
    <s v="방통차"/>
    <s v="전북86사3075"/>
    <s v="이창민"/>
    <s v="010-8369-1270"/>
    <x v="3"/>
    <x v="59"/>
    <m/>
    <m/>
    <n v="1000"/>
    <n v="1000"/>
    <m/>
    <n v="1000"/>
    <n v="4400"/>
    <n v="4400000"/>
    <s v="출고"/>
    <m/>
  </r>
  <r>
    <n v="262"/>
    <d v="2026-06-18T00:00:00"/>
    <x v="0"/>
    <s v="원방"/>
    <s v="방통차"/>
    <s v="전북86사3075"/>
    <s v="이창민"/>
    <s v="010-8369-1270"/>
    <x v="3"/>
    <x v="60"/>
    <n v="31850"/>
    <n v="34090"/>
    <n v="2240"/>
    <n v="2240"/>
    <n v="4"/>
    <n v="2236"/>
    <n v="3900"/>
    <n v="8720400"/>
    <s v="출고"/>
    <m/>
  </r>
  <r>
    <n v="263"/>
    <d v="2026-06-22T00:00:00"/>
    <x v="11"/>
    <s v="원방"/>
    <s v="집게차"/>
    <s v="87주8410"/>
    <s v="배민국"/>
    <s v="010-9110-0126"/>
    <x v="0"/>
    <x v="0"/>
    <n v="14380"/>
    <n v="20910"/>
    <n v="4640"/>
    <n v="4280"/>
    <n v="12"/>
    <n v="4268"/>
    <n v="2050"/>
    <n v="8749400"/>
    <s v="출고"/>
    <m/>
  </r>
  <r>
    <n v="264"/>
    <d v="2026-06-22T00:00:00"/>
    <x v="11"/>
    <s v="원방"/>
    <s v="집게차"/>
    <s v="87주8410"/>
    <s v="배민국"/>
    <s v="010-9110-0126"/>
    <x v="0"/>
    <x v="1"/>
    <m/>
    <m/>
    <m/>
    <n v="320"/>
    <m/>
    <n v="320"/>
    <n v="250"/>
    <n v="80000"/>
    <s v="출고"/>
    <m/>
  </r>
  <r>
    <n v="265"/>
    <d v="2026-06-22T00:00:00"/>
    <x v="10"/>
    <s v="원방"/>
    <s v="집게차"/>
    <s v="87주8410"/>
    <s v="배민국"/>
    <s v="010-9110-0126"/>
    <x v="0"/>
    <x v="0"/>
    <m/>
    <m/>
    <n v="390"/>
    <n v="390"/>
    <m/>
    <n v="390"/>
    <n v="2050"/>
    <n v="799500"/>
    <s v="출고"/>
    <m/>
  </r>
  <r>
    <n v="266"/>
    <d v="2026-06-22T00:00:00"/>
    <x v="8"/>
    <s v="원방"/>
    <s v="집게차"/>
    <s v="87주8410"/>
    <s v="배민국"/>
    <s v="010-9110-0126"/>
    <x v="0"/>
    <x v="0"/>
    <m/>
    <m/>
    <n v="1000"/>
    <n v="1000"/>
    <m/>
    <n v="1000"/>
    <n v="2050"/>
    <n v="2050000"/>
    <s v="출고"/>
    <m/>
  </r>
  <r>
    <n v="267"/>
    <d v="2026-06-22T00:00:00"/>
    <x v="1"/>
    <s v="원방"/>
    <s v="집게차"/>
    <s v="87주8410"/>
    <s v="배민국"/>
    <s v="010-9110-0126"/>
    <x v="0"/>
    <x v="0"/>
    <m/>
    <m/>
    <n v="500"/>
    <n v="500"/>
    <m/>
    <n v="500"/>
    <n v="2050"/>
    <n v="1025000"/>
    <s v="출고"/>
    <m/>
  </r>
  <r>
    <n v="268"/>
    <d v="2026-06-22T00:00:00"/>
    <x v="11"/>
    <s v="원방"/>
    <s v="집게차"/>
    <s v="87주8410"/>
    <s v="배민국"/>
    <s v="010-9110-0126"/>
    <x v="4"/>
    <x v="20"/>
    <n v="14440"/>
    <n v="20850"/>
    <n v="6410"/>
    <n v="6440"/>
    <m/>
    <n v="6440"/>
    <n v="490"/>
    <n v="3155600"/>
    <s v="출고"/>
    <m/>
  </r>
  <r>
    <n v="269"/>
    <d v="2026-06-22T00:00:00"/>
    <x v="11"/>
    <s v="원방"/>
    <s v="집게차"/>
    <s v="96거5789"/>
    <m/>
    <m/>
    <x v="4"/>
    <x v="17"/>
    <n v="13890"/>
    <n v="22920"/>
    <n v="9030"/>
    <n v="8970"/>
    <m/>
    <n v="8970"/>
    <n v="470"/>
    <n v="4215900"/>
    <s v="출고"/>
    <m/>
  </r>
  <r>
    <n v="270"/>
    <d v="2026-06-22T00:00:00"/>
    <x v="11"/>
    <s v="원방"/>
    <s v="집게차"/>
    <s v="87주8410"/>
    <s v="배민국"/>
    <s v="010-9110-0126"/>
    <x v="2"/>
    <x v="14"/>
    <n v="14380"/>
    <n v="17630"/>
    <n v="3250"/>
    <m/>
    <m/>
    <n v="3250"/>
    <n v="510"/>
    <n v="1657500"/>
    <s v="출고"/>
    <m/>
  </r>
  <r>
    <n v="271"/>
    <d v="2026-06-22T00:00:00"/>
    <x v="2"/>
    <s v="현장"/>
    <s v="방통차"/>
    <s v="전북86사4238"/>
    <m/>
    <m/>
    <x v="2"/>
    <x v="19"/>
    <n v="18360"/>
    <n v="36820"/>
    <n v="18460"/>
    <n v="18460"/>
    <n v="200"/>
    <n v="18260"/>
    <n v="490"/>
    <n v="8947400"/>
    <s v="출고"/>
    <m/>
  </r>
  <r>
    <n v="272"/>
    <d v="2026-06-23T00:00:00"/>
    <x v="0"/>
    <s v="원방"/>
    <s v="카고"/>
    <s v="81러3615"/>
    <s v="이원영"/>
    <s v="010-9992-4447"/>
    <x v="12"/>
    <x v="61"/>
    <n v="8030"/>
    <n v="9110"/>
    <n v="1080"/>
    <m/>
    <m/>
    <n v="1080"/>
    <n v="230"/>
    <n v="248400"/>
    <s v="출고"/>
    <m/>
  </r>
  <r>
    <n v="273"/>
    <d v="2026-06-25T00:00:00"/>
    <x v="0"/>
    <s v="원방"/>
    <s v="집게차"/>
    <s v="87주8410"/>
    <m/>
    <m/>
    <x v="13"/>
    <x v="62"/>
    <n v="14200"/>
    <n v="21550"/>
    <n v="7350"/>
    <n v="7350"/>
    <n v="26"/>
    <n v="7324"/>
    <n v="4300"/>
    <n v="31493200"/>
    <s v="출고"/>
    <m/>
  </r>
  <r>
    <n v="274"/>
    <d v="2026-06-29T00:00:00"/>
    <x v="11"/>
    <s v="원방"/>
    <s v="집게차"/>
    <s v="87주8410"/>
    <s v="김현수"/>
    <s v="010-5315-1508"/>
    <x v="4"/>
    <x v="50"/>
    <n v="14080"/>
    <n v="19900"/>
    <n v="5820"/>
    <n v="5750"/>
    <m/>
    <n v="5750"/>
    <n v="490"/>
    <n v="2817500"/>
    <s v="출고"/>
    <m/>
  </r>
  <r>
    <n v="275"/>
    <d v="2026-06-29T00:00:00"/>
    <x v="11"/>
    <s v="원방"/>
    <s v="집게차"/>
    <s v="87주8410"/>
    <s v="김현수"/>
    <s v="010-5315-1508"/>
    <x v="4"/>
    <x v="50"/>
    <n v="14440"/>
    <n v="19780"/>
    <n v="5340"/>
    <n v="5290"/>
    <m/>
    <n v="5290"/>
    <n v="490"/>
    <n v="2592100"/>
    <s v="출고"/>
    <m/>
  </r>
  <r>
    <n v="276"/>
    <d v="2026-06-29T00:00:00"/>
    <x v="11"/>
    <s v="원방"/>
    <s v="암롤트럭"/>
    <s v="86노1445"/>
    <s v="김현수"/>
    <s v="010-5315-1508"/>
    <x v="0"/>
    <x v="0"/>
    <n v="20390"/>
    <n v="27080"/>
    <n v="4450"/>
    <n v="4450"/>
    <n v="9"/>
    <n v="4441"/>
    <n v="2050"/>
    <n v="9104050"/>
    <s v="출고"/>
    <m/>
  </r>
  <r>
    <n v="277"/>
    <d v="2026-06-29T00:00:00"/>
    <x v="16"/>
    <s v="원방"/>
    <s v="암롤트럭"/>
    <s v="86노1445"/>
    <s v="김현수"/>
    <s v="010-5315-1508"/>
    <x v="0"/>
    <x v="0"/>
    <m/>
    <m/>
    <n v="2070"/>
    <n v="2070"/>
    <m/>
    <n v="2070"/>
    <n v="2050"/>
    <n v="4243500"/>
    <s v="출고"/>
    <m/>
  </r>
  <r>
    <n v="278"/>
    <d v="2026-06-29T00:00:00"/>
    <x v="10"/>
    <s v="원방"/>
    <s v="암롤트럭"/>
    <s v="86노1445"/>
    <s v="김현수"/>
    <s v="010-5315-1508"/>
    <x v="0"/>
    <x v="0"/>
    <m/>
    <m/>
    <n v="170"/>
    <n v="170"/>
    <m/>
    <n v="170"/>
    <n v="2050"/>
    <n v="348500"/>
    <s v="출고"/>
    <m/>
  </r>
  <r>
    <n v="279"/>
    <d v="2026-06-30T00:00:00"/>
    <x v="15"/>
    <s v="원방"/>
    <s v="카고"/>
    <s v="경기84아5691"/>
    <s v="이필선"/>
    <s v="010-5877-2833"/>
    <x v="3"/>
    <x v="15"/>
    <m/>
    <m/>
    <n v="1392"/>
    <n v="1392"/>
    <m/>
    <n v="1392"/>
    <n v="4500"/>
    <n v="6264000"/>
    <s v="출고"/>
    <m/>
  </r>
  <r>
    <n v="280"/>
    <d v="2026-06-30T00:00:00"/>
    <x v="11"/>
    <s v="원방"/>
    <s v="카고"/>
    <s v="경기84아5691"/>
    <s v="이필선"/>
    <s v="010-5877-2833"/>
    <x v="3"/>
    <x v="15"/>
    <n v="8550"/>
    <n v="14280"/>
    <n v="4338"/>
    <n v="4338"/>
    <n v="30"/>
    <n v="4308"/>
    <n v="4500"/>
    <n v="19386000"/>
    <s v="출고"/>
    <m/>
  </r>
  <r>
    <n v="281"/>
    <d v="2026-06-30T00:00:00"/>
    <x v="11"/>
    <s v="원방"/>
    <s v="집게차"/>
    <s v="82모8185"/>
    <s v="최명동"/>
    <s v="010-7997-2485"/>
    <x v="3"/>
    <x v="16"/>
    <n v="13360"/>
    <n v="20570"/>
    <n v="7210"/>
    <n v="7210"/>
    <n v="10"/>
    <n v="7200"/>
    <n v="4100"/>
    <n v="29520000"/>
    <s v="출고"/>
    <m/>
  </r>
  <r>
    <n v="282"/>
    <d v="2026-06-30T00:00:00"/>
    <x v="2"/>
    <s v="현장"/>
    <s v="방통차"/>
    <s v="서울88아6699"/>
    <m/>
    <m/>
    <x v="2"/>
    <x v="19"/>
    <n v="18220"/>
    <n v="35800"/>
    <n v="17580"/>
    <n v="17580"/>
    <m/>
    <n v="17580"/>
    <n v="490"/>
    <n v="8614200"/>
    <s v="출고"/>
    <m/>
  </r>
  <r>
    <n v="283"/>
    <m/>
    <x v="17"/>
    <m/>
    <m/>
    <m/>
    <m/>
    <m/>
    <x v="14"/>
    <x v="63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AE4276-D829-4363-9D6B-DD920259C3C6}" name="피벗 테이블1" cacheId="29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출고일(년, 월)">
  <location ref="A19:D25" firstHeaderRow="0" firstDataRow="1" firstDataCol="1" rowPageCount="2" colPageCount="1"/>
  <pivotFields count="18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multipleItemSelectionAllowed="1" showAll="0">
      <items count="33">
        <item x="9"/>
        <item m="1" x="21"/>
        <item m="1" x="19"/>
        <item x="13"/>
        <item x="14"/>
        <item x="2"/>
        <item m="1" x="28"/>
        <item x="8"/>
        <item x="4"/>
        <item m="1" x="30"/>
        <item m="1" x="25"/>
        <item x="16"/>
        <item x="5"/>
        <item m="1" x="31"/>
        <item m="1" x="23"/>
        <item x="3"/>
        <item m="1" x="29"/>
        <item m="1" x="22"/>
        <item m="1" x="24"/>
        <item m="1" x="18"/>
        <item x="1"/>
        <item m="1" x="26"/>
        <item x="7"/>
        <item x="6"/>
        <item x="0"/>
        <item x="17"/>
        <item m="1" x="27"/>
        <item x="10"/>
        <item x="11"/>
        <item x="12"/>
        <item x="15"/>
        <item m="1" x="2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5">
        <item x="1"/>
        <item m="1" x="31"/>
        <item m="1" x="16"/>
        <item x="3"/>
        <item m="1" x="21"/>
        <item x="13"/>
        <item m="1" x="27"/>
        <item m="1" x="19"/>
        <item x="0"/>
        <item m="1" x="28"/>
        <item m="1" x="33"/>
        <item m="1" x="23"/>
        <item m="1" x="30"/>
        <item x="4"/>
        <item m="1" x="17"/>
        <item x="2"/>
        <item m="1" x="29"/>
        <item m="1" x="20"/>
        <item m="1" x="18"/>
        <item x="12"/>
        <item m="1" x="22"/>
        <item x="9"/>
        <item m="1" x="15"/>
        <item x="7"/>
        <item x="5"/>
        <item m="1" x="24"/>
        <item m="1" x="25"/>
        <item x="14"/>
        <item x="6"/>
        <item m="1" x="26"/>
        <item x="8"/>
        <item x="10"/>
        <item x="11"/>
        <item m="1" x="32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axis="axisRow" showAll="0">
      <items count="5">
        <item h="1" sd="0" x="0"/>
        <item x="1"/>
        <item x="2"/>
        <item h="1" x="3"/>
        <item t="default"/>
      </items>
    </pivotField>
  </pivotFields>
  <rowFields count="2">
    <field x="17"/>
    <field x="0"/>
  </rowFields>
  <rowItems count="6">
    <i>
      <x v="1"/>
    </i>
    <i r="1">
      <x v="9"/>
    </i>
    <i>
      <x v="2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1" hier="-1"/>
  </pageFields>
  <dataFields count="3">
    <dataField name="원방 실중량(kg)" fld="11" baseField="17" baseItem="0"/>
    <dataField name="정산중량(kg)" fld="14" baseField="17" baseItem="0"/>
    <dataField name="정산 금액(원)" fld="16" baseField="17" baseItem="0"/>
  </dataFields>
  <formats count="4">
    <format dxfId="89">
      <pivotArea outline="0" collapsedLevelsAreSubtotals="1" fieldPosition="0"/>
    </format>
    <format dxfId="88">
      <pivotArea field="17" type="button" dataOnly="0" labelOnly="1" outline="0" axis="axisRow" fieldPosition="0"/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2166A-01A8-4C94-9A77-B81D5F6E9A1D}" name="피벗 테이블3" cacheId="38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프로젝트명">
  <location ref="K19:N25" firstHeaderRow="0" firstDataRow="1" firstDataCol="1" rowPageCount="1" colPageCount="1"/>
  <pivotFields count="25">
    <pivotField showAll="0"/>
    <pivotField showAll="0"/>
    <pivotField showAll="0"/>
    <pivotField showAll="0"/>
    <pivotField axis="axisRow" showAll="0">
      <items count="20">
        <item m="1" x="9"/>
        <item h="1" m="1" x="7"/>
        <item h="1" m="1" x="15"/>
        <item x="2"/>
        <item h="1" m="1" x="17"/>
        <item x="1"/>
        <item h="1" m="1" x="18"/>
        <item m="1" x="14"/>
        <item h="1" m="1" x="8"/>
        <item h="1" m="1" x="13"/>
        <item h="1" m="1" x="10"/>
        <item h="1" m="1" x="12"/>
        <item h="1" m="1" x="6"/>
        <item h="1" m="1" x="16"/>
        <item x="0"/>
        <item m="1" x="11"/>
        <item x="3"/>
        <item h="1" x="5"/>
        <item x="4"/>
        <item t="default"/>
      </items>
    </pivotField>
    <pivotField axis="axisPage" multipleItemSelectionAllowed="1" showAll="0">
      <items count="9">
        <item x="3"/>
        <item x="0"/>
        <item x="1"/>
        <item m="1" x="5"/>
        <item x="2"/>
        <item x="4"/>
        <item m="1" x="7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4"/>
  </rowFields>
  <rowItems count="6">
    <i>
      <x v="3"/>
    </i>
    <i>
      <x v="5"/>
    </i>
    <i>
      <x v="14"/>
    </i>
    <i>
      <x v="16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원방 실중량(kg)" fld="16" baseField="0" baseItem="0"/>
    <dataField name="정산중량(kg)" fld="19" baseField="0" baseItem="0"/>
    <dataField name="정산금액(원)" fld="22" baseField="0" baseItem="0"/>
  </dataFields>
  <formats count="4">
    <format dxfId="93">
      <pivotArea outline="0" collapsedLevelsAreSubtotals="1" fieldPosition="0"/>
    </format>
    <format dxfId="92">
      <pivotArea field="4" type="button" dataOnly="0" labelOnly="1" outline="0" axis="axisRow" fieldPosition="0"/>
    </format>
    <format dxfId="9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DEEC4-1B1C-4610-AE9D-A04D3E863BF8}" name="피벗 테이블2" cacheId="43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프로젝트명">
  <location ref="F19:I30" firstHeaderRow="0" firstDataRow="1" firstDataCol="1" rowPageCount="2" colPageCount="1"/>
  <pivotFields count="20">
    <pivotField showAll="0"/>
    <pivotField showAll="0"/>
    <pivotField axis="axisRow" showAll="0">
      <items count="33">
        <item x="9"/>
        <item m="1" x="21"/>
        <item h="1" m="1" x="19"/>
        <item h="1" x="13"/>
        <item h="1" x="14"/>
        <item x="2"/>
        <item h="1" m="1" x="28"/>
        <item x="8"/>
        <item h="1" x="4"/>
        <item h="1" m="1" x="30"/>
        <item h="1" m="1" x="25"/>
        <item x="16"/>
        <item h="1" x="5"/>
        <item h="1" m="1" x="31"/>
        <item h="1" m="1" x="23"/>
        <item h="1" x="3"/>
        <item h="1" m="1" x="29"/>
        <item h="1" m="1" x="22"/>
        <item h="1" m="1" x="24"/>
        <item h="1" m="1" x="18"/>
        <item x="1"/>
        <item h="1" m="1" x="26"/>
        <item x="7"/>
        <item x="6"/>
        <item h="1" x="0"/>
        <item h="1" x="17"/>
        <item h="1" m="1" x="27"/>
        <item x="10"/>
        <item x="11"/>
        <item h="1" x="12"/>
        <item x="15"/>
        <item m="1" x="20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35">
        <item x="1"/>
        <item m="1" x="31"/>
        <item m="1" x="16"/>
        <item x="3"/>
        <item m="1" x="21"/>
        <item x="13"/>
        <item m="1" x="27"/>
        <item m="1" x="19"/>
        <item x="0"/>
        <item m="1" x="28"/>
        <item m="1" x="33"/>
        <item m="1" x="23"/>
        <item m="1" x="30"/>
        <item x="4"/>
        <item m="1" x="17"/>
        <item x="2"/>
        <item m="1" x="29"/>
        <item m="1" x="20"/>
        <item m="1" x="18"/>
        <item x="12"/>
        <item m="1" x="22"/>
        <item x="9"/>
        <item m="1" x="15"/>
        <item x="7"/>
        <item x="5"/>
        <item m="1" x="24"/>
        <item m="1" x="25"/>
        <item x="14"/>
        <item x="6"/>
        <item m="1" x="26"/>
        <item x="8"/>
        <item x="10"/>
        <item x="11"/>
        <item m="1" x="32"/>
        <item t="default"/>
      </items>
    </pivotField>
    <pivotField axis="axisPage" showAll="0">
      <items count="164">
        <item x="53"/>
        <item m="1" x="68"/>
        <item m="1" x="106"/>
        <item m="1" x="155"/>
        <item m="1" x="147"/>
        <item m="1" x="65"/>
        <item x="5"/>
        <item x="32"/>
        <item m="1" x="129"/>
        <item m="1" x="160"/>
        <item m="1" x="83"/>
        <item m="1" x="70"/>
        <item x="33"/>
        <item m="1" x="140"/>
        <item m="1" x="127"/>
        <item x="61"/>
        <item m="1" x="115"/>
        <item m="1" x="150"/>
        <item x="0"/>
        <item x="23"/>
        <item x="24"/>
        <item x="44"/>
        <item x="21"/>
        <item x="22"/>
        <item x="51"/>
        <item m="1" x="120"/>
        <item m="1" x="81"/>
        <item x="38"/>
        <item x="13"/>
        <item m="1" x="109"/>
        <item m="1" x="105"/>
        <item x="20"/>
        <item x="50"/>
        <item x="17"/>
        <item x="58"/>
        <item x="18"/>
        <item m="1" x="72"/>
        <item m="1" x="111"/>
        <item m="1" x="77"/>
        <item x="37"/>
        <item x="39"/>
        <item m="1" x="102"/>
        <item x="49"/>
        <item m="1" x="88"/>
        <item m="1" x="92"/>
        <item m="1" x="162"/>
        <item x="14"/>
        <item m="1" x="112"/>
        <item m="1" x="117"/>
        <item x="36"/>
        <item x="42"/>
        <item x="19"/>
        <item m="1" x="123"/>
        <item m="1" x="152"/>
        <item m="1" x="135"/>
        <item m="1" x="149"/>
        <item m="1" x="71"/>
        <item m="1" x="118"/>
        <item m="1" x="144"/>
        <item x="29"/>
        <item m="1" x="73"/>
        <item m="1" x="94"/>
        <item m="1" x="84"/>
        <item m="1" x="78"/>
        <item x="9"/>
        <item m="1" x="122"/>
        <item x="31"/>
        <item m="1" x="146"/>
        <item m="1" x="74"/>
        <item m="1" x="114"/>
        <item m="1" x="98"/>
        <item m="1" x="101"/>
        <item x="6"/>
        <item m="1" x="90"/>
        <item m="1" x="75"/>
        <item x="4"/>
        <item m="1" x="157"/>
        <item m="1" x="153"/>
        <item m="1" x="107"/>
        <item m="1" x="121"/>
        <item m="1" x="139"/>
        <item m="1" x="131"/>
        <item m="1" x="159"/>
        <item m="1" x="158"/>
        <item m="1" x="161"/>
        <item m="1" x="87"/>
        <item m="1" x="142"/>
        <item x="55"/>
        <item x="10"/>
        <item x="11"/>
        <item m="1" x="96"/>
        <item m="1" x="104"/>
        <item x="25"/>
        <item m="1" x="124"/>
        <item m="1" x="82"/>
        <item x="16"/>
        <item m="1" x="128"/>
        <item m="1" x="108"/>
        <item m="1" x="132"/>
        <item m="1" x="76"/>
        <item m="1" x="110"/>
        <item m="1" x="93"/>
        <item x="41"/>
        <item x="8"/>
        <item m="1" x="67"/>
        <item x="2"/>
        <item x="28"/>
        <item m="1" x="103"/>
        <item m="1" x="138"/>
        <item m="1" x="80"/>
        <item x="1"/>
        <item m="1" x="156"/>
        <item m="1" x="64"/>
        <item m="1" x="148"/>
        <item m="1" x="85"/>
        <item m="1" x="151"/>
        <item m="1" x="79"/>
        <item m="1" x="116"/>
        <item m="1" x="136"/>
        <item m="1" x="100"/>
        <item m="1" x="119"/>
        <item x="35"/>
        <item m="1" x="99"/>
        <item m="1" x="145"/>
        <item x="3"/>
        <item m="1" x="113"/>
        <item m="1" x="154"/>
        <item m="1" x="133"/>
        <item x="26"/>
        <item x="30"/>
        <item x="12"/>
        <item m="1" x="86"/>
        <item x="34"/>
        <item m="1" x="130"/>
        <item x="27"/>
        <item m="1" x="134"/>
        <item m="1" x="95"/>
        <item x="15"/>
        <item x="7"/>
        <item m="1" x="97"/>
        <item m="1" x="91"/>
        <item m="1" x="66"/>
        <item x="63"/>
        <item x="40"/>
        <item x="43"/>
        <item x="45"/>
        <item x="46"/>
        <item x="47"/>
        <item x="48"/>
        <item x="52"/>
        <item x="54"/>
        <item m="1" x="89"/>
        <item x="56"/>
        <item x="57"/>
        <item x="59"/>
        <item x="60"/>
        <item x="62"/>
        <item m="1" x="69"/>
        <item m="1" x="125"/>
        <item m="1" x="137"/>
        <item m="1" x="126"/>
        <item m="1" x="143"/>
        <item m="1" x="14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2"/>
  </rowFields>
  <rowItems count="11">
    <i>
      <x/>
    </i>
    <i>
      <x v="5"/>
    </i>
    <i>
      <x v="7"/>
    </i>
    <i>
      <x v="11"/>
    </i>
    <i>
      <x v="20"/>
    </i>
    <i>
      <x v="22"/>
    </i>
    <i>
      <x v="23"/>
    </i>
    <i>
      <x v="27"/>
    </i>
    <i>
      <x v="28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9" hier="-1"/>
    <pageField fld="8" hier="-1"/>
  </pageFields>
  <dataFields count="3">
    <dataField name="원방 실중량(kg)" fld="12" baseField="2" baseItem="0"/>
    <dataField name="정산중량(kg)" fld="15" baseField="2" baseItem="0"/>
    <dataField name="정산금액(원)" fld="17" baseField="2" baseItem="0"/>
  </dataFields>
  <formats count="6">
    <format dxfId="99">
      <pivotArea collapsedLevelsAreSubtotals="1" fieldPosition="0">
        <references count="1">
          <reference field="2" count="1">
            <x v="20"/>
          </reference>
        </references>
      </pivotArea>
    </format>
    <format dxfId="98">
      <pivotArea dataOnly="0" labelOnly="1" fieldPosition="0">
        <references count="1">
          <reference field="2" count="1">
            <x v="20"/>
          </reference>
        </references>
      </pivotArea>
    </format>
    <format dxfId="97">
      <pivotArea outline="0" collapsedLevelsAreSubtotals="1" fieldPosition="0"/>
    </format>
    <format dxfId="96">
      <pivotArea field="2" type="button" dataOnly="0" labelOnly="1" outline="0" axis="axisRow" fieldPosition="0"/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E5FD0-531F-4D82-9CF0-9D87F774611D}" name="피벗 테이블4" cacheId="43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제품명">
  <location ref="F38:I49" firstHeaderRow="0" firstDataRow="1" firstDataCol="1" rowPageCount="1" colPageCount="1"/>
  <pivotFields count="20">
    <pivotField showAll="0"/>
    <pivotField showAll="0"/>
    <pivotField axis="axisPage" multipleItemSelectionAllowed="1" showAll="0">
      <items count="33">
        <item h="1" x="9"/>
        <item h="1" m="1" x="21"/>
        <item h="1" m="1" x="19"/>
        <item h="1" x="13"/>
        <item h="1" x="14"/>
        <item h="1" m="1" x="27"/>
        <item h="1" x="2"/>
        <item h="1" m="1" x="28"/>
        <item h="1" x="8"/>
        <item h="1" x="10"/>
        <item h="1" x="4"/>
        <item h="1" m="1" x="30"/>
        <item h="1" m="1" x="25"/>
        <item h="1" x="16"/>
        <item h="1" x="5"/>
        <item h="1" m="1" x="31"/>
        <item x="11"/>
        <item h="1" m="1" x="23"/>
        <item h="1" x="3"/>
        <item h="1" m="1" x="29"/>
        <item h="1" m="1" x="22"/>
        <item h="1" m="1" x="24"/>
        <item h="1" x="15"/>
        <item h="1" m="1" x="18"/>
        <item h="1" x="12"/>
        <item h="1" x="1"/>
        <item h="1" m="1" x="26"/>
        <item h="1" x="7"/>
        <item h="1" x="6"/>
        <item h="1" x="0"/>
        <item h="1" x="17"/>
        <item h="1" m="1" x="2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64">
        <item x="53"/>
        <item m="1" x="68"/>
        <item m="1" x="106"/>
        <item m="1" x="155"/>
        <item m="1" x="147"/>
        <item m="1" x="65"/>
        <item x="5"/>
        <item x="32"/>
        <item m="1" x="129"/>
        <item m="1" x="160"/>
        <item m="1" x="83"/>
        <item m="1" x="70"/>
        <item x="33"/>
        <item m="1" x="140"/>
        <item m="1" x="127"/>
        <item x="61"/>
        <item m="1" x="115"/>
        <item m="1" x="150"/>
        <item x="0"/>
        <item x="43"/>
        <item x="23"/>
        <item x="45"/>
        <item x="24"/>
        <item x="44"/>
        <item x="21"/>
        <item x="22"/>
        <item x="51"/>
        <item m="1" x="120"/>
        <item m="1" x="81"/>
        <item x="38"/>
        <item x="13"/>
        <item m="1" x="109"/>
        <item m="1" x="105"/>
        <item x="20"/>
        <item x="50"/>
        <item x="17"/>
        <item x="58"/>
        <item x="18"/>
        <item m="1" x="72"/>
        <item m="1" x="111"/>
        <item m="1" x="77"/>
        <item x="37"/>
        <item x="39"/>
        <item m="1" x="102"/>
        <item x="49"/>
        <item m="1" x="88"/>
        <item m="1" x="92"/>
        <item m="1" x="162"/>
        <item x="14"/>
        <item m="1" x="112"/>
        <item m="1" x="117"/>
        <item x="36"/>
        <item x="42"/>
        <item x="19"/>
        <item m="1" x="123"/>
        <item m="1" x="152"/>
        <item m="1" x="135"/>
        <item m="1" x="149"/>
        <item m="1" x="71"/>
        <item m="1" x="118"/>
        <item m="1" x="144"/>
        <item x="29"/>
        <item m="1" x="73"/>
        <item x="57"/>
        <item m="1" x="94"/>
        <item m="1" x="84"/>
        <item m="1" x="78"/>
        <item x="48"/>
        <item x="9"/>
        <item m="1" x="122"/>
        <item x="31"/>
        <item m="1" x="146"/>
        <item m="1" x="74"/>
        <item m="1" x="114"/>
        <item m="1" x="98"/>
        <item x="40"/>
        <item m="1" x="101"/>
        <item x="6"/>
        <item m="1" x="90"/>
        <item m="1" x="75"/>
        <item x="4"/>
        <item m="1" x="157"/>
        <item m="1" x="153"/>
        <item m="1" x="107"/>
        <item x="56"/>
        <item m="1" x="121"/>
        <item m="1" x="139"/>
        <item m="1" x="131"/>
        <item m="1" x="159"/>
        <item m="1" x="158"/>
        <item m="1" x="161"/>
        <item m="1" x="87"/>
        <item m="1" x="142"/>
        <item x="55"/>
        <item x="10"/>
        <item x="11"/>
        <item x="54"/>
        <item m="1" x="96"/>
        <item m="1" x="104"/>
        <item x="25"/>
        <item m="1" x="124"/>
        <item m="1" x="82"/>
        <item m="1" x="89"/>
        <item x="16"/>
        <item x="59"/>
        <item x="60"/>
        <item m="1" x="128"/>
        <item m="1" x="108"/>
        <item m="1" x="132"/>
        <item m="1" x="76"/>
        <item x="46"/>
        <item x="52"/>
        <item m="1" x="110"/>
        <item m="1" x="93"/>
        <item x="41"/>
        <item x="8"/>
        <item m="1" x="67"/>
        <item x="2"/>
        <item x="28"/>
        <item m="1" x="103"/>
        <item m="1" x="138"/>
        <item m="1" x="80"/>
        <item x="1"/>
        <item m="1" x="156"/>
        <item m="1" x="64"/>
        <item m="1" x="148"/>
        <item m="1" x="85"/>
        <item m="1" x="151"/>
        <item m="1" x="79"/>
        <item m="1" x="116"/>
        <item m="1" x="136"/>
        <item m="1" x="100"/>
        <item m="1" x="119"/>
        <item x="35"/>
        <item m="1" x="99"/>
        <item m="1" x="145"/>
        <item x="3"/>
        <item m="1" x="113"/>
        <item m="1" x="154"/>
        <item m="1" x="133"/>
        <item x="26"/>
        <item x="30"/>
        <item x="12"/>
        <item m="1" x="86"/>
        <item x="34"/>
        <item x="47"/>
        <item m="1" x="130"/>
        <item x="27"/>
        <item m="1" x="134"/>
        <item m="1" x="95"/>
        <item x="15"/>
        <item x="7"/>
        <item m="1" x="97"/>
        <item m="1" x="91"/>
        <item m="1" x="66"/>
        <item x="63"/>
        <item x="62"/>
        <item m="1" x="69"/>
        <item m="1" x="125"/>
        <item m="1" x="137"/>
        <item m="1" x="126"/>
        <item m="1" x="143"/>
        <item m="1" x="14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9"/>
  </rowFields>
  <rowItems count="11">
    <i>
      <x v="18"/>
    </i>
    <i>
      <x v="33"/>
    </i>
    <i>
      <x v="34"/>
    </i>
    <i>
      <x v="35"/>
    </i>
    <i>
      <x v="48"/>
    </i>
    <i>
      <x v="84"/>
    </i>
    <i>
      <x v="103"/>
    </i>
    <i>
      <x v="104"/>
    </i>
    <i>
      <x v="122"/>
    </i>
    <i>
      <x v="15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원방 실중량(kg)" fld="12" baseField="0" baseItem="0"/>
    <dataField name="정산중량(kg)" fld="15" baseField="0" baseItem="0"/>
    <dataField name="합계 금액(원)" fld="17" baseField="0" baseItem="0"/>
  </dataFields>
  <formats count="12">
    <format dxfId="111">
      <pivotArea outline="0" collapsedLevelsAreSubtotals="1" fieldPosition="0"/>
    </format>
    <format dxfId="110">
      <pivotArea field="9" type="button" dataOnly="0" labelOnly="1" outline="0" axis="axisRow" fieldPosition="0"/>
    </format>
    <format dxfId="10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8">
      <pivotArea dataOnly="0" labelOnly="1" grandRow="1" outline="0" fieldPosition="0"/>
    </format>
    <format dxfId="107">
      <pivotArea field="9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5">
      <pivotArea grandRow="1" outline="0" collapsedLevelsAreSubtotals="1" fieldPosition="0"/>
    </format>
    <format dxfId="104">
      <pivotArea dataOnly="0" labelOnly="1" grandRow="1" outline="0" fieldPosition="0"/>
    </format>
    <format dxfId="103">
      <pivotArea field="9" type="button" dataOnly="0" labelOnly="1" outline="0" axis="axisRow" fieldPosition="0"/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grandRow="1" outline="0" collapsedLevelsAreSubtotals="1" fieldPosition="0"/>
    </format>
    <format dxfId="10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거래처명" xr10:uid="{821E82A8-51FB-412F-B5A0-92F088C1EC64}" sourceName="거래처명">
  <extLst>
    <x:ext xmlns:x15="http://schemas.microsoft.com/office/spreadsheetml/2010/11/main" uri="{2F2917AC-EB37-4324-AD4E-5DD8C200BD13}">
      <x15:tableSlicerCache tableId="2" column="9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거래처명1" xr10:uid="{0A1CB439-E087-4FFE-BE67-5A942B5CAB5D}" sourceName="거래처명">
  <extLst>
    <x:ext xmlns:x15="http://schemas.microsoft.com/office/spreadsheetml/2010/11/main" uri="{2F2917AC-EB37-4324-AD4E-5DD8C200BD13}">
      <x15:tableSlicerCache tableId="3" column="4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거래처명2" xr10:uid="{0130D6B4-E731-4107-AD88-1B7C7CA3D25F}" sourceName="처리자">
  <extLst>
    <x:ext xmlns:x15="http://schemas.microsoft.com/office/spreadsheetml/2010/11/main" uri="{2F2917AC-EB37-4324-AD4E-5DD8C200BD13}">
      <x15:tableSlicerCache tableId="4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거래처명" xr10:uid="{8FE80619-5608-4D07-9E0F-671327F1AC20}" cache="슬라이서_거래처명" caption="거래처명" columnCount="13" rowHeight="2730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거래처명 1" xr10:uid="{458454B2-D96A-44BB-9068-7EF2974ABB72}" cache="슬라이서_거래처명1" caption="거래처명" columnCount="10" rowHeight="2730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거래처명 2" xr10:uid="{FFB6FA19-61A5-4281-87BF-B91DA4642FC6}" cache="슬라이서_거래처명2" caption="처리자" columnCount="9" rowHeight="2730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6F07D-2968-4137-BD30-8641CD1CDF0F}" name="표2" displayName="표2" ref="A3:T287" totalsRowShown="0" tableBorderDxfId="85">
  <autoFilter ref="A3:T287" xr:uid="{8746F07D-2968-4137-BD30-8641CD1CDF0F}"/>
  <tableColumns count="20">
    <tableColumn id="1" xr3:uid="{1BB76D54-D495-43FB-9D83-4FAED23CDC4D}" name="NO." dataDxfId="84">
      <calculatedColumnFormula>ROW()-4</calculatedColumnFormula>
    </tableColumn>
    <tableColumn id="2" xr3:uid="{E9B6DC08-6488-4A51-8337-872D44129A29}" name="계량일" dataDxfId="83"/>
    <tableColumn id="3" xr3:uid="{5D021C58-E622-490E-90A2-8A12D0BAE708}" name="프로젝트명" dataDxfId="82" dataCellStyle="쉼표 [0]"/>
    <tableColumn id="4" xr3:uid="{2F11AED5-6BD1-4852-87DA-39D7F2830B9F}" name="상차지" dataDxfId="81"/>
    <tableColumn id="5" xr3:uid="{112CC6F7-0D5D-4D33-B0E4-5EFDDB273EE4}" name="차종" dataDxfId="80"/>
    <tableColumn id="6" xr3:uid="{F80F77B0-8E7B-44EA-86D9-BC048DD8E742}" name="차량번호" dataDxfId="79"/>
    <tableColumn id="7" xr3:uid="{5CD0B5A4-2318-4087-B898-B9B7DED0FF62}" name="운전자" dataDxfId="78"/>
    <tableColumn id="8" xr3:uid="{7BB47190-4813-4F86-88FD-3D5D5928FA67}" name="연락처" dataDxfId="77"/>
    <tableColumn id="9" xr3:uid="{3FB272A7-4BCF-477D-B941-EE1B93F1864E}" name="거래처명" dataDxfId="76"/>
    <tableColumn id="10" xr3:uid="{53553B14-B2D9-4C9B-86ED-4950A3F022BB}" name="제품명" dataDxfId="75" dataCellStyle="쉼표 [0]"/>
    <tableColumn id="11" xr3:uid="{A0927489-D27D-4020-9451-ABE4D2AEAE0B}" name="공차중량(kg)" dataDxfId="74" dataCellStyle="쉼표 [0]"/>
    <tableColumn id="12" xr3:uid="{D6334218-92A0-43C4-BE30-5A0D0B4CD831}" name="총중량(kg)" dataDxfId="73" dataCellStyle="쉼표 [0]"/>
    <tableColumn id="13" xr3:uid="{7A287511-82BF-430F-8914-3243B8F9DC14}" name="실중량(kg)" dataDxfId="72" dataCellStyle="쉼표 [0]"/>
    <tableColumn id="14" xr3:uid="{8C8112C0-6029-4628-B906-7BBAE3742560}" name="거래처 감량 전_x000a_실중량(kg)" dataDxfId="71" dataCellStyle="쉼표 [0]"/>
    <tableColumn id="15" xr3:uid="{0787484D-BF55-4D7F-8A03-D129009D0D8F}" name="감량(kg)" dataDxfId="70" dataCellStyle="쉼표 [0]"/>
    <tableColumn id="16" xr3:uid="{48141CBD-6FD6-4BFB-9397-91EFFCD9B3BA}" name="정산 중량(kg)" dataDxfId="69" dataCellStyle="쉼표 [0]"/>
    <tableColumn id="17" xr3:uid="{937CDFD5-A970-459B-B6EF-CAE2D896CF77}" name="단가(원)" dataDxfId="68" dataCellStyle="쉼표 [0]"/>
    <tableColumn id="18" xr3:uid="{3844FB2E-ADF6-48BD-AC67-F9EA2C614C96}" name="금액(원)" dataDxfId="67" dataCellStyle="쉼표 [0]"/>
    <tableColumn id="19" xr3:uid="{E110DA70-5150-4E76-AFAD-A3B091F0A708}" name="구분" dataDxfId="66"/>
    <tableColumn id="20" xr3:uid="{B90E0341-E5D0-450A-99A4-51A4F2D2E589}" name="자회사 출고" dataDxfId="6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F5E40C-8191-40E2-8FB4-D801AA492C1D}" name="표3" displayName="표3" ref="A2:T18" totalsRowShown="0" headerRowBorderDxfId="64" tableBorderDxfId="63">
  <autoFilter ref="A2:T18" xr:uid="{FFF5E40C-8191-40E2-8FB4-D801AA492C1D}"/>
  <tableColumns count="20">
    <tableColumn id="1" xr3:uid="{C99D0DE3-4A67-42CB-8F46-8C55BE6DA607}" name="계량일"/>
    <tableColumn id="2" xr3:uid="{FA34F1B2-0AA1-41E2-B6DA-5EBF6DCC3083}" name="프로젝트명"/>
    <tableColumn id="18" xr3:uid="{8536C7CA-FE90-4AF5-8890-58FA11BC8E7E}" name="상차지" dataDxfId="62" dataCellStyle="쉼표 [0]"/>
    <tableColumn id="17" xr3:uid="{3A2EEA5A-69D6-421C-8C78-BCB9F124B805}" name="차종" dataDxfId="61" dataCellStyle="쉼표 [0]"/>
    <tableColumn id="3" xr3:uid="{B6D0BA32-72FC-48F4-B546-6549555215FC}" name="차량번호"/>
    <tableColumn id="20" xr3:uid="{2F2715B2-0A05-4027-874D-DA7C49A24BA5}" name="운전자" dataDxfId="60"/>
    <tableColumn id="19" xr3:uid="{A35CFBAE-8D04-4692-B71B-219377987227}" name="연락처" dataDxfId="59"/>
    <tableColumn id="4" xr3:uid="{613161EE-7D3D-4506-8336-2EF857D12FDB}" name="거래처명"/>
    <tableColumn id="5" xr3:uid="{016451D8-E1FA-48ED-A8EE-D2DEFECDAA71}" name="제품명"/>
    <tableColumn id="6" xr3:uid="{17BD83FA-E720-49C2-A32E-22B5E0E15BA3}" name="공차중량(kg)"/>
    <tableColumn id="7" xr3:uid="{1EE146CA-E5A4-4F84-AE2C-B355CF3EB504}" name="총중량(kg)"/>
    <tableColumn id="8" xr3:uid="{A38FC376-408D-4D23-BE58-F3E453EDFC2D}" name="실중량(kg)" dataDxfId="58" dataCellStyle="쉼표 [0]">
      <calculatedColumnFormula>K3-J3</calculatedColumnFormula>
    </tableColumn>
    <tableColumn id="9" xr3:uid="{FEEDADF4-A7F9-4E14-992A-38D773513099}" name="거래처 감량 전_x000a_실중량(kg)"/>
    <tableColumn id="10" xr3:uid="{3E84AE83-A65E-4AAC-8EE0-8CE2F788B6EB}" name="감량(kg)"/>
    <tableColumn id="11" xr3:uid="{807B6A18-2311-445B-8CFA-5FC1BE3B1FBC}" name="정산 중량(kg)">
      <calculatedColumnFormula>L3</calculatedColumnFormula>
    </tableColumn>
    <tableColumn id="12" xr3:uid="{3EC6DEA8-43D3-481B-A704-1D08EE7E85EC}" name="단가(원)"/>
    <tableColumn id="13" xr3:uid="{696669BC-1D79-4FC3-82C2-9C72F9CBD102}" name="금액(원)">
      <calculatedColumnFormula>O3*P3</calculatedColumnFormula>
    </tableColumn>
    <tableColumn id="14" xr3:uid="{5B7987B6-3FD6-4F62-9AD8-D68B3B4EC5C6}" name="구분"/>
    <tableColumn id="15" xr3:uid="{A203149A-B509-4371-A092-6C5FB18705B6}" name="비고"/>
    <tableColumn id="16" xr3:uid="{8BF1F0B5-9BE3-4788-900B-F4E417F07D49}" name="입금일" dataDxfId="5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1DA9D9-22FD-4643-96AD-785FA92C35BF}" name="표4" displayName="표4" ref="A4:Y76" totalsRowShown="0" headerRowBorderDxfId="56" tableBorderDxfId="55">
  <autoFilter ref="A4:Y76" xr:uid="{781DA9D9-22FD-4643-96AD-785FA92C35BF}"/>
  <tableColumns count="25">
    <tableColumn id="1" xr3:uid="{25BC13C4-5BE3-457F-A5CB-03FC62CD1B4F}" name="NO." dataDxfId="54"/>
    <tableColumn id="2" xr3:uid="{64AD0CBC-5986-482F-AD10-34075072F5A7}" name="상차일"/>
    <tableColumn id="3" xr3:uid="{3F7BAE9D-8E6A-4CD3-95D7-04F94DDE8197}" name="인계일"/>
    <tableColumn id="4" xr3:uid="{B3F1879C-F8FB-4121-9936-810C098558D6}" name="올바로" dataDxfId="53"/>
    <tableColumn id="5" xr3:uid="{F2789A0A-E120-497D-B948-7E61D20675E1}" name="프로젝트명"/>
    <tableColumn id="6" xr3:uid="{08CB15AF-0BB5-404B-A9AB-F944390D4ECF}" name="배출자"/>
    <tableColumn id="19" xr3:uid="{3973D6CA-27CA-47D9-A8D2-46DFAF9EF8C9}" name="운반자"/>
    <tableColumn id="7" xr3:uid="{FD254F1C-0F84-43D2-A82A-96BAA775B78E}" name="상차지" dataDxfId="52"/>
    <tableColumn id="8" xr3:uid="{84D5E906-E16C-4FCF-A682-707C376CB7EC}" name="차종" dataDxfId="51"/>
    <tableColumn id="9" xr3:uid="{A382A6BF-8428-4844-AB8D-41C164325C24}" name="차량번호" dataDxfId="50"/>
    <tableColumn id="10" xr3:uid="{74EA0B64-112F-40C7-910E-19F1AA27662A}" name="운전자" dataDxfId="49"/>
    <tableColumn id="11" xr3:uid="{EF267ED3-428D-4F89-9114-603379C75D9D}" name="연락처" dataDxfId="48"/>
    <tableColumn id="12" xr3:uid="{5D750F0D-7A4F-4ADC-9FAE-2CED01733E6A}" name="처리자" dataDxfId="47"/>
    <tableColumn id="13" xr3:uid="{D88DA24B-8223-47F0-A506-967BBEF5CDD2}" name="제품명" dataDxfId="46" dataCellStyle="쉼표 [0]"/>
    <tableColumn id="14" xr3:uid="{3C626F92-B4AB-49A7-BBEE-C018305A9CEA}" name="공차중량(kg)"/>
    <tableColumn id="15" xr3:uid="{A81A6843-EF8B-4C3B-8422-7E0E3E8C8A2F}" name="총중량(kg)"/>
    <tableColumn id="16" xr3:uid="{083A5123-1483-4500-8815-41AB59B74358}" name="실중량(kg)"/>
    <tableColumn id="17" xr3:uid="{B48F086D-D766-4139-A574-00B6E2D95FB1}" name="거래처 감량 전_x000a_실중량(kg)"/>
    <tableColumn id="18" xr3:uid="{3E6C41B3-F087-4498-B867-A227AC1CDF11}" name="계근차"/>
    <tableColumn id="20" xr3:uid="{7E2CC97F-27CA-40DD-BD29-CE92897373C6}" name="정산 중량(kg)"/>
    <tableColumn id="25" xr3:uid="{12B3AC02-AD86-4648-B3B9-1E6289A441D1}" name="루베 적용"/>
    <tableColumn id="21" xr3:uid="{B7EDEF52-3857-4AAB-8BDF-2FA2D9958392}" name="단가(원)"/>
    <tableColumn id="22" xr3:uid="{EF9E7CEE-CCD8-47DC-8D06-DB0326A7655D}" name="금액(원)"/>
    <tableColumn id="23" xr3:uid="{FFF4A393-5F00-41F2-8BC8-8676B0099608}" name="구분" dataDxfId="45"/>
    <tableColumn id="24" xr3:uid="{24CCDD09-4B3E-4029-A6FA-9C52900EABF7}" name="비고" dataDxfId="4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comments" Target="../comments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microsoft.com/office/2007/relationships/slicer" Target="../slicers/slicer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6" Type="http://schemas.openxmlformats.org/officeDocument/2006/relationships/comments" Target="../comments5.xml"/><Relationship Id="rId5" Type="http://schemas.microsoft.com/office/2007/relationships/slicer" Target="../slicers/slicer3.xml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2224-9DDD-4452-B467-624DFE6964D5}">
  <dimension ref="A1:AF85"/>
  <sheetViews>
    <sheetView zoomScale="85" zoomScaleNormal="85" zoomScalePageLayoutView="55" workbookViewId="0">
      <selection activeCell="N47" sqref="N47"/>
    </sheetView>
  </sheetViews>
  <sheetFormatPr defaultRowHeight="16.5" outlineLevelCol="1"/>
  <cols>
    <col min="1" max="1" width="17.875" bestFit="1" customWidth="1"/>
    <col min="2" max="2" width="15.625" bestFit="1" customWidth="1"/>
    <col min="3" max="3" width="12.875" bestFit="1" customWidth="1"/>
    <col min="4" max="4" width="16.625" bestFit="1" customWidth="1"/>
    <col min="5" max="5" width="3.625" customWidth="1"/>
    <col min="6" max="6" width="21.625" customWidth="1"/>
    <col min="7" max="7" width="27.125" bestFit="1" customWidth="1"/>
    <col min="8" max="8" width="12.875" bestFit="1" customWidth="1"/>
    <col min="9" max="9" width="14.875" bestFit="1" customWidth="1"/>
    <col min="10" max="10" width="3.875" customWidth="1"/>
    <col min="11" max="11" width="25.125" bestFit="1" customWidth="1"/>
    <col min="12" max="12" width="15.625" bestFit="1" customWidth="1"/>
    <col min="13" max="13" width="12.875" bestFit="1" customWidth="1"/>
    <col min="14" max="14" width="14.875" bestFit="1" customWidth="1"/>
    <col min="15" max="15" width="17.75" customWidth="1"/>
    <col min="16" max="19" width="20.375" bestFit="1" customWidth="1"/>
    <col min="20" max="21" width="20.375" bestFit="1" customWidth="1" outlineLevel="1"/>
    <col min="22" max="23" width="20.375" bestFit="1" customWidth="1"/>
    <col min="24" max="25" width="20.375" bestFit="1" customWidth="1" outlineLevel="1"/>
    <col min="26" max="37" width="20.375" bestFit="1" customWidth="1"/>
    <col min="38" max="38" width="7.375" bestFit="1" customWidth="1"/>
  </cols>
  <sheetData>
    <row r="1" spans="1:32" ht="26.25">
      <c r="A1" s="439" t="s">
        <v>549</v>
      </c>
      <c r="B1" s="439"/>
      <c r="C1" s="439"/>
      <c r="D1" s="439"/>
      <c r="E1" s="439"/>
      <c r="F1" s="439" t="s">
        <v>547</v>
      </c>
      <c r="G1" s="439"/>
      <c r="H1" s="439"/>
      <c r="I1" s="439"/>
      <c r="J1" s="439"/>
      <c r="K1" s="439" t="s">
        <v>548</v>
      </c>
      <c r="L1" s="439"/>
      <c r="M1" s="439"/>
      <c r="N1" s="439"/>
      <c r="O1" s="439"/>
      <c r="P1" s="439"/>
      <c r="R1" s="439"/>
      <c r="S1" s="439"/>
      <c r="T1" s="439"/>
      <c r="U1" s="439"/>
      <c r="V1" s="439"/>
      <c r="W1" s="439"/>
      <c r="X1" s="439"/>
      <c r="Y1" s="439"/>
      <c r="Z1" s="439"/>
      <c r="AA1" s="439"/>
      <c r="AB1" s="439"/>
      <c r="AC1" s="439"/>
      <c r="AD1" s="439"/>
      <c r="AE1" s="439"/>
      <c r="AF1" s="439"/>
    </row>
    <row r="2" spans="1:32">
      <c r="A2" s="347"/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1922"/>
      <c r="P2" s="1922"/>
    </row>
    <row r="3" spans="1:32" ht="17.25" hidden="1">
      <c r="A3" s="1944" t="s">
        <v>339</v>
      </c>
      <c r="B3" s="1942" t="s">
        <v>340</v>
      </c>
      <c r="C3" s="1939" t="s">
        <v>353</v>
      </c>
      <c r="D3" s="1940"/>
      <c r="E3" s="1940"/>
      <c r="F3" s="1940"/>
      <c r="G3" s="1941"/>
      <c r="H3" s="1951" t="s">
        <v>341</v>
      </c>
      <c r="I3" s="1950" t="s">
        <v>352</v>
      </c>
      <c r="J3" s="1940"/>
      <c r="K3" s="1940"/>
      <c r="L3" s="1940"/>
      <c r="M3" s="1941"/>
      <c r="N3" s="1948" t="s">
        <v>342</v>
      </c>
      <c r="O3" s="1947" t="s">
        <v>354</v>
      </c>
      <c r="P3" s="1946" t="s">
        <v>343</v>
      </c>
      <c r="R3" s="1931" t="s">
        <v>339</v>
      </c>
      <c r="S3" s="1933" t="s">
        <v>340</v>
      </c>
      <c r="T3" s="1925" t="s">
        <v>366</v>
      </c>
      <c r="U3" s="1925" t="s">
        <v>367</v>
      </c>
      <c r="V3" s="1925" t="s">
        <v>369</v>
      </c>
      <c r="W3" s="1927" t="s">
        <v>363</v>
      </c>
      <c r="X3" s="1929" t="s">
        <v>368</v>
      </c>
      <c r="Y3" s="1929" t="s">
        <v>371</v>
      </c>
      <c r="Z3" s="1929" t="s">
        <v>370</v>
      </c>
      <c r="AA3" s="1937" t="s">
        <v>364</v>
      </c>
      <c r="AB3" s="1935" t="s">
        <v>392</v>
      </c>
      <c r="AC3" s="1923" t="s">
        <v>365</v>
      </c>
    </row>
    <row r="4" spans="1:32" hidden="1">
      <c r="A4" s="1945"/>
      <c r="B4" s="1943"/>
      <c r="C4" s="355" t="s">
        <v>355</v>
      </c>
      <c r="D4" s="355" t="s">
        <v>356</v>
      </c>
      <c r="E4" s="355" t="s">
        <v>357</v>
      </c>
      <c r="F4" s="355" t="s">
        <v>359</v>
      </c>
      <c r="G4" s="356" t="s">
        <v>240</v>
      </c>
      <c r="H4" s="1952"/>
      <c r="I4" s="362" t="s">
        <v>360</v>
      </c>
      <c r="J4" s="355" t="s">
        <v>362</v>
      </c>
      <c r="K4" s="356" t="s">
        <v>186</v>
      </c>
      <c r="L4" s="356" t="s">
        <v>266</v>
      </c>
      <c r="M4" s="356" t="s">
        <v>240</v>
      </c>
      <c r="N4" s="1949"/>
      <c r="O4" s="1947"/>
      <c r="P4" s="1946"/>
      <c r="R4" s="1932"/>
      <c r="S4" s="1934"/>
      <c r="T4" s="1926"/>
      <c r="U4" s="1926"/>
      <c r="V4" s="1926"/>
      <c r="W4" s="1928"/>
      <c r="X4" s="1930"/>
      <c r="Y4" s="1930"/>
      <c r="Z4" s="1930"/>
      <c r="AA4" s="1938"/>
      <c r="AB4" s="1936"/>
      <c r="AC4" s="1924"/>
    </row>
    <row r="5" spans="1:32" ht="26.25" hidden="1" customHeight="1">
      <c r="A5" s="348">
        <f>ROW()-4</f>
        <v>1</v>
      </c>
      <c r="B5" s="349" t="s">
        <v>264</v>
      </c>
      <c r="C5" s="350">
        <f>SUMIFS(스크랩출고량!$M$4:$M$287,스크랩출고량!$C$4:$C$287,갑지!$B5,스크랩출고량!$I$4:$I$287,"세화철강")+SUMIFS(스크랩출고량!$M$4:$M$287,스크랩출고량!$C$4:$C$287,갑지!$B5,스크랩출고량!$I$4:$I$287,"선진알앤디")</f>
        <v>1728600</v>
      </c>
      <c r="D5" s="350">
        <f>SUMIFS(스크랩출고량!$M$4:$M$287,스크랩출고량!$C$4:$C$287,갑지!B5,스크랩출고량!$I$4:$I$287,"대신에스티에스")</f>
        <v>48713</v>
      </c>
      <c r="E5" s="350">
        <f>SUMIFS(스크랩출고량!$M$4:$M$287,스크랩출고량!$C$4:$C$287,갑지!$B5,스크랩출고량!$I$4:$I$287,"다옴금속")</f>
        <v>3591</v>
      </c>
      <c r="F5" s="350">
        <f>SUMIFS(스크랩출고량!$M$4:$M$287,스크랩출고량!$C$4:$C$287,갑지!$B5,스크랩출고량!$I$4:$I$287,"다문산업")</f>
        <v>111200</v>
      </c>
      <c r="G5" s="357">
        <f>SUMIFS(스크랩출고량!$M$4:$M$287,스크랩출고량!$C$4:$C$287,갑지!$B5,스크랩출고량!$I$4:$I$287,"상지롤")+SUMIFS(스크랩출고량!$M$4:$M$287,스크랩출고량!$C$4:$C$287,갑지!$B5,스크랩출고량!$I$4:$I$287,"정민산업")+SUMIFS(스크랩출고량!$M$4:$M$287,스크랩출고량!$C$4:$C$287,갑지!$B5,스크랩출고량!$I$4:$I$287,"전진유압상사")</f>
        <v>-6740</v>
      </c>
      <c r="H5" s="366">
        <f>SUM(C5:G5)</f>
        <v>1885364</v>
      </c>
      <c r="I5" s="363" t="e">
        <f>SUMIFS(#REF!,#REF!,$B5,#REF!,갑지!I$4)</f>
        <v>#REF!</v>
      </c>
      <c r="J5" s="350" t="e">
        <f>SUMIFS(#REF!,#REF!,$B5,#REF!,갑지!J$4)</f>
        <v>#REF!</v>
      </c>
      <c r="K5" s="350" t="e">
        <f>SUMIFS(#REF!,#REF!,$B5,#REF!,갑지!K$4)</f>
        <v>#REF!</v>
      </c>
      <c r="L5" s="350" t="e">
        <f>SUMIFS(#REF!,#REF!,$B5,#REF!,갑지!L$4)</f>
        <v>#REF!</v>
      </c>
      <c r="M5" s="357" t="e">
        <f>SUMIFS(#REF!,#REF!,$B5,#REF!,"화성조이켐")</f>
        <v>#REF!</v>
      </c>
      <c r="N5" s="947" t="e">
        <f>SUM(I5:M5)</f>
        <v>#REF!</v>
      </c>
      <c r="O5" s="949" t="e">
        <f t="shared" ref="O5:O11" si="0">N5+H5</f>
        <v>#REF!</v>
      </c>
      <c r="P5" s="950"/>
      <c r="R5" s="348">
        <f>ROW()-4</f>
        <v>1</v>
      </c>
      <c r="S5" s="349" t="s">
        <v>264</v>
      </c>
      <c r="T5" s="389">
        <f>[4]갑지!$E$5</f>
        <v>2184790</v>
      </c>
      <c r="U5" s="389">
        <f t="shared" ref="U5:U11" si="1">H5</f>
        <v>1885364</v>
      </c>
      <c r="V5" s="390">
        <f t="shared" ref="V5:V11" si="2">T5-U5</f>
        <v>299426</v>
      </c>
      <c r="W5" s="370">
        <f>SUMIF(스크랩출고량!$C$4:$C$287,갑지!$S5,스크랩출고량!$R$4:$R$287)</f>
        <v>2355549039.6700001</v>
      </c>
      <c r="X5" s="392">
        <f>[5]갑지!$H$5</f>
        <v>171750</v>
      </c>
      <c r="Y5" s="389" t="e">
        <f t="shared" ref="Y5:Y11" si="3">N5</f>
        <v>#REF!</v>
      </c>
      <c r="Z5" s="390" t="e">
        <f t="shared" ref="Z5:Z11" si="4">X5-Y5</f>
        <v>#REF!</v>
      </c>
      <c r="AA5" s="370" t="e">
        <f>SUMIF(#REF!,갑지!$S5,#REF!)</f>
        <v>#REF!</v>
      </c>
      <c r="AB5" s="437" t="e">
        <f t="shared" ref="AB5:AB11" si="5">V5+Z5</f>
        <v>#REF!</v>
      </c>
      <c r="AC5" s="361"/>
    </row>
    <row r="6" spans="1:32" ht="26.25" hidden="1" customHeight="1">
      <c r="A6" s="348">
        <f t="shared" ref="A6:A13" si="6">ROW()-4</f>
        <v>2</v>
      </c>
      <c r="B6" s="349" t="s">
        <v>305</v>
      </c>
      <c r="C6" s="350">
        <f>SUMIFS(스크랩출고량!$M$4:$M$287,스크랩출고량!$C$4:$C$287,갑지!$B6,스크랩출고량!$I$4:$I$287,"세화철강")+SUMIFS(스크랩출고량!$M$4:$M$287,스크랩출고량!$C$4:$C$287,갑지!$B6,스크랩출고량!$I$4:$I$287,"선진알앤디")</f>
        <v>228610</v>
      </c>
      <c r="D6" s="350">
        <f>SUMIFS(스크랩출고량!$M$4:$M$287,스크랩출고량!$C$4:$C$287,갑지!B6,스크랩출고량!$I$4:$I$287,"대신에스티에스")</f>
        <v>0</v>
      </c>
      <c r="E6" s="350">
        <f>SUMIFS(스크랩출고량!$M$4:$M$287,스크랩출고량!$C$4:$C$287,갑지!$B6,스크랩출고량!$I$4:$I$287,"다옴금속")</f>
        <v>60</v>
      </c>
      <c r="F6" s="350">
        <f>SUMIFS(스크랩출고량!$M$4:$M$287,스크랩출고량!$C$4:$C$287,갑지!$B6,스크랩출고량!$I$4:$I$287,"다문산업")</f>
        <v>1670</v>
      </c>
      <c r="G6" s="357"/>
      <c r="H6" s="366">
        <f t="shared" ref="H6:H11" si="7">SUM(C6:G6)</f>
        <v>230340</v>
      </c>
      <c r="I6" s="363" t="e">
        <f>SUMIFS(#REF!,#REF!,$B6,#REF!,갑지!I$4)</f>
        <v>#REF!</v>
      </c>
      <c r="J6" s="350" t="e">
        <f>SUMIFS(#REF!,#REF!,$B6,#REF!,갑지!J$4)</f>
        <v>#REF!</v>
      </c>
      <c r="K6" s="350" t="e">
        <f>SUMIFS(#REF!,#REF!,$B6,#REF!,갑지!K$4)</f>
        <v>#REF!</v>
      </c>
      <c r="L6" s="350" t="e">
        <f>SUMIFS(#REF!,#REF!,$B6,#REF!,갑지!L$4)</f>
        <v>#REF!</v>
      </c>
      <c r="M6" s="357" t="e">
        <f>SUMIFS(#REF!,#REF!,$B6,#REF!,"화성조이켐")</f>
        <v>#REF!</v>
      </c>
      <c r="N6" s="947" t="e">
        <f t="shared" ref="N6:N11" si="8">SUM(I6:M6)</f>
        <v>#REF!</v>
      </c>
      <c r="O6" s="949" t="e">
        <f t="shared" si="0"/>
        <v>#REF!</v>
      </c>
      <c r="P6" s="950"/>
      <c r="R6" s="348">
        <f t="shared" ref="R6:R12" si="9">ROW()-4</f>
        <v>2</v>
      </c>
      <c r="S6" s="349" t="s">
        <v>305</v>
      </c>
      <c r="T6" s="389">
        <f>[4]갑지!$E$9</f>
        <v>36680</v>
      </c>
      <c r="U6" s="389">
        <f t="shared" si="1"/>
        <v>230340</v>
      </c>
      <c r="V6" s="390">
        <f t="shared" si="2"/>
        <v>-193660</v>
      </c>
      <c r="W6" s="370">
        <f>SUMIF(스크랩출고량!$C$4:$C$287,갑지!$S6,스크랩출고량!$R$4:$R$287)</f>
        <v>127582860</v>
      </c>
      <c r="X6" s="392">
        <f>[5]갑지!$H$6</f>
        <v>180</v>
      </c>
      <c r="Y6" s="389" t="e">
        <f t="shared" si="3"/>
        <v>#REF!</v>
      </c>
      <c r="Z6" s="390" t="e">
        <f t="shared" si="4"/>
        <v>#REF!</v>
      </c>
      <c r="AA6" s="370" t="e">
        <f>SUMIF(#REF!,갑지!$S6,#REF!)</f>
        <v>#REF!</v>
      </c>
      <c r="AB6" s="437" t="e">
        <f t="shared" si="5"/>
        <v>#REF!</v>
      </c>
      <c r="AC6" s="361"/>
    </row>
    <row r="7" spans="1:32" ht="26.25" hidden="1" customHeight="1">
      <c r="A7" s="348">
        <f t="shared" si="6"/>
        <v>3</v>
      </c>
      <c r="B7" s="349" t="s">
        <v>314</v>
      </c>
      <c r="C7" s="350">
        <f>SUMIFS(스크랩출고량!$M$4:$M$287,스크랩출고량!$C$4:$C$287,갑지!$B7,스크랩출고량!$I$4:$I$287,"세화철강")+SUMIFS(스크랩출고량!$M$4:$M$287,스크랩출고량!$C$4:$C$287,갑지!$B7,스크랩출고량!$I$4:$I$287,"선진알앤디")</f>
        <v>127420</v>
      </c>
      <c r="D7" s="350">
        <f>SUMIFS(스크랩출고량!$M$4:$M$287,스크랩출고량!$C$4:$C$287,갑지!B7,스크랩출고량!$I$4:$I$287,"대신에스티에스")</f>
        <v>16105</v>
      </c>
      <c r="E7" s="350">
        <f>SUMIFS(스크랩출고량!$M$4:$M$287,스크랩출고량!$C$4:$C$287,갑지!$B7,스크랩출고량!$I$4:$I$287,"다옴금속")</f>
        <v>669</v>
      </c>
      <c r="F7" s="350">
        <f>SUMIFS(스크랩출고량!$M$4:$M$287,스크랩출고량!$C$4:$C$287,갑지!$B7,스크랩출고량!$I$4:$I$287,"다문산업")</f>
        <v>0</v>
      </c>
      <c r="G7" s="357"/>
      <c r="H7" s="366">
        <f t="shared" si="7"/>
        <v>144194</v>
      </c>
      <c r="I7" s="363" t="e">
        <f>SUMIFS(#REF!,#REF!,$B7,#REF!,갑지!I$4)</f>
        <v>#REF!</v>
      </c>
      <c r="J7" s="350" t="e">
        <f>SUMIFS(#REF!,#REF!,$B7,#REF!,갑지!J$4)</f>
        <v>#REF!</v>
      </c>
      <c r="K7" s="350" t="e">
        <f>SUMIFS(#REF!,#REF!,$B7,#REF!,갑지!K$4)</f>
        <v>#REF!</v>
      </c>
      <c r="L7" s="350" t="e">
        <f>SUMIFS(#REF!,#REF!,$B7,#REF!,갑지!L$4)</f>
        <v>#REF!</v>
      </c>
      <c r="M7" s="357" t="e">
        <f>SUMIFS(#REF!,#REF!,$B7,#REF!,"화성조이켐")</f>
        <v>#REF!</v>
      </c>
      <c r="N7" s="947" t="e">
        <f t="shared" si="8"/>
        <v>#REF!</v>
      </c>
      <c r="O7" s="949" t="e">
        <f t="shared" si="0"/>
        <v>#REF!</v>
      </c>
      <c r="P7" s="950"/>
      <c r="R7" s="348">
        <f t="shared" si="9"/>
        <v>3</v>
      </c>
      <c r="S7" s="349" t="s">
        <v>314</v>
      </c>
      <c r="T7" s="389">
        <f>[4]갑지!$E$6</f>
        <v>92570</v>
      </c>
      <c r="U7" s="389">
        <f t="shared" si="1"/>
        <v>144194</v>
      </c>
      <c r="V7" s="390">
        <f t="shared" si="2"/>
        <v>-51624</v>
      </c>
      <c r="W7" s="370">
        <f>SUMIF(스크랩출고량!$C$4:$C$287,갑지!$S7,스크랩출고량!$R$4:$R$287)</f>
        <v>93236660</v>
      </c>
      <c r="X7" s="392">
        <f>[5]갑지!$H$7</f>
        <v>17290</v>
      </c>
      <c r="Y7" s="389" t="e">
        <f t="shared" si="3"/>
        <v>#REF!</v>
      </c>
      <c r="Z7" s="390" t="e">
        <f t="shared" si="4"/>
        <v>#REF!</v>
      </c>
      <c r="AA7" s="370" t="e">
        <f>SUMIF(#REF!,갑지!$S7,#REF!)</f>
        <v>#REF!</v>
      </c>
      <c r="AB7" s="437" t="e">
        <f t="shared" si="5"/>
        <v>#REF!</v>
      </c>
      <c r="AC7" s="361"/>
    </row>
    <row r="8" spans="1:32" ht="26.25" hidden="1" customHeight="1">
      <c r="A8" s="348">
        <f t="shared" si="6"/>
        <v>4</v>
      </c>
      <c r="B8" s="349" t="s">
        <v>344</v>
      </c>
      <c r="C8" s="350">
        <f>SUMIFS(스크랩출고량!$M$4:$M$287,스크랩출고량!$C$4:$C$287,"서울 상계동",스크랩출고량!$I$4:$I$287,"세화철강")+SUMIFS(스크랩출고량!$M$4:$M$287,스크랩출고량!$C$4:$C$287,"서울 상계동",스크랩출고량!$I$4:$I$287,"선진알앤디")</f>
        <v>0</v>
      </c>
      <c r="D8" s="350">
        <f>SUMIFS(스크랩출고량!$M$4:$M$287,스크랩출고량!$C$4:$C$287,"서울 상계동",스크랩출고량!$I$4:$I$287,"대신에스티에스")</f>
        <v>0</v>
      </c>
      <c r="E8" s="350">
        <f>SUMIFS(스크랩출고량!$M$4:$M$287,스크랩출고량!$C$4:$C$287,"서울 상계동",스크랩출고량!$I$4:$I$287,"다옴금속")+SUMIFS(스크랩출고량!$M$4:$M$287,스크랩출고량!$C$4:$C$287,"서울 상계동",스크랩출고량!$I$4:$I$287,"다옴금속_유리하이텍")</f>
        <v>0</v>
      </c>
      <c r="F8" s="350">
        <f>SUMIFS(스크랩출고량!$M$4:$M$287,스크랩출고량!$C$4:$C$287,"서울 상계동",스크랩출고량!$I$4:$I$287,"다문산업")</f>
        <v>0</v>
      </c>
      <c r="G8" s="357">
        <f>SUMIFS(스크랩출고량!$M$4:$M$287,스크랩출고량!$C$4:$C$287,"서울 상계동",스크랩출고량!$I$4:$I$287,"상록기전")</f>
        <v>0</v>
      </c>
      <c r="H8" s="366">
        <f t="shared" si="7"/>
        <v>0</v>
      </c>
      <c r="I8" s="363" t="e">
        <f>SUMIFS(#REF!,#REF!,"서울 상계동",#REF!,갑지!I$4)</f>
        <v>#REF!</v>
      </c>
      <c r="J8" s="350" t="e">
        <f>SUMIFS(#REF!,#REF!,"서울 상계동",#REF!,갑지!J$4)</f>
        <v>#REF!</v>
      </c>
      <c r="K8" s="350" t="e">
        <f>SUMIFS(#REF!,#REF!,"서울 상계동",#REF!,갑지!K$4)</f>
        <v>#REF!</v>
      </c>
      <c r="L8" s="350" t="e">
        <f>SUMIFS(#REF!,#REF!,"서울 상계동",#REF!,갑지!L$4)</f>
        <v>#REF!</v>
      </c>
      <c r="M8" s="357" t="e">
        <f>SUMIFS(#REF!,#REF!,"서울 상계동",#REF!,갑지!M$4)</f>
        <v>#REF!</v>
      </c>
      <c r="N8" s="947" t="e">
        <f t="shared" si="8"/>
        <v>#REF!</v>
      </c>
      <c r="O8" s="949" t="e">
        <f t="shared" si="0"/>
        <v>#REF!</v>
      </c>
      <c r="P8" s="950"/>
      <c r="R8" s="348">
        <f t="shared" si="9"/>
        <v>4</v>
      </c>
      <c r="S8" s="349" t="s">
        <v>344</v>
      </c>
      <c r="T8" s="389">
        <f>[4]갑지!$E$7</f>
        <v>62900</v>
      </c>
      <c r="U8" s="389">
        <f t="shared" si="1"/>
        <v>0</v>
      </c>
      <c r="V8" s="390">
        <f t="shared" si="2"/>
        <v>62900</v>
      </c>
      <c r="W8" s="370">
        <f>SUMIF(스크랩출고량!$C$4:$C$287,"서울 상계동",스크랩출고량!$R$4:$R$287)</f>
        <v>0</v>
      </c>
      <c r="X8" s="392">
        <f>[5]갑지!$H$8</f>
        <v>120</v>
      </c>
      <c r="Y8" s="389" t="e">
        <f t="shared" si="3"/>
        <v>#REF!</v>
      </c>
      <c r="Z8" s="390" t="e">
        <f t="shared" si="4"/>
        <v>#REF!</v>
      </c>
      <c r="AA8" s="370" t="e">
        <f>SUMIF(#REF!,갑지!$S8,#REF!)</f>
        <v>#REF!</v>
      </c>
      <c r="AB8" s="437" t="e">
        <f t="shared" si="5"/>
        <v>#REF!</v>
      </c>
      <c r="AC8" s="361"/>
    </row>
    <row r="9" spans="1:32" ht="26.25" hidden="1" customHeight="1">
      <c r="A9" s="348">
        <f t="shared" si="6"/>
        <v>5</v>
      </c>
      <c r="B9" s="349" t="s">
        <v>345</v>
      </c>
      <c r="C9" s="350">
        <f>SUMIFS(스크랩출고량!$M$4:$M$287,스크랩출고량!$C$4:$C$287,갑지!$B9,스크랩출고량!$I$4:$I$287,"세화철강")+SUMIFS(스크랩출고량!$M$4:$M$287,스크랩출고량!$C$4:$C$287,갑지!$B9,스크랩출고량!$I$4:$I$287,"선진알앤디")</f>
        <v>0</v>
      </c>
      <c r="D9" s="350">
        <f>SUMIFS(스크랩출고량!$M$4:$M$287,스크랩출고량!$C$4:$C$287,갑지!B9,스크랩출고량!$I$4:$I$287,"대신에스티에스")</f>
        <v>0</v>
      </c>
      <c r="E9" s="350">
        <f>SUMIFS(스크랩출고량!$M$4:$M$287,스크랩출고량!$C$4:$C$287,갑지!$B9,스크랩출고량!$I$4:$I$287,"다옴금속")</f>
        <v>0</v>
      </c>
      <c r="F9" s="350">
        <f>SUMIFS(스크랩출고량!$M$4:$M$287,스크랩출고량!$C$4:$C$287,갑지!$B9,스크랩출고량!$I$4:$I$287,"다문산업")</f>
        <v>26390</v>
      </c>
      <c r="G9" s="357">
        <f>SUMIFS(스크랩출고량!$M$4:$M$287,스크랩출고량!$C$4:$C$287,갑지!$B9,스크랩출고량!$I$4:$I$287,"전진유압상사")+SUMIFS(스크랩출고량!$M$4:$M$287,스크랩출고량!$C$4:$C$287,갑지!$B9,스크랩출고량!$I$4:$I$287,"다온산업")</f>
        <v>0</v>
      </c>
      <c r="H9" s="366">
        <f t="shared" si="7"/>
        <v>26390</v>
      </c>
      <c r="I9" s="363" t="e">
        <f>SUMIFS(#REF!,#REF!,$B9,#REF!,갑지!I$4)</f>
        <v>#REF!</v>
      </c>
      <c r="J9" s="350" t="e">
        <f>SUMIFS(#REF!,#REF!,$B9,#REF!,갑지!J$4)</f>
        <v>#REF!</v>
      </c>
      <c r="K9" s="350" t="e">
        <f>SUMIFS(#REF!,#REF!,$B9,#REF!,갑지!K$4)</f>
        <v>#REF!</v>
      </c>
      <c r="L9" s="350" t="e">
        <f>SUMIFS(#REF!,#REF!,$B9,#REF!,갑지!L$4)</f>
        <v>#REF!</v>
      </c>
      <c r="M9" s="357" t="e">
        <f>SUMIFS(#REF!,#REF!,$B9,#REF!,"화성조이켐")</f>
        <v>#REF!</v>
      </c>
      <c r="N9" s="947" t="e">
        <f t="shared" si="8"/>
        <v>#REF!</v>
      </c>
      <c r="O9" s="949" t="e">
        <f t="shared" si="0"/>
        <v>#REF!</v>
      </c>
      <c r="P9" s="950"/>
      <c r="R9" s="348">
        <f t="shared" si="9"/>
        <v>5</v>
      </c>
      <c r="S9" s="349" t="s">
        <v>345</v>
      </c>
      <c r="T9" s="389">
        <f>[4]갑지!$E$10</f>
        <v>2244410</v>
      </c>
      <c r="U9" s="389">
        <f t="shared" si="1"/>
        <v>26390</v>
      </c>
      <c r="V9" s="390">
        <f t="shared" si="2"/>
        <v>2218020</v>
      </c>
      <c r="W9" s="370">
        <f>SUMIF(스크랩출고량!$C$4:$C$287,갑지!$S9,스크랩출고량!$R$4:$R$287)</f>
        <v>383410000</v>
      </c>
      <c r="X9" s="392">
        <f>[5]갑지!$H$9</f>
        <v>35880</v>
      </c>
      <c r="Y9" s="389" t="e">
        <f t="shared" si="3"/>
        <v>#REF!</v>
      </c>
      <c r="Z9" s="390" t="e">
        <f t="shared" si="4"/>
        <v>#REF!</v>
      </c>
      <c r="AA9" s="370" t="e">
        <f>SUMIF(#REF!,갑지!$S9,#REF!)</f>
        <v>#REF!</v>
      </c>
      <c r="AB9" s="437" t="e">
        <f t="shared" si="5"/>
        <v>#REF!</v>
      </c>
      <c r="AC9" s="361"/>
    </row>
    <row r="10" spans="1:32" ht="26.25" hidden="1" customHeight="1">
      <c r="A10" s="348">
        <f t="shared" si="6"/>
        <v>6</v>
      </c>
      <c r="B10" s="349" t="s">
        <v>346</v>
      </c>
      <c r="C10" s="350">
        <f>SUMIFS(스크랩출고량!$M$4:$M$287,스크랩출고량!$C$4:$C$287,"서울 잠실동",스크랩출고량!$I$4:$I$287,"세화철강")+SUMIFS(스크랩출고량!$M$4:$M$287,스크랩출고량!$C$4:$C$287,"서울 잠실동",스크랩출고량!$I$4:$I$287,"선진알앤디")</f>
        <v>2720</v>
      </c>
      <c r="D10" s="350">
        <f>SUMIFS(스크랩출고량!$M$4:$M$287,스크랩출고량!$C$4:$C$287,"서울 잠실동",스크랩출고량!$I$4:$I$287,"대신에스티에스")</f>
        <v>0</v>
      </c>
      <c r="E10" s="350">
        <f>SUMIFS(스크랩출고량!$M$4:$M$287,스크랩출고량!$C$4:$C$287,"서울 잠실동",스크랩출고량!$I$4:$I$287,"다옴금속")</f>
        <v>900</v>
      </c>
      <c r="F10" s="350">
        <f>SUMIFS(스크랩출고량!$M$4:$M$287,스크랩출고량!$C$4:$C$287,"서울 잠실동",스크랩출고량!$I$4:$I$287,"다문산업")</f>
        <v>0</v>
      </c>
      <c r="G10" s="357"/>
      <c r="H10" s="366">
        <f t="shared" si="7"/>
        <v>3620</v>
      </c>
      <c r="I10" s="363" t="e">
        <f>SUMIFS(#REF!,#REF!,"서울 잠실동",#REF!,갑지!I$4)</f>
        <v>#REF!</v>
      </c>
      <c r="J10" s="350" t="e">
        <f>SUMIFS(#REF!,#REF!,"서울 잠실동",#REF!,갑지!J$4)</f>
        <v>#REF!</v>
      </c>
      <c r="K10" s="350" t="e">
        <f>SUMIFS(#REF!,#REF!,"서울 잠실동",#REF!,갑지!K$4)</f>
        <v>#REF!</v>
      </c>
      <c r="L10" s="350" t="e">
        <f>SUMIFS(#REF!,#REF!,"서울 잠실동",#REF!,갑지!L$4)</f>
        <v>#REF!</v>
      </c>
      <c r="M10" s="357" t="e">
        <f>SUMIFS(#REF!,#REF!,"서울 잠실동",#REF!,"그린스톤산업")</f>
        <v>#REF!</v>
      </c>
      <c r="N10" s="947" t="e">
        <f t="shared" si="8"/>
        <v>#REF!</v>
      </c>
      <c r="O10" s="949" t="e">
        <f t="shared" si="0"/>
        <v>#REF!</v>
      </c>
      <c r="P10" s="950" t="s">
        <v>347</v>
      </c>
      <c r="R10" s="348">
        <f t="shared" si="9"/>
        <v>6</v>
      </c>
      <c r="S10" s="349" t="s">
        <v>346</v>
      </c>
      <c r="T10" s="389">
        <f>[4]갑지!$E$11</f>
        <v>4690</v>
      </c>
      <c r="U10" s="389">
        <f t="shared" si="1"/>
        <v>3620</v>
      </c>
      <c r="V10" s="390">
        <f t="shared" si="2"/>
        <v>1070</v>
      </c>
      <c r="W10" s="370">
        <f>SUMIF(스크랩출고량!$C$4:$C$287,"서울 잠실동",스크랩출고량!$R$4:$R$287)</f>
        <v>4597800</v>
      </c>
      <c r="X10" s="392">
        <f>[5]갑지!$H$10</f>
        <v>324930</v>
      </c>
      <c r="Y10" s="389" t="e">
        <f t="shared" si="3"/>
        <v>#REF!</v>
      </c>
      <c r="Z10" s="390" t="e">
        <f t="shared" si="4"/>
        <v>#REF!</v>
      </c>
      <c r="AA10" s="370" t="e">
        <f>SUMIF(#REF!,갑지!$S10,#REF!)</f>
        <v>#REF!</v>
      </c>
      <c r="AB10" s="437" t="e">
        <f t="shared" si="5"/>
        <v>#REF!</v>
      </c>
      <c r="AC10" s="361" t="s">
        <v>373</v>
      </c>
    </row>
    <row r="11" spans="1:32" ht="26.25" hidden="1" customHeight="1">
      <c r="A11" s="348">
        <f t="shared" si="6"/>
        <v>7</v>
      </c>
      <c r="B11" s="349" t="s">
        <v>358</v>
      </c>
      <c r="C11" s="350">
        <f>SUMIFS(스크랩출고량!$M$4:$M$287,스크랩출고량!$C$4:$C$287,갑지!$B11,스크랩출고량!$I$4:$I$287,"세화철강")+SUMIFS(스크랩출고량!$M$4:$M$287,스크랩출고량!$C$4:$C$287,갑지!$B11,스크랩출고량!$I$4:$I$287,"선진알앤디")</f>
        <v>0</v>
      </c>
      <c r="D11" s="350">
        <f>SUMIFS(스크랩출고량!$M$4:$M$287,스크랩출고량!$C$4:$C$287,갑지!B11,스크랩출고량!$I$4:$I$287,"대신에스티에스")</f>
        <v>0</v>
      </c>
      <c r="E11" s="350">
        <f>SUMIFS(스크랩출고량!$M$4:$M$287,스크랩출고량!$C$4:$C$287,갑지!$B11,스크랩출고량!$I$4:$I$287,"다옴금속")+SUMIFS(스크랩출고량!$M$4:$M$287,스크랩출고량!$C$4:$C$287,갑지!$B11,스크랩출고량!$I$4:$I$287,"다옴금속_유리하이텍")</f>
        <v>0</v>
      </c>
      <c r="F11" s="350">
        <f>SUMIFS(스크랩출고량!$M$4:$M$287,스크랩출고량!$C$4:$C$287,갑지!$B11,스크랩출고량!$I$4:$I$287,"다문산업")</f>
        <v>0</v>
      </c>
      <c r="G11" s="357"/>
      <c r="H11" s="366">
        <f t="shared" si="7"/>
        <v>0</v>
      </c>
      <c r="I11" s="363" t="e">
        <f>SUMIFS(#REF!,#REF!,$B11,#REF!,갑지!I$4)</f>
        <v>#REF!</v>
      </c>
      <c r="J11" s="350" t="e">
        <f>SUMIFS(#REF!,#REF!,$B11,#REF!,갑지!J$4)</f>
        <v>#REF!</v>
      </c>
      <c r="K11" s="350" t="e">
        <f>SUMIFS(#REF!,#REF!,$B11,#REF!,갑지!K$4)</f>
        <v>#REF!</v>
      </c>
      <c r="L11" s="350" t="e">
        <f>SUMIFS(#REF!,#REF!,$B11,#REF!,갑지!L$4)</f>
        <v>#REF!</v>
      </c>
      <c r="M11" s="357" t="e">
        <f>SUMIFS(#REF!,#REF!,$B11,#REF!,"화성조이켐")</f>
        <v>#REF!</v>
      </c>
      <c r="N11" s="947" t="e">
        <f t="shared" si="8"/>
        <v>#REF!</v>
      </c>
      <c r="O11" s="949" t="e">
        <f t="shared" si="0"/>
        <v>#REF!</v>
      </c>
      <c r="P11" s="950" t="s">
        <v>347</v>
      </c>
      <c r="R11" s="348">
        <f t="shared" si="9"/>
        <v>7</v>
      </c>
      <c r="S11" s="349" t="s">
        <v>358</v>
      </c>
      <c r="T11" s="389">
        <f>[4]갑지!$E$12</f>
        <v>58770</v>
      </c>
      <c r="U11" s="389">
        <f t="shared" si="1"/>
        <v>0</v>
      </c>
      <c r="V11" s="390">
        <f t="shared" si="2"/>
        <v>58770</v>
      </c>
      <c r="W11" s="370">
        <f>SUMIF(스크랩출고량!$C$4:$C$287,갑지!$S11,스크랩출고량!$R$4:$R$287)</f>
        <v>0</v>
      </c>
      <c r="X11" s="392">
        <f>[5]갑지!$H$11</f>
        <v>0</v>
      </c>
      <c r="Y11" s="389" t="e">
        <f t="shared" si="3"/>
        <v>#REF!</v>
      </c>
      <c r="Z11" s="390" t="e">
        <f t="shared" si="4"/>
        <v>#REF!</v>
      </c>
      <c r="AA11" s="370" t="e">
        <f>SUMIF(#REF!,갑지!$S11,#REF!)</f>
        <v>#REF!</v>
      </c>
      <c r="AB11" s="437" t="e">
        <f t="shared" si="5"/>
        <v>#REF!</v>
      </c>
      <c r="AC11" s="361"/>
    </row>
    <row r="12" spans="1:32" ht="26.25" hidden="1" customHeight="1">
      <c r="A12" s="348">
        <f t="shared" si="6"/>
        <v>8</v>
      </c>
      <c r="B12" s="349" t="s">
        <v>428</v>
      </c>
      <c r="O12" s="940"/>
      <c r="P12" s="940"/>
      <c r="R12" s="348">
        <f t="shared" si="9"/>
        <v>8</v>
      </c>
      <c r="S12" s="349" t="s">
        <v>428</v>
      </c>
      <c r="T12" s="389">
        <f>[4]갑지!$E$8</f>
        <v>18410</v>
      </c>
    </row>
    <row r="13" spans="1:32" ht="26.25" hidden="1" customHeight="1" thickBot="1">
      <c r="A13" s="348">
        <f t="shared" si="6"/>
        <v>9</v>
      </c>
      <c r="B13" s="351" t="s">
        <v>348</v>
      </c>
      <c r="C13" s="359">
        <f>C14-SUM(C5:C11)</f>
        <v>123020</v>
      </c>
      <c r="D13" s="359">
        <f>D14-SUM(D5:D11)</f>
        <v>25042</v>
      </c>
      <c r="E13" s="359">
        <f>E14-SUM(E5:E11)</f>
        <v>37180</v>
      </c>
      <c r="F13" s="359">
        <f>F14-SUM(F5:F11)</f>
        <v>13140</v>
      </c>
      <c r="G13" s="360" t="e">
        <f>스크랩출고량!#REF!-SUM(갑지!C14:F14)-SUM(갑지!G5:G11)</f>
        <v>#REF!</v>
      </c>
      <c r="H13" s="366" t="e">
        <f>SUM(C13:G13)</f>
        <v>#REF!</v>
      </c>
      <c r="I13" s="364">
        <v>176770</v>
      </c>
      <c r="J13" s="359"/>
      <c r="K13" s="360">
        <v>10750</v>
      </c>
      <c r="L13" s="360"/>
      <c r="M13" s="360"/>
      <c r="N13" s="947">
        <f>SUM(I13:M13)</f>
        <v>187520</v>
      </c>
      <c r="O13" s="951" t="e">
        <f>N13+H13</f>
        <v>#REF!</v>
      </c>
      <c r="P13" s="952"/>
      <c r="R13" s="354">
        <f>ROW()-4</f>
        <v>9</v>
      </c>
      <c r="S13" s="368" t="s">
        <v>372</v>
      </c>
      <c r="T13" s="391">
        <f>[4]갑지!$E$13</f>
        <v>2593890</v>
      </c>
      <c r="U13" s="391" t="e">
        <f>H13</f>
        <v>#REF!</v>
      </c>
      <c r="V13" s="391"/>
      <c r="W13" s="371" t="e">
        <f>스크랩출고량!#REF!-SUM(갑지!W5:W11)</f>
        <v>#REF!</v>
      </c>
      <c r="X13" s="393">
        <f>[5]갑지!$H$12</f>
        <v>0</v>
      </c>
      <c r="Y13" s="394">
        <f>N13</f>
        <v>187520</v>
      </c>
      <c r="Z13" s="394"/>
      <c r="AA13" s="372" t="e">
        <f>SUMIF(#REF!,갑지!$S13,#REF!)</f>
        <v>#REF!</v>
      </c>
      <c r="AB13" s="438">
        <v>554401</v>
      </c>
      <c r="AC13" s="369"/>
    </row>
    <row r="14" spans="1:32" ht="19.5" hidden="1" customHeight="1" thickBot="1">
      <c r="A14" s="441" t="s">
        <v>349</v>
      </c>
      <c r="B14" s="442"/>
      <c r="C14" s="352">
        <f>SUMIF(스크랩출고량!$I$4:$I$287,"세화철강",스크랩출고량!$M$4:$M$287)+SUMIF(스크랩출고량!$I$4:$I$287,"선진알앤디",스크랩출고량!$M$4:$M$287)+SUMIF(스크랩출고량!$I$4:$I$287,"세화철강_크로스특수",스크랩출고량!$M$4:$M$287)+SUMIF(스크랩출고량!$I$4:$I$287,"세화철강_투플러스",스크랩출고량!$M$4:$M$287)</f>
        <v>2210370</v>
      </c>
      <c r="D14" s="352">
        <f>SUMIF(스크랩출고량!$I$4:$I$287,"대신에스티에스",스크랩출고량!$M$4:$M$287)</f>
        <v>89860</v>
      </c>
      <c r="E14" s="352">
        <f>SUMIF(스크랩출고량!$I$4:$I$287,"다옴금속",스크랩출고량!$M$4:$M$287)+SUMIF(스크랩출고량!$I$4:$I$287,"다옴금속_유리하이텍",스크랩출고량!$M$4:$M$287)+SUMIF(스크랩출고량!$I$4:$I$287,"다옴메탈",스크랩출고량!$M$4:$M$287)+SUMIF(스크랩출고량!$I$4:$I$287,"다옴메탈_유리하이텍",스크랩출고량!$M$4:$M$287)</f>
        <v>42400</v>
      </c>
      <c r="F14" s="352">
        <f>SUMIF(스크랩출고량!$I$4:$I$287,"다문산업",스크랩출고량!$M$4:$M$287)+SUMIF(스크랩출고량!$I$4:$I$287,"다문산업_크로스특수",스크랩출고량!$M$4:$M$287)</f>
        <v>152400</v>
      </c>
      <c r="G14" s="358" t="e">
        <f t="shared" ref="G14:O14" si="10">SUM(G5:G13)</f>
        <v>#REF!</v>
      </c>
      <c r="H14" s="367" t="e">
        <f t="shared" si="10"/>
        <v>#REF!</v>
      </c>
      <c r="I14" s="365" t="e">
        <f t="shared" si="10"/>
        <v>#REF!</v>
      </c>
      <c r="J14" s="352" t="e">
        <f t="shared" si="10"/>
        <v>#REF!</v>
      </c>
      <c r="K14" s="352" t="e">
        <f t="shared" si="10"/>
        <v>#REF!</v>
      </c>
      <c r="L14" s="352" t="e">
        <f t="shared" si="10"/>
        <v>#REF!</v>
      </c>
      <c r="M14" s="352" t="e">
        <f t="shared" si="10"/>
        <v>#REF!</v>
      </c>
      <c r="N14" s="948" t="e">
        <f t="shared" si="10"/>
        <v>#REF!</v>
      </c>
      <c r="O14" s="953" t="e">
        <f t="shared" si="10"/>
        <v>#REF!</v>
      </c>
      <c r="P14" s="954"/>
    </row>
    <row r="15" spans="1:32" hidden="1">
      <c r="A15" s="353" t="s">
        <v>350</v>
      </c>
      <c r="B15" s="347"/>
      <c r="C15" s="347"/>
      <c r="D15" s="347"/>
      <c r="E15" s="347"/>
      <c r="J15" s="347"/>
      <c r="K15" s="347"/>
      <c r="L15" s="347"/>
      <c r="M15" s="347"/>
      <c r="N15" s="347"/>
      <c r="O15" s="950"/>
      <c r="P15" s="955" t="s">
        <v>351</v>
      </c>
    </row>
    <row r="16" spans="1:32">
      <c r="A16" s="944" t="s">
        <v>1</v>
      </c>
      <c r="B16" t="s">
        <v>542</v>
      </c>
      <c r="F16" s="944" t="s">
        <v>2</v>
      </c>
      <c r="G16" t="s">
        <v>542</v>
      </c>
      <c r="H16" s="347"/>
      <c r="I16" s="347"/>
    </row>
    <row r="17" spans="1:23" ht="26.25">
      <c r="A17" s="944" t="s">
        <v>390</v>
      </c>
      <c r="B17" t="s">
        <v>542</v>
      </c>
      <c r="C17" s="439"/>
      <c r="D17" s="439"/>
      <c r="E17" s="439"/>
      <c r="F17" s="944" t="s">
        <v>1</v>
      </c>
      <c r="G17" t="s">
        <v>542</v>
      </c>
      <c r="K17" s="944" t="s">
        <v>546</v>
      </c>
      <c r="L17" t="s">
        <v>542</v>
      </c>
      <c r="N17" s="439"/>
      <c r="O17" s="439"/>
      <c r="P17" s="439"/>
    </row>
    <row r="18" spans="1:23" ht="16.5" customHeight="1"/>
    <row r="19" spans="1:23" ht="24.95" customHeight="1">
      <c r="A19" s="514" t="s">
        <v>434</v>
      </c>
      <c r="B19" s="388" t="s">
        <v>543</v>
      </c>
      <c r="C19" s="388" t="s">
        <v>544</v>
      </c>
      <c r="D19" s="388" t="s">
        <v>435</v>
      </c>
      <c r="F19" s="514" t="s">
        <v>390</v>
      </c>
      <c r="G19" s="388" t="s">
        <v>543</v>
      </c>
      <c r="H19" s="388" t="s">
        <v>544</v>
      </c>
      <c r="I19" s="388" t="s">
        <v>545</v>
      </c>
      <c r="K19" s="514" t="s">
        <v>390</v>
      </c>
      <c r="L19" s="388" t="s">
        <v>543</v>
      </c>
      <c r="M19" s="388" t="s">
        <v>544</v>
      </c>
      <c r="N19" s="388" t="s">
        <v>545</v>
      </c>
    </row>
    <row r="20" spans="1:23" ht="24.95" customHeight="1">
      <c r="A20" s="512" t="s">
        <v>430</v>
      </c>
      <c r="B20" s="336">
        <v>33900</v>
      </c>
      <c r="C20" s="336">
        <v>33870</v>
      </c>
      <c r="D20" s="336">
        <v>67367470</v>
      </c>
      <c r="F20" s="512" t="s">
        <v>541</v>
      </c>
      <c r="G20" s="336">
        <v>12230</v>
      </c>
      <c r="H20" s="336">
        <v>12807</v>
      </c>
      <c r="I20" s="336">
        <v>18044700</v>
      </c>
      <c r="K20" s="512" t="s">
        <v>313</v>
      </c>
      <c r="L20" s="336">
        <v>2830</v>
      </c>
      <c r="M20" s="336">
        <v>2830</v>
      </c>
      <c r="N20" s="336">
        <v>0</v>
      </c>
    </row>
    <row r="21" spans="1:23" ht="24.95" customHeight="1">
      <c r="A21" s="513" t="s">
        <v>431</v>
      </c>
      <c r="B21" s="336">
        <v>33900</v>
      </c>
      <c r="C21" s="336">
        <v>33870</v>
      </c>
      <c r="D21" s="336">
        <v>67367470</v>
      </c>
      <c r="F21" s="512" t="s">
        <v>344</v>
      </c>
      <c r="G21" s="336">
        <v>41700</v>
      </c>
      <c r="H21" s="336">
        <v>41660</v>
      </c>
      <c r="I21" s="336">
        <v>41579000</v>
      </c>
      <c r="K21" s="512" t="s">
        <v>314</v>
      </c>
      <c r="L21" s="336">
        <v>467740</v>
      </c>
      <c r="M21" s="336">
        <v>468080</v>
      </c>
      <c r="N21" s="336">
        <v>-67893500</v>
      </c>
    </row>
    <row r="22" spans="1:23" ht="24.95" customHeight="1">
      <c r="A22" s="512" t="s">
        <v>432</v>
      </c>
      <c r="B22" s="336">
        <v>2525310</v>
      </c>
      <c r="C22" s="336">
        <v>2522771.5</v>
      </c>
      <c r="D22" s="336">
        <v>3256434389.6700001</v>
      </c>
      <c r="F22" s="512" t="s">
        <v>314</v>
      </c>
      <c r="G22" s="336">
        <v>144194</v>
      </c>
      <c r="H22" s="336">
        <v>143956</v>
      </c>
      <c r="I22" s="336">
        <v>93236660</v>
      </c>
      <c r="K22" s="512" t="s">
        <v>264</v>
      </c>
      <c r="L22" s="336">
        <v>189850</v>
      </c>
      <c r="M22" s="336">
        <v>195940</v>
      </c>
      <c r="N22" s="336">
        <v>-35739925</v>
      </c>
    </row>
    <row r="23" spans="1:23" ht="24.95" customHeight="1">
      <c r="A23" s="513" t="s">
        <v>433</v>
      </c>
      <c r="B23" s="336">
        <v>2161310</v>
      </c>
      <c r="C23" s="336">
        <v>2160102.5</v>
      </c>
      <c r="D23" s="336">
        <v>2385301419.6700001</v>
      </c>
      <c r="F23" s="512" t="s">
        <v>244</v>
      </c>
      <c r="G23" s="336">
        <v>2070</v>
      </c>
      <c r="H23" s="336">
        <v>2070</v>
      </c>
      <c r="I23" s="336">
        <v>4243500</v>
      </c>
      <c r="K23" s="512" t="s">
        <v>88</v>
      </c>
      <c r="L23" s="336">
        <v>13640</v>
      </c>
      <c r="M23" s="336">
        <v>13640</v>
      </c>
      <c r="N23" s="336">
        <v>-2318800</v>
      </c>
    </row>
    <row r="24" spans="1:23" ht="24.95" customHeight="1">
      <c r="A24" s="513" t="s">
        <v>632</v>
      </c>
      <c r="B24" s="336">
        <v>364000</v>
      </c>
      <c r="C24" s="336">
        <v>362669</v>
      </c>
      <c r="D24" s="336">
        <v>871132970</v>
      </c>
      <c r="F24" s="945" t="s">
        <v>264</v>
      </c>
      <c r="G24" s="946">
        <v>1951924</v>
      </c>
      <c r="H24" s="946">
        <v>1949057</v>
      </c>
      <c r="I24" s="946">
        <v>2355549039.6700001</v>
      </c>
      <c r="K24" s="512" t="s">
        <v>699</v>
      </c>
      <c r="L24" s="336">
        <v>3860</v>
      </c>
      <c r="M24" s="336">
        <v>3860</v>
      </c>
      <c r="N24" s="336">
        <v>0</v>
      </c>
    </row>
    <row r="25" spans="1:23" ht="24.95" customHeight="1">
      <c r="A25" s="388" t="s">
        <v>429</v>
      </c>
      <c r="B25" s="336">
        <v>2559210</v>
      </c>
      <c r="C25" s="336">
        <v>2556641.5</v>
      </c>
      <c r="D25" s="336">
        <v>3323801859.6700001</v>
      </c>
      <c r="F25" s="512" t="s">
        <v>242</v>
      </c>
      <c r="G25" s="336">
        <v>26390</v>
      </c>
      <c r="H25" s="336">
        <v>27347</v>
      </c>
      <c r="I25" s="336">
        <v>383410000</v>
      </c>
      <c r="K25" s="388" t="s">
        <v>429</v>
      </c>
      <c r="L25" s="336">
        <v>677920</v>
      </c>
      <c r="M25" s="336">
        <v>684350</v>
      </c>
      <c r="N25" s="336">
        <v>-105952225</v>
      </c>
    </row>
    <row r="26" spans="1:23" ht="24.95" customHeight="1">
      <c r="F26" s="512" t="s">
        <v>305</v>
      </c>
      <c r="G26" s="336">
        <v>230340</v>
      </c>
      <c r="H26" s="336">
        <v>230094</v>
      </c>
      <c r="I26" s="336">
        <v>127582860</v>
      </c>
    </row>
    <row r="27" spans="1:23" ht="24.95" customHeight="1">
      <c r="F27" s="512" t="s">
        <v>698</v>
      </c>
      <c r="G27" s="336">
        <v>9130</v>
      </c>
      <c r="H27" s="336">
        <v>9130</v>
      </c>
      <c r="I27" s="336">
        <v>5285900</v>
      </c>
    </row>
    <row r="28" spans="1:23" ht="24.95" customHeight="1">
      <c r="F28" s="512" t="s">
        <v>699</v>
      </c>
      <c r="G28" s="336">
        <v>72418</v>
      </c>
      <c r="H28" s="336">
        <v>72049</v>
      </c>
      <c r="I28" s="336">
        <v>139260750</v>
      </c>
    </row>
    <row r="29" spans="1:23" ht="24.95" customHeight="1">
      <c r="F29" s="512" t="s">
        <v>727</v>
      </c>
      <c r="G29" s="336">
        <v>2392</v>
      </c>
      <c r="H29" s="336">
        <v>2392</v>
      </c>
      <c r="I29" s="336">
        <v>10664000</v>
      </c>
    </row>
    <row r="30" spans="1:23" ht="24.95" customHeight="1">
      <c r="F30" s="388" t="s">
        <v>429</v>
      </c>
      <c r="G30" s="336">
        <v>2492788</v>
      </c>
      <c r="H30" s="336">
        <v>2490562</v>
      </c>
      <c r="I30" s="336">
        <v>3178856409.6700001</v>
      </c>
    </row>
    <row r="31" spans="1:23" ht="24.95" customHeight="1"/>
    <row r="32" spans="1:23" ht="24.95" customHeight="1"/>
    <row r="33" spans="1:16" ht="24.95" customHeight="1">
      <c r="O33" s="336"/>
      <c r="P33" s="336"/>
    </row>
    <row r="34" spans="1:16" ht="20.25">
      <c r="F34" s="1622" t="s">
        <v>729</v>
      </c>
      <c r="K34" s="1622" t="s">
        <v>777</v>
      </c>
    </row>
    <row r="35" spans="1:16" ht="14.25" customHeight="1"/>
    <row r="36" spans="1:16" ht="24.95" customHeight="1">
      <c r="F36" s="944" t="s">
        <v>390</v>
      </c>
      <c r="G36" t="s">
        <v>699</v>
      </c>
      <c r="K36" s="1618" t="s">
        <v>391</v>
      </c>
      <c r="L36" s="1618" t="s">
        <v>551</v>
      </c>
      <c r="M36" s="1618" t="s">
        <v>367</v>
      </c>
      <c r="N36" s="1896" t="s">
        <v>371</v>
      </c>
      <c r="O36" s="1618" t="s">
        <v>552</v>
      </c>
    </row>
    <row r="37" spans="1:16" ht="24.95" customHeight="1">
      <c r="K37" s="1619" t="s">
        <v>685</v>
      </c>
      <c r="L37" s="1620">
        <f>[6]갑지!$I$9</f>
        <v>118420</v>
      </c>
      <c r="M37" s="1620">
        <f>VLOOKUP(K37,$F$19:$H$31,2,0)</f>
        <v>72418</v>
      </c>
      <c r="N37" s="1620">
        <f>VLOOKUP(K37,$K$19:$M$28,2,0)</f>
        <v>3860</v>
      </c>
      <c r="O37" s="1621">
        <f>L37-M37-N37</f>
        <v>42142</v>
      </c>
    </row>
    <row r="38" spans="1:16" ht="24.95" customHeight="1">
      <c r="A38" s="957"/>
      <c r="B38" s="957"/>
      <c r="C38" s="957"/>
      <c r="D38" s="957"/>
      <c r="F38" s="1623" t="s">
        <v>2</v>
      </c>
      <c r="G38" s="1623" t="s">
        <v>543</v>
      </c>
      <c r="H38" s="1623" t="s">
        <v>544</v>
      </c>
      <c r="I38" s="1623" t="s">
        <v>726</v>
      </c>
      <c r="K38" s="958" t="s">
        <v>321</v>
      </c>
      <c r="L38" s="336">
        <f>[7]갑지!$I$5</f>
        <v>334930</v>
      </c>
      <c r="M38" s="1616">
        <f>VLOOKUP(K38,$F$19:$H$31,2,0)</f>
        <v>41700</v>
      </c>
      <c r="N38" s="1616">
        <v>120</v>
      </c>
      <c r="O38" s="1617">
        <f>L38-M38-N38</f>
        <v>293110</v>
      </c>
    </row>
    <row r="39" spans="1:16" ht="24.95" customHeight="1">
      <c r="A39" s="958"/>
      <c r="B39" s="958"/>
      <c r="C39" s="958"/>
      <c r="D39" s="958"/>
      <c r="F39" s="512" t="s">
        <v>123</v>
      </c>
      <c r="G39" s="336">
        <v>9090</v>
      </c>
      <c r="H39" s="336">
        <v>8709</v>
      </c>
      <c r="I39" s="336">
        <v>17853450</v>
      </c>
      <c r="K39" s="958" t="s">
        <v>522</v>
      </c>
      <c r="L39" s="336">
        <f>[6]갑지!$I$6</f>
        <v>18410</v>
      </c>
      <c r="M39" s="1616">
        <f>VLOOKUP(K39,$F$19:$H$31,2,0)</f>
        <v>12230</v>
      </c>
      <c r="N39" s="1616"/>
      <c r="O39" s="1617">
        <f t="shared" ref="O39:O46" si="11">L39-M39-N39</f>
        <v>6180</v>
      </c>
    </row>
    <row r="40" spans="1:16" ht="24.95" customHeight="1">
      <c r="A40" s="573"/>
      <c r="B40" s="573"/>
      <c r="C40" s="959"/>
      <c r="D40" s="573"/>
      <c r="F40" s="512" t="s">
        <v>119</v>
      </c>
      <c r="G40" s="336">
        <v>11710</v>
      </c>
      <c r="H40" s="336">
        <v>11650</v>
      </c>
      <c r="I40" s="336">
        <v>5708500</v>
      </c>
      <c r="K40" s="1897" t="s">
        <v>305</v>
      </c>
      <c r="L40" s="1901">
        <f>[6]갑지!$I$7</f>
        <v>265168</v>
      </c>
      <c r="M40" s="1899">
        <f t="shared" ref="M40:M43" si="12">VLOOKUP(K40,$F$19:$H$31,2,0)</f>
        <v>230340</v>
      </c>
      <c r="N40" s="1899">
        <v>180</v>
      </c>
      <c r="O40" s="1900">
        <f t="shared" si="11"/>
        <v>34648</v>
      </c>
    </row>
    <row r="41" spans="1:16" ht="24.95" customHeight="1">
      <c r="A41" s="892"/>
      <c r="B41" s="960"/>
      <c r="C41" s="961"/>
      <c r="D41" s="891"/>
      <c r="F41" s="512" t="s">
        <v>246</v>
      </c>
      <c r="G41" s="336">
        <v>11160</v>
      </c>
      <c r="H41" s="336">
        <v>11040</v>
      </c>
      <c r="I41" s="336">
        <v>5409600</v>
      </c>
      <c r="K41" t="s">
        <v>315</v>
      </c>
      <c r="L41" s="336">
        <f>[6]갑지!$I$11</f>
        <v>700000</v>
      </c>
      <c r="M41" s="1616">
        <f t="shared" si="12"/>
        <v>144194</v>
      </c>
      <c r="N41" s="1616">
        <f t="shared" ref="N41:N45" si="13">VLOOKUP(K41,$K$19:$M$28,2,0)</f>
        <v>467740</v>
      </c>
      <c r="O41" s="1617">
        <f t="shared" si="11"/>
        <v>88066</v>
      </c>
    </row>
    <row r="42" spans="1:16" ht="24.95" customHeight="1">
      <c r="A42" s="265"/>
      <c r="B42" s="893"/>
      <c r="C42" s="961"/>
      <c r="D42" s="891"/>
      <c r="F42" s="512" t="s">
        <v>248</v>
      </c>
      <c r="G42" s="336">
        <v>9030</v>
      </c>
      <c r="H42" s="336">
        <v>8970</v>
      </c>
      <c r="I42" s="336">
        <v>4215900</v>
      </c>
      <c r="K42" t="s">
        <v>241</v>
      </c>
      <c r="L42" s="336">
        <f>[6]갑지!$I$10</f>
        <v>3881601</v>
      </c>
      <c r="M42" s="1616">
        <f t="shared" si="12"/>
        <v>1951924</v>
      </c>
      <c r="N42" s="1616">
        <f t="shared" si="13"/>
        <v>189850</v>
      </c>
      <c r="O42" s="1617">
        <f t="shared" si="11"/>
        <v>1739827</v>
      </c>
    </row>
    <row r="43" spans="1:16" ht="24.95" customHeight="1">
      <c r="A43" s="265"/>
      <c r="B43" s="1575"/>
      <c r="C43" s="961"/>
      <c r="D43" s="1574"/>
      <c r="F43" s="512" t="s">
        <v>272</v>
      </c>
      <c r="G43" s="336">
        <v>7700</v>
      </c>
      <c r="H43" s="336">
        <v>7700</v>
      </c>
      <c r="I43" s="336">
        <v>3882500</v>
      </c>
      <c r="K43" s="1897" t="s">
        <v>712</v>
      </c>
      <c r="L43" s="1898">
        <v>2698</v>
      </c>
      <c r="M43" s="1899">
        <f t="shared" si="12"/>
        <v>2392</v>
      </c>
      <c r="N43" s="1899"/>
      <c r="O43" s="1900">
        <f t="shared" si="11"/>
        <v>306</v>
      </c>
    </row>
    <row r="44" spans="1:16" ht="24.95" customHeight="1">
      <c r="A44" s="265"/>
      <c r="B44" s="1575"/>
      <c r="C44" s="961"/>
      <c r="D44" s="1574"/>
      <c r="F44" s="512" t="s">
        <v>724</v>
      </c>
      <c r="G44" s="336">
        <v>60</v>
      </c>
      <c r="H44" s="336">
        <v>60</v>
      </c>
      <c r="I44" s="336">
        <v>0</v>
      </c>
      <c r="K44" s="1897" t="s">
        <v>578</v>
      </c>
      <c r="L44" s="1898">
        <v>15130</v>
      </c>
      <c r="M44" s="1899">
        <f>VLOOKUP(K44,$F$19:$H$31,2,0)</f>
        <v>9130</v>
      </c>
      <c r="N44" s="1899"/>
      <c r="O44" s="1900">
        <f t="shared" si="11"/>
        <v>6000</v>
      </c>
    </row>
    <row r="45" spans="1:16" ht="24.95" customHeight="1">
      <c r="A45" s="265"/>
      <c r="B45" s="1575"/>
      <c r="C45" s="961"/>
      <c r="D45" s="1574"/>
      <c r="F45" s="512" t="s">
        <v>763</v>
      </c>
      <c r="G45" s="336">
        <v>7210</v>
      </c>
      <c r="H45" s="336">
        <v>7200</v>
      </c>
      <c r="I45" s="336">
        <v>29520000</v>
      </c>
      <c r="K45" s="957"/>
      <c r="L45" s="2060"/>
      <c r="M45" s="2060"/>
      <c r="N45" s="2061"/>
      <c r="O45" s="2062"/>
    </row>
    <row r="46" spans="1:16" ht="24.95" customHeight="1">
      <c r="A46" s="265"/>
      <c r="B46" s="1575"/>
      <c r="C46" s="961"/>
      <c r="D46" s="1574"/>
      <c r="F46" s="512" t="s">
        <v>725</v>
      </c>
      <c r="G46" s="336">
        <v>12120</v>
      </c>
      <c r="H46" s="336">
        <v>12092</v>
      </c>
      <c r="I46" s="336">
        <v>53204800</v>
      </c>
      <c r="K46" s="2063"/>
      <c r="L46" s="2060"/>
      <c r="M46" s="2060"/>
      <c r="N46" s="2061"/>
      <c r="O46" s="2062"/>
    </row>
    <row r="47" spans="1:16" ht="24.95" customHeight="1">
      <c r="A47" s="265"/>
      <c r="B47" s="1575"/>
      <c r="C47" s="961"/>
      <c r="D47" s="1574"/>
      <c r="F47" s="512" t="s">
        <v>293</v>
      </c>
      <c r="G47" s="336"/>
      <c r="H47" s="336">
        <v>320</v>
      </c>
      <c r="I47" s="336">
        <v>80000</v>
      </c>
    </row>
    <row r="48" spans="1:16" ht="24.95" customHeight="1">
      <c r="A48" s="265"/>
      <c r="B48" s="1575"/>
      <c r="C48" s="961"/>
      <c r="D48" s="1574"/>
      <c r="F48" s="512" t="s">
        <v>762</v>
      </c>
      <c r="G48" s="336">
        <v>4338</v>
      </c>
      <c r="H48" s="336">
        <v>4308</v>
      </c>
      <c r="I48" s="336">
        <v>19386000</v>
      </c>
      <c r="K48" t="s">
        <v>728</v>
      </c>
    </row>
    <row r="49" spans="1:14" ht="24.95" customHeight="1">
      <c r="A49" s="265"/>
      <c r="B49" s="1575"/>
      <c r="C49" s="961"/>
      <c r="D49" s="1574"/>
      <c r="F49" s="1623" t="s">
        <v>429</v>
      </c>
      <c r="G49" s="1624">
        <v>72418</v>
      </c>
      <c r="H49" s="1624">
        <v>72049</v>
      </c>
      <c r="I49" s="1624">
        <v>139260750</v>
      </c>
    </row>
    <row r="50" spans="1:14" ht="24.95" customHeight="1">
      <c r="A50" s="265"/>
      <c r="B50" s="1575"/>
      <c r="C50" s="961"/>
      <c r="D50" s="1574"/>
    </row>
    <row r="51" spans="1:14" ht="24.95" customHeight="1">
      <c r="A51" s="265"/>
      <c r="B51" s="1575"/>
      <c r="C51" s="961"/>
      <c r="D51" s="1574"/>
    </row>
    <row r="52" spans="1:14" ht="24.95" customHeight="1">
      <c r="A52" s="265"/>
      <c r="B52" s="1575"/>
      <c r="C52" s="961"/>
      <c r="D52" s="1574"/>
    </row>
    <row r="53" spans="1:14" ht="8.25" customHeight="1">
      <c r="A53" s="265"/>
      <c r="B53" s="893"/>
      <c r="C53" s="961"/>
      <c r="D53" s="891"/>
    </row>
    <row r="54" spans="1:14" ht="24.95" customHeight="1">
      <c r="A54" s="962"/>
      <c r="B54" s="893"/>
      <c r="C54" s="961"/>
      <c r="D54" s="891"/>
    </row>
    <row r="55" spans="1:14" ht="24.95" customHeight="1">
      <c r="A55" s="892"/>
      <c r="B55" s="960"/>
      <c r="C55" s="961"/>
      <c r="D55" s="891"/>
    </row>
    <row r="56" spans="1:14" ht="24.95" customHeight="1">
      <c r="A56" s="963"/>
      <c r="B56" s="960"/>
      <c r="C56" s="961"/>
      <c r="D56" s="891"/>
    </row>
    <row r="57" spans="1:14" ht="24.95" customHeight="1">
      <c r="M57" s="336"/>
    </row>
    <row r="58" spans="1:14" ht="24.95" customHeight="1">
      <c r="K58" s="892"/>
      <c r="L58" s="956"/>
      <c r="M58" s="956"/>
      <c r="N58" s="891"/>
    </row>
    <row r="59" spans="1:14" ht="24.95" customHeight="1">
      <c r="K59" s="388"/>
      <c r="L59" s="388"/>
      <c r="M59" s="891"/>
      <c r="N59" s="388"/>
    </row>
    <row r="60" spans="1:14" ht="24.95" customHeight="1">
      <c r="L60" s="956"/>
      <c r="N60" s="891"/>
    </row>
    <row r="61" spans="1:14" ht="24.95" customHeight="1">
      <c r="L61" s="956"/>
      <c r="N61" s="891"/>
    </row>
    <row r="62" spans="1:14" ht="24.95" customHeight="1">
      <c r="L62" s="956"/>
      <c r="N62" s="891"/>
    </row>
    <row r="63" spans="1:14" ht="24.95" customHeight="1"/>
    <row r="64" spans="1:14" ht="24.95" customHeight="1"/>
    <row r="65" spans="7:8" ht="24.95" customHeight="1">
      <c r="G65" s="956"/>
      <c r="H65" s="956"/>
    </row>
    <row r="66" spans="7:8" ht="24.95" customHeight="1">
      <c r="G66" s="956"/>
      <c r="H66" s="956"/>
    </row>
    <row r="67" spans="7:8">
      <c r="G67" s="956"/>
      <c r="H67" s="956"/>
    </row>
    <row r="68" spans="7:8">
      <c r="G68" s="956"/>
      <c r="H68" s="956"/>
    </row>
    <row r="69" spans="7:8">
      <c r="G69" s="956"/>
      <c r="H69" s="956"/>
    </row>
    <row r="70" spans="7:8">
      <c r="G70" s="956"/>
      <c r="H70" s="956"/>
    </row>
    <row r="71" spans="7:8">
      <c r="G71" s="956"/>
      <c r="H71" s="956"/>
    </row>
    <row r="72" spans="7:8">
      <c r="G72" s="956"/>
      <c r="H72" s="956"/>
    </row>
    <row r="73" spans="7:8">
      <c r="G73" s="956"/>
      <c r="H73" s="956"/>
    </row>
    <row r="74" spans="7:8">
      <c r="G74" s="956"/>
      <c r="H74" s="956"/>
    </row>
    <row r="75" spans="7:8">
      <c r="G75" s="956"/>
      <c r="H75" s="956"/>
    </row>
    <row r="76" spans="7:8">
      <c r="G76" s="956"/>
      <c r="H76" s="956"/>
    </row>
    <row r="77" spans="7:8">
      <c r="G77" s="956"/>
      <c r="H77" s="956"/>
    </row>
    <row r="78" spans="7:8">
      <c r="G78" s="956"/>
      <c r="H78" s="956"/>
    </row>
    <row r="79" spans="7:8">
      <c r="G79" s="956"/>
      <c r="H79" s="956"/>
    </row>
    <row r="80" spans="7:8">
      <c r="G80" s="956"/>
      <c r="H80" s="956"/>
    </row>
    <row r="81" spans="7:8">
      <c r="G81" s="956"/>
      <c r="H81" s="956"/>
    </row>
    <row r="82" spans="7:8">
      <c r="G82" s="956"/>
      <c r="H82" s="956"/>
    </row>
    <row r="83" spans="7:8">
      <c r="G83" s="956"/>
      <c r="H83" s="956"/>
    </row>
    <row r="84" spans="7:8">
      <c r="G84" s="956"/>
      <c r="H84" s="956"/>
    </row>
    <row r="85" spans="7:8">
      <c r="G85" s="956"/>
      <c r="H85" s="956"/>
    </row>
  </sheetData>
  <mergeCells count="21">
    <mergeCell ref="C3:G3"/>
    <mergeCell ref="B3:B4"/>
    <mergeCell ref="A3:A4"/>
    <mergeCell ref="P3:P4"/>
    <mergeCell ref="O3:O4"/>
    <mergeCell ref="N3:N4"/>
    <mergeCell ref="I3:M3"/>
    <mergeCell ref="H3:H4"/>
    <mergeCell ref="O2:P2"/>
    <mergeCell ref="AC3:AC4"/>
    <mergeCell ref="V3:V4"/>
    <mergeCell ref="W3:W4"/>
    <mergeCell ref="X3:X4"/>
    <mergeCell ref="Y3:Y4"/>
    <mergeCell ref="Z3:Z4"/>
    <mergeCell ref="R3:R4"/>
    <mergeCell ref="S3:S4"/>
    <mergeCell ref="T3:T4"/>
    <mergeCell ref="U3:U4"/>
    <mergeCell ref="AB3:AB4"/>
    <mergeCell ref="AA3:AA4"/>
  </mergeCells>
  <phoneticPr fontId="2" type="noConversion"/>
  <printOptions horizontalCentered="1"/>
  <pageMargins left="7.874015748031496E-2" right="7.874015748031496E-2" top="0.74803149606299213" bottom="7.874015748031496E-2" header="0.31496062992125984" footer="0"/>
  <pageSetup paperSize="9" scale="55" fitToWidth="3" orientation="landscape" r:id="rId5"/>
  <colBreaks count="1" manualBreakCount="1">
    <brk id="16" max="22" man="1"/>
  </colBreaks>
  <ignoredErrors>
    <ignoredError sqref="I8:M10" formula="1"/>
  </ignoredErrors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CE10B-304C-406E-85ED-F9A5EF51D36D}">
  <sheetPr>
    <tabColor rgb="FFFF0000"/>
  </sheetPr>
  <dimension ref="A1:T352"/>
  <sheetViews>
    <sheetView tabSelected="1" zoomScale="85" zoomScaleNormal="85" zoomScaleSheetLayoutView="85" workbookViewId="0">
      <pane ySplit="3" topLeftCell="A274" activePane="bottomLeft" state="frozen"/>
      <selection activeCell="G41" sqref="G41"/>
      <selection pane="bottomLeft" activeCell="P284" sqref="P284"/>
    </sheetView>
  </sheetViews>
  <sheetFormatPr defaultRowHeight="16.5" outlineLevelCol="1"/>
  <cols>
    <col min="1" max="1" width="8.625" style="10" customWidth="1"/>
    <col min="2" max="2" width="13.375" style="335" customWidth="1"/>
    <col min="3" max="3" width="16.25" style="2" customWidth="1"/>
    <col min="4" max="4" width="10" style="3" customWidth="1"/>
    <col min="5" max="5" width="10.875" style="3" customWidth="1"/>
    <col min="6" max="6" width="16.25" style="10" bestFit="1" customWidth="1"/>
    <col min="7" max="7" width="12.25" style="10" hidden="1" customWidth="1" outlineLevel="1"/>
    <col min="8" max="8" width="13.125" style="10" hidden="1" customWidth="1" outlineLevel="1"/>
    <col min="9" max="9" width="16.875" style="10" customWidth="1" collapsed="1"/>
    <col min="10" max="10" width="16" style="2" customWidth="1"/>
    <col min="11" max="11" width="16.5" style="2" hidden="1" customWidth="1" outlineLevel="1"/>
    <col min="12" max="12" width="15.75" style="2" hidden="1" customWidth="1" outlineLevel="1"/>
    <col min="13" max="13" width="17.5" style="2" customWidth="1" collapsed="1"/>
    <col min="14" max="14" width="19.625" style="2" bestFit="1" customWidth="1"/>
    <col min="15" max="15" width="10.25" style="10" customWidth="1"/>
    <col min="16" max="16" width="16.375" style="10" customWidth="1"/>
    <col min="17" max="17" width="15.75" style="10" customWidth="1"/>
    <col min="18" max="18" width="22.5" style="10" bestFit="1" customWidth="1"/>
    <col min="19" max="19" width="15.75" style="10" customWidth="1"/>
    <col min="20" max="20" width="12.25" style="10" customWidth="1"/>
    <col min="21" max="16384" width="9" style="10"/>
  </cols>
  <sheetData>
    <row r="1" spans="1:20" ht="153.75" customHeight="1">
      <c r="B1" s="1970" t="s">
        <v>47</v>
      </c>
      <c r="C1" s="1970"/>
      <c r="D1" s="1970"/>
      <c r="E1" s="1970"/>
      <c r="F1" s="1970"/>
      <c r="G1" s="1970"/>
      <c r="H1" s="1970"/>
      <c r="I1" s="1970"/>
      <c r="J1" s="1970"/>
      <c r="K1" s="1970"/>
      <c r="L1" s="1970"/>
      <c r="M1" s="1970"/>
      <c r="N1" s="1970"/>
      <c r="O1" s="1970"/>
      <c r="P1" s="1970"/>
      <c r="Q1" s="1970"/>
      <c r="R1" s="1970"/>
      <c r="S1" s="1970"/>
    </row>
    <row r="2" spans="1:20" s="388" customFormat="1" ht="27" customHeight="1">
      <c r="B2" s="3"/>
      <c r="C2" s="2"/>
      <c r="D2" s="3"/>
      <c r="E2" s="3"/>
      <c r="J2" s="2"/>
      <c r="K2" s="2"/>
      <c r="L2" s="2"/>
      <c r="M2" s="386">
        <f>SUBTOTAL(9,M4:M287)</f>
        <v>2559210</v>
      </c>
      <c r="N2" s="436">
        <f>SUBTOTAL(9,N4:N287)</f>
        <v>2111594.5</v>
      </c>
      <c r="O2" s="1"/>
      <c r="P2" s="386">
        <f>SUBTOTAL(9,P4:P287)</f>
        <v>2556641.5</v>
      </c>
      <c r="Q2" s="10"/>
      <c r="R2" s="386">
        <f>SUBTOTAL(9,R4:R287)</f>
        <v>3323801859.6700001</v>
      </c>
    </row>
    <row r="3" spans="1:20" ht="30.75" customHeight="1">
      <c r="A3" s="515" t="s">
        <v>754</v>
      </c>
      <c r="B3" s="78" t="s">
        <v>4</v>
      </c>
      <c r="C3" s="79" t="s">
        <v>391</v>
      </c>
      <c r="D3" s="78" t="s">
        <v>14</v>
      </c>
      <c r="E3" s="78" t="s">
        <v>13</v>
      </c>
      <c r="F3" s="78" t="s">
        <v>0</v>
      </c>
      <c r="G3" s="78" t="s">
        <v>249</v>
      </c>
      <c r="H3" s="78" t="s">
        <v>260</v>
      </c>
      <c r="I3" s="79" t="s">
        <v>1</v>
      </c>
      <c r="J3" s="79" t="s">
        <v>2</v>
      </c>
      <c r="K3" s="79" t="s">
        <v>80</v>
      </c>
      <c r="L3" s="79" t="s">
        <v>81</v>
      </c>
      <c r="M3" s="8" t="s">
        <v>9</v>
      </c>
      <c r="N3" s="67" t="s">
        <v>78</v>
      </c>
      <c r="O3" s="68" t="s">
        <v>79</v>
      </c>
      <c r="P3" s="69" t="s">
        <v>77</v>
      </c>
      <c r="Q3" s="70" t="s">
        <v>7</v>
      </c>
      <c r="R3" s="9" t="s">
        <v>8</v>
      </c>
      <c r="S3" s="78" t="s">
        <v>57</v>
      </c>
      <c r="T3" s="388" t="s">
        <v>187</v>
      </c>
    </row>
    <row r="4" spans="1:20" ht="21.95" customHeight="1">
      <c r="A4" s="531">
        <f>ROW()-3</f>
        <v>1</v>
      </c>
      <c r="B4" s="492">
        <v>45926</v>
      </c>
      <c r="C4" s="458" t="s">
        <v>34</v>
      </c>
      <c r="D4" s="492"/>
      <c r="E4" s="498" t="s">
        <v>46</v>
      </c>
      <c r="F4" s="498" t="s">
        <v>36</v>
      </c>
      <c r="G4" s="499"/>
      <c r="H4" s="499"/>
      <c r="I4" s="325" t="s">
        <v>37</v>
      </c>
      <c r="J4" s="494" t="s">
        <v>35</v>
      </c>
      <c r="K4" s="460">
        <v>19200</v>
      </c>
      <c r="L4" s="460">
        <v>24190</v>
      </c>
      <c r="M4" s="461">
        <f>L4-K4</f>
        <v>4990</v>
      </c>
      <c r="N4" s="465">
        <v>4770</v>
      </c>
      <c r="O4" s="465"/>
      <c r="P4" s="465">
        <v>4770</v>
      </c>
      <c r="Q4" s="466">
        <v>1710</v>
      </c>
      <c r="R4" s="483">
        <f t="shared" ref="R4:R21" si="0">Q4*P4</f>
        <v>8156700</v>
      </c>
      <c r="S4" s="450" t="s">
        <v>5</v>
      </c>
      <c r="T4" s="388"/>
    </row>
    <row r="5" spans="1:20" ht="21.95" customHeight="1">
      <c r="A5" s="532">
        <v>1</v>
      </c>
      <c r="B5" s="330">
        <f>B4</f>
        <v>45926</v>
      </c>
      <c r="C5" s="459" t="str">
        <f>C4</f>
        <v>혼합</v>
      </c>
      <c r="D5" s="330"/>
      <c r="E5" s="322" t="str">
        <f>E4</f>
        <v>집게차</v>
      </c>
      <c r="F5" s="324" t="str">
        <f>F4</f>
        <v>81오1758</v>
      </c>
      <c r="G5" s="322"/>
      <c r="H5" s="322"/>
      <c r="I5" s="325" t="s">
        <v>37</v>
      </c>
      <c r="J5" s="465" t="s">
        <v>60</v>
      </c>
      <c r="K5" s="460"/>
      <c r="L5" s="460"/>
      <c r="M5" s="461"/>
      <c r="N5" s="465">
        <v>220</v>
      </c>
      <c r="O5" s="465"/>
      <c r="P5" s="465">
        <v>220</v>
      </c>
      <c r="Q5" s="466">
        <v>300</v>
      </c>
      <c r="R5" s="483">
        <f t="shared" si="0"/>
        <v>66000</v>
      </c>
      <c r="S5" s="451" t="str">
        <f>S4</f>
        <v>출고</v>
      </c>
      <c r="T5" s="388"/>
    </row>
    <row r="6" spans="1:20" ht="21.95" customHeight="1">
      <c r="A6" s="533">
        <f t="shared" ref="A6:A21" si="1">ROW()-4</f>
        <v>2</v>
      </c>
      <c r="B6" s="228">
        <v>45926</v>
      </c>
      <c r="C6" s="458" t="s">
        <v>34</v>
      </c>
      <c r="D6" s="228"/>
      <c r="E6" s="321" t="s">
        <v>46</v>
      </c>
      <c r="F6" s="498" t="s">
        <v>38</v>
      </c>
      <c r="G6" s="498"/>
      <c r="H6" s="498"/>
      <c r="I6" s="103" t="s">
        <v>39</v>
      </c>
      <c r="J6" s="503" t="s">
        <v>40</v>
      </c>
      <c r="K6" s="476">
        <v>12630</v>
      </c>
      <c r="L6" s="476">
        <v>13000</v>
      </c>
      <c r="M6" s="23">
        <f>L6-K6</f>
        <v>370</v>
      </c>
      <c r="N6" s="503">
        <v>370</v>
      </c>
      <c r="O6" s="503"/>
      <c r="P6" s="503">
        <f t="shared" ref="P6:P12" si="2">N6-O6</f>
        <v>370</v>
      </c>
      <c r="Q6" s="486">
        <v>3890</v>
      </c>
      <c r="R6" s="486">
        <f t="shared" si="0"/>
        <v>1439300</v>
      </c>
      <c r="S6" s="452" t="s">
        <v>5</v>
      </c>
      <c r="T6" s="388"/>
    </row>
    <row r="7" spans="1:20" ht="21.95" customHeight="1">
      <c r="A7" s="533">
        <f t="shared" si="1"/>
        <v>3</v>
      </c>
      <c r="B7" s="228">
        <v>45926</v>
      </c>
      <c r="C7" s="471" t="str">
        <f t="shared" ref="C7:C17" si="3">C6</f>
        <v>혼합</v>
      </c>
      <c r="D7" s="497"/>
      <c r="E7" s="499" t="str">
        <f t="shared" ref="E7:E17" si="4">E6</f>
        <v>집게차</v>
      </c>
      <c r="F7" s="499" t="str">
        <f t="shared" ref="F7:F17" si="5">F6</f>
        <v>96로8332</v>
      </c>
      <c r="G7" s="499"/>
      <c r="H7" s="499"/>
      <c r="I7" s="325" t="s">
        <v>39</v>
      </c>
      <c r="J7" s="494" t="s">
        <v>41</v>
      </c>
      <c r="K7" s="478">
        <v>13000</v>
      </c>
      <c r="L7" s="478">
        <v>13240</v>
      </c>
      <c r="M7" s="26">
        <f>L7-K7</f>
        <v>240</v>
      </c>
      <c r="N7" s="494">
        <v>240</v>
      </c>
      <c r="O7" s="494"/>
      <c r="P7" s="494">
        <f t="shared" si="2"/>
        <v>240</v>
      </c>
      <c r="Q7" s="483">
        <v>5130</v>
      </c>
      <c r="R7" s="483">
        <f t="shared" si="0"/>
        <v>1231200</v>
      </c>
      <c r="S7" s="453" t="str">
        <f t="shared" ref="S7:S17" si="6">S6</f>
        <v>출고</v>
      </c>
      <c r="T7" s="388"/>
    </row>
    <row r="8" spans="1:20" ht="21.95" customHeight="1">
      <c r="A8" s="533">
        <f t="shared" si="1"/>
        <v>4</v>
      </c>
      <c r="B8" s="228">
        <v>45926</v>
      </c>
      <c r="C8" s="471" t="str">
        <f t="shared" si="3"/>
        <v>혼합</v>
      </c>
      <c r="D8" s="497"/>
      <c r="E8" s="499" t="str">
        <f t="shared" si="4"/>
        <v>집게차</v>
      </c>
      <c r="F8" s="499" t="str">
        <f t="shared" si="5"/>
        <v>96로8332</v>
      </c>
      <c r="G8" s="499"/>
      <c r="H8" s="499"/>
      <c r="I8" s="325" t="s">
        <v>39</v>
      </c>
      <c r="J8" s="494" t="s">
        <v>42</v>
      </c>
      <c r="K8" s="478">
        <v>13240</v>
      </c>
      <c r="L8" s="478">
        <v>13320</v>
      </c>
      <c r="M8" s="26">
        <f>L8-K8</f>
        <v>80</v>
      </c>
      <c r="N8" s="494">
        <v>80</v>
      </c>
      <c r="O8" s="494">
        <v>3</v>
      </c>
      <c r="P8" s="494">
        <f t="shared" si="2"/>
        <v>77</v>
      </c>
      <c r="Q8" s="483">
        <v>8360</v>
      </c>
      <c r="R8" s="483">
        <f t="shared" si="0"/>
        <v>643720</v>
      </c>
      <c r="S8" s="453" t="str">
        <f t="shared" si="6"/>
        <v>출고</v>
      </c>
      <c r="T8" s="388"/>
    </row>
    <row r="9" spans="1:20" ht="21.95" customHeight="1">
      <c r="A9" s="533">
        <f t="shared" si="1"/>
        <v>5</v>
      </c>
      <c r="B9" s="228">
        <v>45926</v>
      </c>
      <c r="C9" s="471" t="str">
        <f t="shared" si="3"/>
        <v>혼합</v>
      </c>
      <c r="D9" s="497"/>
      <c r="E9" s="499" t="str">
        <f t="shared" si="4"/>
        <v>집게차</v>
      </c>
      <c r="F9" s="499" t="str">
        <f t="shared" si="5"/>
        <v>96로8332</v>
      </c>
      <c r="G9" s="499"/>
      <c r="H9" s="499"/>
      <c r="I9" s="325" t="s">
        <v>39</v>
      </c>
      <c r="J9" s="494" t="s">
        <v>43</v>
      </c>
      <c r="K9" s="478">
        <v>13320</v>
      </c>
      <c r="L9" s="478">
        <v>14740</v>
      </c>
      <c r="M9" s="26">
        <f>L9-K9</f>
        <v>1420</v>
      </c>
      <c r="N9" s="494">
        <v>1420</v>
      </c>
      <c r="O9" s="494"/>
      <c r="P9" s="494">
        <f t="shared" si="2"/>
        <v>1420</v>
      </c>
      <c r="Q9" s="483">
        <v>13400</v>
      </c>
      <c r="R9" s="483">
        <f t="shared" si="0"/>
        <v>19028000</v>
      </c>
      <c r="S9" s="453" t="str">
        <f t="shared" si="6"/>
        <v>출고</v>
      </c>
      <c r="T9" s="388"/>
    </row>
    <row r="10" spans="1:20" ht="21.95" customHeight="1">
      <c r="A10" s="533">
        <f t="shared" si="1"/>
        <v>6</v>
      </c>
      <c r="B10" s="228">
        <v>45926</v>
      </c>
      <c r="C10" s="471" t="str">
        <f t="shared" si="3"/>
        <v>혼합</v>
      </c>
      <c r="D10" s="497"/>
      <c r="E10" s="499" t="str">
        <f t="shared" si="4"/>
        <v>집게차</v>
      </c>
      <c r="F10" s="499" t="str">
        <f t="shared" si="5"/>
        <v>96로8332</v>
      </c>
      <c r="G10" s="499"/>
      <c r="H10" s="499"/>
      <c r="I10" s="325" t="s">
        <v>39</v>
      </c>
      <c r="J10" s="494" t="s">
        <v>44</v>
      </c>
      <c r="K10" s="478">
        <v>14740</v>
      </c>
      <c r="L10" s="478">
        <v>15050</v>
      </c>
      <c r="M10" s="26">
        <f>L10-K10</f>
        <v>310</v>
      </c>
      <c r="N10" s="494">
        <v>240</v>
      </c>
      <c r="O10" s="494"/>
      <c r="P10" s="494">
        <f t="shared" si="2"/>
        <v>240</v>
      </c>
      <c r="Q10" s="483">
        <v>12900</v>
      </c>
      <c r="R10" s="483">
        <f t="shared" si="0"/>
        <v>3096000</v>
      </c>
      <c r="S10" s="453" t="str">
        <f t="shared" si="6"/>
        <v>출고</v>
      </c>
      <c r="T10" s="388"/>
    </row>
    <row r="11" spans="1:20" ht="21.95" customHeight="1">
      <c r="A11" s="533">
        <f t="shared" si="1"/>
        <v>7</v>
      </c>
      <c r="B11" s="228">
        <v>45926</v>
      </c>
      <c r="C11" s="471" t="str">
        <f t="shared" si="3"/>
        <v>혼합</v>
      </c>
      <c r="D11" s="497"/>
      <c r="E11" s="499" t="str">
        <f t="shared" si="4"/>
        <v>집게차</v>
      </c>
      <c r="F11" s="499" t="str">
        <f t="shared" si="5"/>
        <v>96로8332</v>
      </c>
      <c r="G11" s="499"/>
      <c r="H11" s="499"/>
      <c r="I11" s="325" t="s">
        <v>39</v>
      </c>
      <c r="J11" s="494" t="s">
        <v>91</v>
      </c>
      <c r="K11" s="478"/>
      <c r="L11" s="478"/>
      <c r="M11" s="26"/>
      <c r="N11" s="494">
        <v>50</v>
      </c>
      <c r="O11" s="494"/>
      <c r="P11" s="494">
        <f t="shared" si="2"/>
        <v>50</v>
      </c>
      <c r="Q11" s="483">
        <v>12000</v>
      </c>
      <c r="R11" s="483">
        <f t="shared" si="0"/>
        <v>600000</v>
      </c>
      <c r="S11" s="453" t="str">
        <f t="shared" si="6"/>
        <v>출고</v>
      </c>
      <c r="T11" s="388"/>
    </row>
    <row r="12" spans="1:20" ht="21.95" customHeight="1">
      <c r="A12" s="533">
        <f t="shared" si="1"/>
        <v>8</v>
      </c>
      <c r="B12" s="228">
        <v>45926</v>
      </c>
      <c r="C12" s="471" t="str">
        <f t="shared" si="3"/>
        <v>혼합</v>
      </c>
      <c r="D12" s="497"/>
      <c r="E12" s="499" t="str">
        <f t="shared" si="4"/>
        <v>집게차</v>
      </c>
      <c r="F12" s="499" t="str">
        <f t="shared" si="5"/>
        <v>96로8332</v>
      </c>
      <c r="G12" s="499"/>
      <c r="H12" s="499"/>
      <c r="I12" s="325" t="s">
        <v>39</v>
      </c>
      <c r="J12" s="494" t="s">
        <v>95</v>
      </c>
      <c r="K12" s="478">
        <v>15050</v>
      </c>
      <c r="L12" s="478">
        <v>19230</v>
      </c>
      <c r="M12" s="26">
        <f>L12-K12</f>
        <v>4180</v>
      </c>
      <c r="N12" s="494">
        <v>4190</v>
      </c>
      <c r="O12" s="494">
        <v>25</v>
      </c>
      <c r="P12" s="482">
        <f t="shared" si="2"/>
        <v>4165</v>
      </c>
      <c r="Q12" s="483">
        <v>2610</v>
      </c>
      <c r="R12" s="483">
        <f t="shared" si="0"/>
        <v>10870650</v>
      </c>
      <c r="S12" s="453" t="str">
        <f t="shared" si="6"/>
        <v>출고</v>
      </c>
      <c r="T12" s="388"/>
    </row>
    <row r="13" spans="1:20" ht="21.95" customHeight="1">
      <c r="A13" s="533">
        <f t="shared" si="1"/>
        <v>9</v>
      </c>
      <c r="B13" s="228">
        <v>45926</v>
      </c>
      <c r="C13" s="471" t="str">
        <f t="shared" si="3"/>
        <v>혼합</v>
      </c>
      <c r="D13" s="497"/>
      <c r="E13" s="499" t="str">
        <f t="shared" si="4"/>
        <v>집게차</v>
      </c>
      <c r="F13" s="499" t="str">
        <f t="shared" si="5"/>
        <v>96로8332</v>
      </c>
      <c r="G13" s="499"/>
      <c r="H13" s="499"/>
      <c r="I13" s="325" t="s">
        <v>39</v>
      </c>
      <c r="J13" s="494" t="s">
        <v>223</v>
      </c>
      <c r="K13" s="478">
        <v>19230</v>
      </c>
      <c r="L13" s="478">
        <v>20260</v>
      </c>
      <c r="M13" s="26">
        <f>L13-K13</f>
        <v>1030</v>
      </c>
      <c r="N13" s="494">
        <v>1040</v>
      </c>
      <c r="O13" s="494"/>
      <c r="P13" s="494">
        <v>1050</v>
      </c>
      <c r="Q13" s="483">
        <v>6400</v>
      </c>
      <c r="R13" s="483">
        <f t="shared" si="0"/>
        <v>6720000</v>
      </c>
      <c r="S13" s="453" t="str">
        <f t="shared" si="6"/>
        <v>출고</v>
      </c>
      <c r="T13" s="388"/>
    </row>
    <row r="14" spans="1:20" ht="21.95" customHeight="1">
      <c r="A14" s="533">
        <f t="shared" si="1"/>
        <v>10</v>
      </c>
      <c r="B14" s="228">
        <v>45926</v>
      </c>
      <c r="C14" s="471" t="str">
        <f t="shared" si="3"/>
        <v>혼합</v>
      </c>
      <c r="D14" s="497"/>
      <c r="E14" s="499" t="str">
        <f t="shared" si="4"/>
        <v>집게차</v>
      </c>
      <c r="F14" s="499" t="str">
        <f t="shared" si="5"/>
        <v>96로8332</v>
      </c>
      <c r="G14" s="499"/>
      <c r="H14" s="499"/>
      <c r="I14" s="325" t="s">
        <v>39</v>
      </c>
      <c r="J14" s="494" t="s">
        <v>93</v>
      </c>
      <c r="K14" s="478">
        <v>20260</v>
      </c>
      <c r="L14" s="478">
        <v>20600</v>
      </c>
      <c r="M14" s="26">
        <f>L14-K14</f>
        <v>340</v>
      </c>
      <c r="N14" s="494">
        <v>350</v>
      </c>
      <c r="O14" s="494">
        <v>13</v>
      </c>
      <c r="P14" s="482">
        <f>N14-O14</f>
        <v>337</v>
      </c>
      <c r="Q14" s="483">
        <v>8200</v>
      </c>
      <c r="R14" s="483">
        <f t="shared" si="0"/>
        <v>2763400</v>
      </c>
      <c r="S14" s="453" t="str">
        <f t="shared" si="6"/>
        <v>출고</v>
      </c>
      <c r="T14" s="388"/>
    </row>
    <row r="15" spans="1:20" ht="21.95" customHeight="1">
      <c r="A15" s="533">
        <f t="shared" si="1"/>
        <v>11</v>
      </c>
      <c r="B15" s="228">
        <v>45926</v>
      </c>
      <c r="C15" s="471" t="str">
        <f t="shared" si="3"/>
        <v>혼합</v>
      </c>
      <c r="D15" s="497"/>
      <c r="E15" s="499" t="str">
        <f t="shared" si="4"/>
        <v>집게차</v>
      </c>
      <c r="F15" s="499" t="str">
        <f t="shared" si="5"/>
        <v>96로8332</v>
      </c>
      <c r="G15" s="499"/>
      <c r="H15" s="499"/>
      <c r="I15" s="325" t="s">
        <v>39</v>
      </c>
      <c r="J15" s="494" t="s">
        <v>94</v>
      </c>
      <c r="K15" s="478">
        <v>20600</v>
      </c>
      <c r="L15" s="478">
        <v>20700</v>
      </c>
      <c r="M15" s="26">
        <f>L15-K15</f>
        <v>100</v>
      </c>
      <c r="N15" s="494">
        <v>100</v>
      </c>
      <c r="O15" s="494">
        <v>3</v>
      </c>
      <c r="P15" s="494">
        <f>N15-O15</f>
        <v>97</v>
      </c>
      <c r="Q15" s="483">
        <v>6500</v>
      </c>
      <c r="R15" s="483">
        <f t="shared" si="0"/>
        <v>630500</v>
      </c>
      <c r="S15" s="453" t="str">
        <f t="shared" si="6"/>
        <v>출고</v>
      </c>
      <c r="T15" s="388"/>
    </row>
    <row r="16" spans="1:20" ht="21.95" customHeight="1">
      <c r="A16" s="533">
        <f t="shared" si="1"/>
        <v>12</v>
      </c>
      <c r="B16" s="228">
        <v>45926</v>
      </c>
      <c r="C16" s="471" t="str">
        <f t="shared" si="3"/>
        <v>혼합</v>
      </c>
      <c r="D16" s="497"/>
      <c r="E16" s="499" t="str">
        <f t="shared" si="4"/>
        <v>집게차</v>
      </c>
      <c r="F16" s="499" t="str">
        <f t="shared" si="5"/>
        <v>96로8332</v>
      </c>
      <c r="G16" s="499"/>
      <c r="H16" s="499"/>
      <c r="I16" s="325" t="s">
        <v>39</v>
      </c>
      <c r="J16" s="494" t="s">
        <v>45</v>
      </c>
      <c r="K16" s="478">
        <v>20700</v>
      </c>
      <c r="L16" s="478">
        <v>21240</v>
      </c>
      <c r="M16" s="26">
        <f>L16-K16</f>
        <v>540</v>
      </c>
      <c r="N16" s="494">
        <v>230</v>
      </c>
      <c r="O16" s="494">
        <v>3</v>
      </c>
      <c r="P16" s="494">
        <f>N16-O16</f>
        <v>227</v>
      </c>
      <c r="Q16" s="483">
        <v>1850</v>
      </c>
      <c r="R16" s="483">
        <f t="shared" si="0"/>
        <v>419950</v>
      </c>
      <c r="S16" s="453" t="str">
        <f t="shared" si="6"/>
        <v>출고</v>
      </c>
      <c r="T16" s="388"/>
    </row>
    <row r="17" spans="1:20" ht="21.95" customHeight="1">
      <c r="A17" s="534">
        <f t="shared" si="1"/>
        <v>13</v>
      </c>
      <c r="B17" s="228">
        <v>45926</v>
      </c>
      <c r="C17" s="472" t="str">
        <f t="shared" si="3"/>
        <v>혼합</v>
      </c>
      <c r="D17" s="497"/>
      <c r="E17" s="324" t="str">
        <f t="shared" si="4"/>
        <v>집게차</v>
      </c>
      <c r="F17" s="324" t="str">
        <f t="shared" si="5"/>
        <v>96로8332</v>
      </c>
      <c r="G17" s="324"/>
      <c r="H17" s="324"/>
      <c r="I17" s="29" t="s">
        <v>39</v>
      </c>
      <c r="J17" s="474" t="s">
        <v>92</v>
      </c>
      <c r="K17" s="472"/>
      <c r="L17" s="472"/>
      <c r="M17" s="157"/>
      <c r="N17" s="474">
        <v>310</v>
      </c>
      <c r="O17" s="474">
        <v>3</v>
      </c>
      <c r="P17" s="495">
        <f>N17-O17</f>
        <v>307</v>
      </c>
      <c r="Q17" s="487">
        <v>500</v>
      </c>
      <c r="R17" s="473">
        <f t="shared" si="0"/>
        <v>153500</v>
      </c>
      <c r="S17" s="454" t="str">
        <f t="shared" si="6"/>
        <v>출고</v>
      </c>
      <c r="T17" s="388"/>
    </row>
    <row r="18" spans="1:20" ht="21.95" customHeight="1">
      <c r="A18" s="532">
        <f t="shared" si="1"/>
        <v>14</v>
      </c>
      <c r="B18" s="330">
        <v>45929</v>
      </c>
      <c r="C18" s="476" t="s">
        <v>34</v>
      </c>
      <c r="D18" s="330"/>
      <c r="E18" s="322" t="s">
        <v>46</v>
      </c>
      <c r="F18" s="319" t="s">
        <v>53</v>
      </c>
      <c r="G18" s="322"/>
      <c r="H18" s="322"/>
      <c r="I18" s="475" t="s">
        <v>54</v>
      </c>
      <c r="J18" s="503" t="s">
        <v>55</v>
      </c>
      <c r="K18" s="476">
        <v>14070</v>
      </c>
      <c r="L18" s="476">
        <v>23360</v>
      </c>
      <c r="M18" s="23">
        <f>L18-K18</f>
        <v>9290</v>
      </c>
      <c r="N18" s="503">
        <v>9290</v>
      </c>
      <c r="O18" s="503"/>
      <c r="P18" s="503">
        <v>9290</v>
      </c>
      <c r="Q18" s="486">
        <v>365</v>
      </c>
      <c r="R18" s="467">
        <f t="shared" si="0"/>
        <v>3390850</v>
      </c>
      <c r="S18" s="451" t="s">
        <v>5</v>
      </c>
      <c r="T18" s="388"/>
    </row>
    <row r="19" spans="1:20" ht="21.95" customHeight="1">
      <c r="A19" s="534">
        <f t="shared" si="1"/>
        <v>15</v>
      </c>
      <c r="B19" s="59">
        <v>45929</v>
      </c>
      <c r="C19" s="477" t="s">
        <v>34</v>
      </c>
      <c r="D19" s="59"/>
      <c r="E19" s="323" t="s">
        <v>46</v>
      </c>
      <c r="F19" s="323" t="s">
        <v>53</v>
      </c>
      <c r="G19" s="323"/>
      <c r="H19" s="323"/>
      <c r="I19" s="29" t="s">
        <v>54</v>
      </c>
      <c r="J19" s="495" t="s">
        <v>55</v>
      </c>
      <c r="K19" s="477"/>
      <c r="L19" s="477"/>
      <c r="M19" s="28">
        <v>9580</v>
      </c>
      <c r="N19" s="495">
        <v>9580</v>
      </c>
      <c r="O19" s="495"/>
      <c r="P19" s="495">
        <v>9580</v>
      </c>
      <c r="Q19" s="487">
        <v>365</v>
      </c>
      <c r="R19" s="487">
        <f t="shared" si="0"/>
        <v>3496700</v>
      </c>
      <c r="S19" s="135" t="s">
        <v>5</v>
      </c>
      <c r="T19" s="388"/>
    </row>
    <row r="20" spans="1:20" ht="21.95" customHeight="1">
      <c r="A20" s="535">
        <f t="shared" si="1"/>
        <v>16</v>
      </c>
      <c r="B20" s="492">
        <v>45930</v>
      </c>
      <c r="C20" s="458" t="s">
        <v>34</v>
      </c>
      <c r="D20" s="492"/>
      <c r="E20" s="319" t="s">
        <v>46</v>
      </c>
      <c r="F20" s="498" t="s">
        <v>63</v>
      </c>
      <c r="G20" s="498"/>
      <c r="H20" s="498"/>
      <c r="I20" s="103" t="s">
        <v>67</v>
      </c>
      <c r="J20" s="503" t="s">
        <v>64</v>
      </c>
      <c r="K20" s="458">
        <v>17770</v>
      </c>
      <c r="L20" s="458">
        <v>18910</v>
      </c>
      <c r="M20" s="56">
        <f t="shared" ref="M20:M21" si="7">L20-K20</f>
        <v>1140</v>
      </c>
      <c r="N20" s="456"/>
      <c r="O20" s="456"/>
      <c r="P20" s="456">
        <v>1140</v>
      </c>
      <c r="Q20" s="470">
        <v>3300</v>
      </c>
      <c r="R20" s="486">
        <f t="shared" si="0"/>
        <v>3762000</v>
      </c>
      <c r="S20" s="450" t="s">
        <v>5</v>
      </c>
      <c r="T20" s="388"/>
    </row>
    <row r="21" spans="1:20" ht="21.95" customHeight="1" thickBot="1">
      <c r="A21" s="536">
        <f t="shared" si="1"/>
        <v>17</v>
      </c>
      <c r="B21" s="294">
        <v>45930</v>
      </c>
      <c r="C21" s="300" t="str">
        <f>C20</f>
        <v>혼합</v>
      </c>
      <c r="D21" s="294"/>
      <c r="E21" s="292" t="s">
        <v>46</v>
      </c>
      <c r="F21" s="326" t="str">
        <f>F20</f>
        <v>819도9774</v>
      </c>
      <c r="G21" s="326"/>
      <c r="H21" s="326"/>
      <c r="I21" s="293" t="s">
        <v>67</v>
      </c>
      <c r="J21" s="288" t="s">
        <v>65</v>
      </c>
      <c r="K21" s="289">
        <v>18910</v>
      </c>
      <c r="L21" s="289">
        <v>19200</v>
      </c>
      <c r="M21" s="290">
        <f t="shared" si="7"/>
        <v>290</v>
      </c>
      <c r="N21" s="288"/>
      <c r="O21" s="288"/>
      <c r="P21" s="288">
        <v>290</v>
      </c>
      <c r="Q21" s="291">
        <v>3100</v>
      </c>
      <c r="R21" s="291">
        <f t="shared" si="0"/>
        <v>899000</v>
      </c>
      <c r="S21" s="455" t="str">
        <f>S20</f>
        <v>출고</v>
      </c>
      <c r="T21" s="388"/>
    </row>
    <row r="22" spans="1:20" ht="22.5" customHeight="1" thickTop="1">
      <c r="A22" s="537">
        <f t="shared" ref="A22:A287" si="8">ROW()-4</f>
        <v>18</v>
      </c>
      <c r="B22" s="496">
        <v>46146</v>
      </c>
      <c r="C22" s="457" t="s">
        <v>264</v>
      </c>
      <c r="D22" s="457" t="s">
        <v>6</v>
      </c>
      <c r="E22" s="496" t="s">
        <v>263</v>
      </c>
      <c r="F22" s="496" t="s">
        <v>172</v>
      </c>
      <c r="G22" s="496" t="s">
        <v>291</v>
      </c>
      <c r="H22" s="496" t="s">
        <v>292</v>
      </c>
      <c r="I22" s="83" t="s">
        <v>75</v>
      </c>
      <c r="J22" s="457" t="s">
        <v>248</v>
      </c>
      <c r="K22" s="459">
        <v>14080</v>
      </c>
      <c r="L22" s="459">
        <v>17880</v>
      </c>
      <c r="M22" s="462">
        <f t="shared" ref="M22:M27" si="9">L22-K22</f>
        <v>3800</v>
      </c>
      <c r="N22" s="464">
        <v>3800</v>
      </c>
      <c r="O22" s="457"/>
      <c r="P22" s="464">
        <f>N22</f>
        <v>3800</v>
      </c>
      <c r="Q22" s="467">
        <v>410</v>
      </c>
      <c r="R22" s="467">
        <f>Q22*P22</f>
        <v>1558000</v>
      </c>
      <c r="S22" s="447" t="s">
        <v>5</v>
      </c>
      <c r="T22" s="332"/>
    </row>
    <row r="23" spans="1:20" ht="22.5" customHeight="1">
      <c r="A23" s="538">
        <f t="shared" si="8"/>
        <v>19</v>
      </c>
      <c r="B23" s="491">
        <v>46146</v>
      </c>
      <c r="C23" s="494" t="s">
        <v>264</v>
      </c>
      <c r="D23" s="491" t="s">
        <v>262</v>
      </c>
      <c r="E23" s="491" t="s">
        <v>263</v>
      </c>
      <c r="F23" s="491" t="s">
        <v>172</v>
      </c>
      <c r="G23" s="491" t="s">
        <v>291</v>
      </c>
      <c r="H23" s="491" t="s">
        <v>292</v>
      </c>
      <c r="I23" s="226" t="s">
        <v>75</v>
      </c>
      <c r="J23" s="494" t="s">
        <v>255</v>
      </c>
      <c r="K23" s="478">
        <v>14060</v>
      </c>
      <c r="L23" s="478">
        <v>18010</v>
      </c>
      <c r="M23" s="26">
        <f t="shared" si="9"/>
        <v>3950</v>
      </c>
      <c r="N23" s="482">
        <v>3910</v>
      </c>
      <c r="O23" s="494"/>
      <c r="P23" s="482">
        <f t="shared" ref="P23:P28" si="10">N23</f>
        <v>3910</v>
      </c>
      <c r="Q23" s="483">
        <v>410</v>
      </c>
      <c r="R23" s="483">
        <f t="shared" ref="R23:R30" si="11">Q23*P23</f>
        <v>1603100</v>
      </c>
      <c r="S23" s="444" t="s">
        <v>5</v>
      </c>
      <c r="T23" s="332"/>
    </row>
    <row r="24" spans="1:20" ht="22.5" customHeight="1">
      <c r="A24" s="538">
        <f t="shared" si="8"/>
        <v>20</v>
      </c>
      <c r="B24" s="491">
        <v>46146</v>
      </c>
      <c r="C24" s="494" t="s">
        <v>264</v>
      </c>
      <c r="D24" s="491" t="s">
        <v>262</v>
      </c>
      <c r="E24" s="491" t="s">
        <v>263</v>
      </c>
      <c r="F24" s="491" t="s">
        <v>172</v>
      </c>
      <c r="G24" s="491" t="s">
        <v>291</v>
      </c>
      <c r="H24" s="491" t="s">
        <v>292</v>
      </c>
      <c r="I24" s="226" t="s">
        <v>75</v>
      </c>
      <c r="J24" s="494" t="s">
        <v>255</v>
      </c>
      <c r="K24" s="478">
        <v>14090</v>
      </c>
      <c r="L24" s="478">
        <v>17180</v>
      </c>
      <c r="M24" s="26">
        <f t="shared" si="9"/>
        <v>3090</v>
      </c>
      <c r="N24" s="482">
        <v>3130</v>
      </c>
      <c r="O24" s="494"/>
      <c r="P24" s="482">
        <f t="shared" si="10"/>
        <v>3130</v>
      </c>
      <c r="Q24" s="483">
        <v>410</v>
      </c>
      <c r="R24" s="483">
        <f t="shared" si="11"/>
        <v>1283300</v>
      </c>
      <c r="S24" s="444" t="s">
        <v>5</v>
      </c>
      <c r="T24" s="332"/>
    </row>
    <row r="25" spans="1:20" ht="22.5" customHeight="1">
      <c r="A25" s="538">
        <f t="shared" si="8"/>
        <v>21</v>
      </c>
      <c r="B25" s="491">
        <v>46146</v>
      </c>
      <c r="C25" s="494" t="s">
        <v>264</v>
      </c>
      <c r="D25" s="491" t="s">
        <v>262</v>
      </c>
      <c r="E25" s="491" t="s">
        <v>263</v>
      </c>
      <c r="F25" s="491" t="s">
        <v>172</v>
      </c>
      <c r="G25" s="491" t="s">
        <v>291</v>
      </c>
      <c r="H25" s="491" t="s">
        <v>292</v>
      </c>
      <c r="I25" s="226" t="s">
        <v>75</v>
      </c>
      <c r="J25" s="494" t="s">
        <v>255</v>
      </c>
      <c r="K25" s="478">
        <v>14020</v>
      </c>
      <c r="L25" s="478">
        <v>17780</v>
      </c>
      <c r="M25" s="26">
        <f t="shared" si="9"/>
        <v>3760</v>
      </c>
      <c r="N25" s="482">
        <v>3760</v>
      </c>
      <c r="O25" s="494"/>
      <c r="P25" s="482">
        <f t="shared" si="10"/>
        <v>3760</v>
      </c>
      <c r="Q25" s="483">
        <v>410</v>
      </c>
      <c r="R25" s="483">
        <f t="shared" si="11"/>
        <v>1541600</v>
      </c>
      <c r="S25" s="444" t="s">
        <v>5</v>
      </c>
      <c r="T25" s="332"/>
    </row>
    <row r="26" spans="1:20" ht="22.5" customHeight="1">
      <c r="A26" s="538">
        <f t="shared" si="8"/>
        <v>22</v>
      </c>
      <c r="B26" s="491">
        <v>46146</v>
      </c>
      <c r="C26" s="494" t="s">
        <v>264</v>
      </c>
      <c r="D26" s="491" t="s">
        <v>262</v>
      </c>
      <c r="E26" s="491" t="s">
        <v>263</v>
      </c>
      <c r="F26" s="491" t="s">
        <v>172</v>
      </c>
      <c r="G26" s="491" t="s">
        <v>291</v>
      </c>
      <c r="H26" s="491" t="s">
        <v>292</v>
      </c>
      <c r="I26" s="226" t="s">
        <v>75</v>
      </c>
      <c r="J26" s="494" t="s">
        <v>255</v>
      </c>
      <c r="K26" s="478">
        <v>14030</v>
      </c>
      <c r="L26" s="478">
        <v>17650</v>
      </c>
      <c r="M26" s="26">
        <f t="shared" si="9"/>
        <v>3620</v>
      </c>
      <c r="N26" s="482">
        <v>3620</v>
      </c>
      <c r="O26" s="494"/>
      <c r="P26" s="482">
        <f t="shared" si="10"/>
        <v>3620</v>
      </c>
      <c r="Q26" s="483">
        <v>410</v>
      </c>
      <c r="R26" s="483">
        <f t="shared" si="11"/>
        <v>1484200</v>
      </c>
      <c r="S26" s="444" t="s">
        <v>5</v>
      </c>
      <c r="T26" s="332"/>
    </row>
    <row r="27" spans="1:20" ht="22.5" customHeight="1">
      <c r="A27" s="538">
        <f t="shared" si="8"/>
        <v>23</v>
      </c>
      <c r="B27" s="491">
        <v>46146</v>
      </c>
      <c r="C27" s="465" t="s">
        <v>344</v>
      </c>
      <c r="D27" s="491" t="s">
        <v>262</v>
      </c>
      <c r="E27" s="491" t="s">
        <v>263</v>
      </c>
      <c r="F27" s="491" t="s">
        <v>172</v>
      </c>
      <c r="G27" s="491" t="s">
        <v>291</v>
      </c>
      <c r="H27" s="491" t="s">
        <v>292</v>
      </c>
      <c r="I27" s="226" t="s">
        <v>75</v>
      </c>
      <c r="J27" s="494" t="s">
        <v>255</v>
      </c>
      <c r="K27" s="460">
        <v>14040</v>
      </c>
      <c r="L27" s="460">
        <v>16920</v>
      </c>
      <c r="M27" s="461">
        <f t="shared" si="9"/>
        <v>2880</v>
      </c>
      <c r="N27" s="463">
        <v>3040</v>
      </c>
      <c r="O27" s="465"/>
      <c r="P27" s="482">
        <f t="shared" si="10"/>
        <v>3040</v>
      </c>
      <c r="Q27" s="466">
        <v>410</v>
      </c>
      <c r="R27" s="483">
        <f t="shared" si="11"/>
        <v>1246400</v>
      </c>
      <c r="S27" s="448" t="s">
        <v>5</v>
      </c>
      <c r="T27" s="332"/>
    </row>
    <row r="28" spans="1:20" ht="22.5" customHeight="1">
      <c r="A28" s="539">
        <f t="shared" si="8"/>
        <v>24</v>
      </c>
      <c r="B28" s="489">
        <v>46146</v>
      </c>
      <c r="C28" s="465" t="s">
        <v>238</v>
      </c>
      <c r="D28" s="489" t="s">
        <v>262</v>
      </c>
      <c r="E28" s="489" t="s">
        <v>263</v>
      </c>
      <c r="F28" s="489" t="s">
        <v>172</v>
      </c>
      <c r="G28" s="489" t="s">
        <v>291</v>
      </c>
      <c r="H28" s="489" t="s">
        <v>292</v>
      </c>
      <c r="I28" s="480" t="s">
        <v>75</v>
      </c>
      <c r="J28" s="465" t="s">
        <v>133</v>
      </c>
      <c r="K28" s="460">
        <v>16920</v>
      </c>
      <c r="L28" s="460">
        <v>19640</v>
      </c>
      <c r="M28" s="461">
        <f>L28-K28</f>
        <v>2720</v>
      </c>
      <c r="N28" s="463">
        <v>2590</v>
      </c>
      <c r="O28" s="465"/>
      <c r="P28" s="463">
        <f t="shared" si="10"/>
        <v>2590</v>
      </c>
      <c r="Q28" s="466">
        <v>420</v>
      </c>
      <c r="R28" s="466">
        <f t="shared" si="11"/>
        <v>1087800</v>
      </c>
      <c r="S28" s="449" t="str">
        <f>S27</f>
        <v>출고</v>
      </c>
      <c r="T28" s="332"/>
    </row>
    <row r="29" spans="1:20" ht="22.5" customHeight="1">
      <c r="A29" s="540">
        <f t="shared" si="8"/>
        <v>25</v>
      </c>
      <c r="B29" s="227">
        <v>46147</v>
      </c>
      <c r="C29" s="133" t="s">
        <v>241</v>
      </c>
      <c r="D29" s="227" t="s">
        <v>6</v>
      </c>
      <c r="E29" s="132" t="s">
        <v>46</v>
      </c>
      <c r="F29" s="506" t="s">
        <v>53</v>
      </c>
      <c r="G29" s="506" t="s">
        <v>291</v>
      </c>
      <c r="H29" s="506" t="s">
        <v>292</v>
      </c>
      <c r="I29" s="446" t="s">
        <v>112</v>
      </c>
      <c r="J29" s="506" t="s">
        <v>119</v>
      </c>
      <c r="K29" s="133">
        <v>14220</v>
      </c>
      <c r="L29" s="133">
        <v>17620</v>
      </c>
      <c r="M29" s="384">
        <f t="shared" ref="M29" si="12">L29-K29</f>
        <v>3400</v>
      </c>
      <c r="N29" s="469">
        <v>3370</v>
      </c>
      <c r="O29" s="469"/>
      <c r="P29" s="469">
        <f t="shared" ref="P29" si="13">M29</f>
        <v>3400</v>
      </c>
      <c r="Q29" s="256">
        <v>420</v>
      </c>
      <c r="R29" s="256">
        <f t="shared" si="11"/>
        <v>1428000</v>
      </c>
      <c r="S29" s="446" t="s">
        <v>5</v>
      </c>
      <c r="T29" s="332"/>
    </row>
    <row r="30" spans="1:20" ht="22.5" customHeight="1">
      <c r="A30" s="538">
        <f t="shared" si="8"/>
        <v>26</v>
      </c>
      <c r="B30" s="491">
        <v>46147</v>
      </c>
      <c r="C30" s="500" t="s">
        <v>264</v>
      </c>
      <c r="D30" s="500" t="s">
        <v>262</v>
      </c>
      <c r="E30" s="491" t="s">
        <v>46</v>
      </c>
      <c r="F30" s="491" t="s">
        <v>53</v>
      </c>
      <c r="G30" s="491" t="s">
        <v>250</v>
      </c>
      <c r="H30" s="491" t="s">
        <v>292</v>
      </c>
      <c r="I30" s="226" t="s">
        <v>85</v>
      </c>
      <c r="J30" s="494" t="s">
        <v>197</v>
      </c>
      <c r="K30" s="478">
        <v>14070</v>
      </c>
      <c r="L30" s="478">
        <v>21810</v>
      </c>
      <c r="M30" s="26">
        <f>(L30-K30)*0.7</f>
        <v>5418</v>
      </c>
      <c r="N30" s="164">
        <f>7710*0.7</f>
        <v>5397</v>
      </c>
      <c r="O30" s="482">
        <v>9</v>
      </c>
      <c r="P30" s="164">
        <f>N30-O30</f>
        <v>5388</v>
      </c>
      <c r="Q30" s="483">
        <v>3800</v>
      </c>
      <c r="R30" s="483">
        <f t="shared" si="11"/>
        <v>20474400</v>
      </c>
      <c r="S30" s="444" t="s">
        <v>5</v>
      </c>
      <c r="T30" s="332"/>
    </row>
    <row r="31" spans="1:20" ht="22.5" customHeight="1">
      <c r="A31" s="538">
        <f t="shared" si="8"/>
        <v>27</v>
      </c>
      <c r="B31" s="491">
        <v>46147</v>
      </c>
      <c r="C31" s="500" t="s">
        <v>337</v>
      </c>
      <c r="D31" s="500" t="s">
        <v>262</v>
      </c>
      <c r="E31" s="491" t="s">
        <v>46</v>
      </c>
      <c r="F31" s="491" t="s">
        <v>53</v>
      </c>
      <c r="G31" s="491" t="s">
        <v>250</v>
      </c>
      <c r="H31" s="491" t="s">
        <v>292</v>
      </c>
      <c r="I31" s="226" t="s">
        <v>85</v>
      </c>
      <c r="J31" s="494" t="s">
        <v>197</v>
      </c>
      <c r="K31" s="478"/>
      <c r="L31" s="478"/>
      <c r="M31" s="26">
        <f>(L30-K30)*0.3</f>
        <v>2322</v>
      </c>
      <c r="N31" s="164">
        <f>(7710*0.3)-N32</f>
        <v>1213</v>
      </c>
      <c r="O31" s="482"/>
      <c r="P31" s="164">
        <f>N31</f>
        <v>1213</v>
      </c>
      <c r="Q31" s="483">
        <v>3800</v>
      </c>
      <c r="R31" s="483">
        <f t="shared" ref="R31:R62" si="14">Q31*P31</f>
        <v>4609400</v>
      </c>
      <c r="S31" s="444" t="str">
        <f t="shared" ref="S31:S32" si="15">S30</f>
        <v>출고</v>
      </c>
      <c r="T31" s="332"/>
    </row>
    <row r="32" spans="1:20" ht="22.5" customHeight="1">
      <c r="A32" s="541">
        <f t="shared" si="8"/>
        <v>28</v>
      </c>
      <c r="B32" s="485">
        <v>46147</v>
      </c>
      <c r="C32" s="505" t="s">
        <v>337</v>
      </c>
      <c r="D32" s="505" t="s">
        <v>262</v>
      </c>
      <c r="E32" s="485" t="s">
        <v>263</v>
      </c>
      <c r="F32" s="485" t="s">
        <v>172</v>
      </c>
      <c r="G32" s="485" t="s">
        <v>291</v>
      </c>
      <c r="H32" s="485" t="s">
        <v>292</v>
      </c>
      <c r="I32" s="502" t="s">
        <v>37</v>
      </c>
      <c r="J32" s="495" t="s">
        <v>378</v>
      </c>
      <c r="K32" s="477"/>
      <c r="L32" s="477"/>
      <c r="M32" s="28"/>
      <c r="N32" s="234">
        <v>1100</v>
      </c>
      <c r="O32" s="493"/>
      <c r="P32" s="234">
        <f>N32</f>
        <v>1100</v>
      </c>
      <c r="Q32" s="487">
        <v>3750</v>
      </c>
      <c r="R32" s="487">
        <f t="shared" si="14"/>
        <v>4125000</v>
      </c>
      <c r="S32" s="445" t="str">
        <f t="shared" si="15"/>
        <v>출고</v>
      </c>
      <c r="T32" s="332"/>
    </row>
    <row r="33" spans="1:20" ht="22.5" customHeight="1">
      <c r="A33" s="537">
        <f t="shared" si="8"/>
        <v>29</v>
      </c>
      <c r="B33" s="496">
        <v>46149</v>
      </c>
      <c r="C33" s="504" t="s">
        <v>344</v>
      </c>
      <c r="D33" s="504" t="s">
        <v>262</v>
      </c>
      <c r="E33" s="496" t="s">
        <v>263</v>
      </c>
      <c r="F33" s="496" t="s">
        <v>172</v>
      </c>
      <c r="G33" s="496" t="s">
        <v>291</v>
      </c>
      <c r="H33" s="496" t="s">
        <v>292</v>
      </c>
      <c r="I33" s="83" t="s">
        <v>85</v>
      </c>
      <c r="J33" s="457" t="s">
        <v>123</v>
      </c>
      <c r="K33" s="459"/>
      <c r="L33" s="459"/>
      <c r="M33" s="462">
        <v>510</v>
      </c>
      <c r="N33" s="254">
        <v>510</v>
      </c>
      <c r="O33" s="464"/>
      <c r="P33" s="254">
        <f>N33-O33</f>
        <v>510</v>
      </c>
      <c r="Q33" s="467">
        <v>1920</v>
      </c>
      <c r="R33" s="467">
        <f t="shared" si="14"/>
        <v>979200</v>
      </c>
      <c r="S33" s="447" t="s">
        <v>5</v>
      </c>
      <c r="T33" s="332"/>
    </row>
    <row r="34" spans="1:20" ht="22.5" customHeight="1">
      <c r="A34" s="538">
        <f t="shared" si="8"/>
        <v>30</v>
      </c>
      <c r="B34" s="491">
        <v>46149</v>
      </c>
      <c r="C34" s="500" t="s">
        <v>264</v>
      </c>
      <c r="D34" s="500" t="s">
        <v>262</v>
      </c>
      <c r="E34" s="491" t="s">
        <v>263</v>
      </c>
      <c r="F34" s="491" t="s">
        <v>172</v>
      </c>
      <c r="G34" s="491" t="s">
        <v>291</v>
      </c>
      <c r="H34" s="491" t="s">
        <v>292</v>
      </c>
      <c r="I34" s="226" t="s">
        <v>85</v>
      </c>
      <c r="J34" s="494" t="s">
        <v>123</v>
      </c>
      <c r="K34" s="478">
        <v>14050</v>
      </c>
      <c r="L34" s="478">
        <v>15840</v>
      </c>
      <c r="M34" s="26">
        <f>L34-K34</f>
        <v>1790</v>
      </c>
      <c r="N34" s="164">
        <v>1790</v>
      </c>
      <c r="O34" s="482"/>
      <c r="P34" s="164">
        <f t="shared" ref="P34:P36" si="16">N34-O34</f>
        <v>1790</v>
      </c>
      <c r="Q34" s="483">
        <v>1920</v>
      </c>
      <c r="R34" s="483">
        <f t="shared" si="14"/>
        <v>3436800</v>
      </c>
      <c r="S34" s="444" t="str">
        <f t="shared" ref="S34:S36" si="17">S33</f>
        <v>출고</v>
      </c>
      <c r="T34" s="332"/>
    </row>
    <row r="35" spans="1:20" ht="22.5" customHeight="1">
      <c r="A35" s="538">
        <f t="shared" si="8"/>
        <v>31</v>
      </c>
      <c r="B35" s="491">
        <v>46149</v>
      </c>
      <c r="C35" s="500" t="s">
        <v>337</v>
      </c>
      <c r="D35" s="500" t="s">
        <v>262</v>
      </c>
      <c r="E35" s="491" t="s">
        <v>263</v>
      </c>
      <c r="F35" s="491" t="s">
        <v>172</v>
      </c>
      <c r="G35" s="491" t="s">
        <v>291</v>
      </c>
      <c r="H35" s="491" t="s">
        <v>292</v>
      </c>
      <c r="I35" s="226" t="s">
        <v>85</v>
      </c>
      <c r="J35" s="494" t="s">
        <v>123</v>
      </c>
      <c r="K35" s="478">
        <v>16350</v>
      </c>
      <c r="L35" s="478">
        <v>19690</v>
      </c>
      <c r="M35" s="26">
        <f t="shared" ref="M35:M36" si="18">L35-K35</f>
        <v>3340</v>
      </c>
      <c r="N35" s="164">
        <v>3270</v>
      </c>
      <c r="O35" s="482">
        <v>6</v>
      </c>
      <c r="P35" s="164">
        <f t="shared" si="16"/>
        <v>3264</v>
      </c>
      <c r="Q35" s="483">
        <v>1920</v>
      </c>
      <c r="R35" s="483">
        <f t="shared" si="14"/>
        <v>6266880</v>
      </c>
      <c r="S35" s="444" t="str">
        <f t="shared" si="17"/>
        <v>출고</v>
      </c>
      <c r="T35" s="332"/>
    </row>
    <row r="36" spans="1:20" ht="22.5" customHeight="1">
      <c r="A36" s="538">
        <f t="shared" si="8"/>
        <v>32</v>
      </c>
      <c r="B36" s="491">
        <v>46149</v>
      </c>
      <c r="C36" s="500" t="s">
        <v>173</v>
      </c>
      <c r="D36" s="500" t="s">
        <v>262</v>
      </c>
      <c r="E36" s="491" t="s">
        <v>263</v>
      </c>
      <c r="F36" s="491" t="s">
        <v>172</v>
      </c>
      <c r="G36" s="491" t="s">
        <v>291</v>
      </c>
      <c r="H36" s="491" t="s">
        <v>292</v>
      </c>
      <c r="I36" s="226" t="s">
        <v>85</v>
      </c>
      <c r="J36" s="494" t="s">
        <v>230</v>
      </c>
      <c r="K36" s="478">
        <v>19680</v>
      </c>
      <c r="L36" s="478">
        <v>20930</v>
      </c>
      <c r="M36" s="26">
        <f t="shared" si="18"/>
        <v>1250</v>
      </c>
      <c r="N36" s="164">
        <v>1230</v>
      </c>
      <c r="O36" s="482">
        <v>9</v>
      </c>
      <c r="P36" s="164">
        <f t="shared" si="16"/>
        <v>1221</v>
      </c>
      <c r="Q36" s="483">
        <v>1650</v>
      </c>
      <c r="R36" s="483">
        <f t="shared" si="14"/>
        <v>2014650</v>
      </c>
      <c r="S36" s="444" t="str">
        <f t="shared" si="17"/>
        <v>출고</v>
      </c>
      <c r="T36" s="332"/>
    </row>
    <row r="37" spans="1:20" ht="22.5" customHeight="1">
      <c r="A37" s="539">
        <f t="shared" si="8"/>
        <v>33</v>
      </c>
      <c r="B37" s="582">
        <v>46149</v>
      </c>
      <c r="C37" s="595" t="s">
        <v>264</v>
      </c>
      <c r="D37" s="595" t="s">
        <v>262</v>
      </c>
      <c r="E37" s="582" t="s">
        <v>263</v>
      </c>
      <c r="F37" s="582" t="s">
        <v>33</v>
      </c>
      <c r="G37" s="582" t="s">
        <v>291</v>
      </c>
      <c r="H37" s="582" t="s">
        <v>292</v>
      </c>
      <c r="I37" s="226" t="s">
        <v>37</v>
      </c>
      <c r="J37" s="593" t="s">
        <v>123</v>
      </c>
      <c r="K37" s="589">
        <v>13450</v>
      </c>
      <c r="L37" s="589">
        <v>20340</v>
      </c>
      <c r="M37" s="26">
        <f>L37-K37</f>
        <v>6890</v>
      </c>
      <c r="N37" s="164">
        <f>6840-N38</f>
        <v>2430</v>
      </c>
      <c r="O37" s="587"/>
      <c r="P37" s="164">
        <f>N37</f>
        <v>2430</v>
      </c>
      <c r="Q37" s="591">
        <v>1920</v>
      </c>
      <c r="R37" s="591">
        <f t="shared" si="14"/>
        <v>4665600</v>
      </c>
      <c r="S37" s="583" t="s">
        <v>5</v>
      </c>
      <c r="T37" s="332"/>
    </row>
    <row r="38" spans="1:20" s="388" customFormat="1" ht="22.5" customHeight="1">
      <c r="A38" s="616">
        <f>ROW()-4</f>
        <v>34</v>
      </c>
      <c r="B38" s="586">
        <v>46149</v>
      </c>
      <c r="C38" s="602" t="s">
        <v>264</v>
      </c>
      <c r="D38" s="602" t="s">
        <v>262</v>
      </c>
      <c r="E38" s="586" t="s">
        <v>263</v>
      </c>
      <c r="F38" s="586" t="s">
        <v>70</v>
      </c>
      <c r="G38" s="586" t="s">
        <v>291</v>
      </c>
      <c r="H38" s="586" t="s">
        <v>292</v>
      </c>
      <c r="I38" s="502" t="s">
        <v>37</v>
      </c>
      <c r="J38" s="594" t="s">
        <v>192</v>
      </c>
      <c r="K38" s="590"/>
      <c r="L38" s="590"/>
      <c r="M38" s="28"/>
      <c r="N38" s="234">
        <f>1100+720+950+810+410+420</f>
        <v>4410</v>
      </c>
      <c r="O38" s="588"/>
      <c r="P38" s="234">
        <f>N38</f>
        <v>4410</v>
      </c>
      <c r="Q38" s="592">
        <v>1850</v>
      </c>
      <c r="R38" s="592">
        <f t="shared" si="14"/>
        <v>8158500</v>
      </c>
      <c r="S38" s="585" t="s">
        <v>5</v>
      </c>
      <c r="T38" s="332"/>
    </row>
    <row r="39" spans="1:20" s="388" customFormat="1" ht="22.5" customHeight="1">
      <c r="A39" s="542">
        <f t="shared" si="8"/>
        <v>35</v>
      </c>
      <c r="B39" s="484">
        <v>46150</v>
      </c>
      <c r="C39" s="503" t="s">
        <v>264</v>
      </c>
      <c r="D39" s="484" t="s">
        <v>262</v>
      </c>
      <c r="E39" s="484" t="s">
        <v>263</v>
      </c>
      <c r="F39" s="484" t="s">
        <v>172</v>
      </c>
      <c r="G39" s="484" t="s">
        <v>291</v>
      </c>
      <c r="H39" s="484" t="s">
        <v>292</v>
      </c>
      <c r="I39" s="501" t="s">
        <v>75</v>
      </c>
      <c r="J39" s="503" t="s">
        <v>119</v>
      </c>
      <c r="K39" s="476">
        <v>15150</v>
      </c>
      <c r="L39" s="476">
        <v>18380</v>
      </c>
      <c r="M39" s="23">
        <v>3230</v>
      </c>
      <c r="N39" s="320">
        <v>3460</v>
      </c>
      <c r="O39" s="503"/>
      <c r="P39" s="320">
        <v>3460</v>
      </c>
      <c r="Q39" s="486">
        <v>420</v>
      </c>
      <c r="R39" s="486">
        <f t="shared" si="14"/>
        <v>1453200</v>
      </c>
      <c r="S39" s="446" t="s">
        <v>5</v>
      </c>
      <c r="T39" s="332"/>
    </row>
    <row r="40" spans="1:20" s="388" customFormat="1" ht="22.5" customHeight="1">
      <c r="A40" s="538">
        <f t="shared" si="8"/>
        <v>36</v>
      </c>
      <c r="B40" s="491">
        <v>46150</v>
      </c>
      <c r="C40" s="494" t="s">
        <v>344</v>
      </c>
      <c r="D40" s="491" t="s">
        <v>262</v>
      </c>
      <c r="E40" s="491" t="s">
        <v>263</v>
      </c>
      <c r="F40" s="491" t="s">
        <v>172</v>
      </c>
      <c r="G40" s="491" t="s">
        <v>291</v>
      </c>
      <c r="H40" s="491" t="s">
        <v>292</v>
      </c>
      <c r="I40" s="226" t="s">
        <v>75</v>
      </c>
      <c r="J40" s="494" t="s">
        <v>119</v>
      </c>
      <c r="K40" s="478">
        <v>14060</v>
      </c>
      <c r="L40" s="478">
        <v>15150</v>
      </c>
      <c r="M40" s="26">
        <v>1090</v>
      </c>
      <c r="N40" s="482">
        <v>1090</v>
      </c>
      <c r="O40" s="494"/>
      <c r="P40" s="482">
        <v>1090</v>
      </c>
      <c r="Q40" s="483">
        <v>420</v>
      </c>
      <c r="R40" s="483">
        <f t="shared" si="14"/>
        <v>457800</v>
      </c>
      <c r="S40" s="447" t="str">
        <f>S39</f>
        <v>출고</v>
      </c>
      <c r="T40" s="332"/>
    </row>
    <row r="41" spans="1:20" s="388" customFormat="1" ht="22.5" customHeight="1">
      <c r="A41" s="538">
        <f t="shared" si="8"/>
        <v>37</v>
      </c>
      <c r="B41" s="496">
        <v>46151</v>
      </c>
      <c r="C41" s="457" t="s">
        <v>264</v>
      </c>
      <c r="D41" s="496" t="s">
        <v>262</v>
      </c>
      <c r="E41" s="496" t="s">
        <v>263</v>
      </c>
      <c r="F41" s="496" t="s">
        <v>172</v>
      </c>
      <c r="G41" s="496" t="s">
        <v>291</v>
      </c>
      <c r="H41" s="496" t="s">
        <v>292</v>
      </c>
      <c r="I41" s="83" t="s">
        <v>75</v>
      </c>
      <c r="J41" s="457" t="s">
        <v>119</v>
      </c>
      <c r="K41" s="459">
        <v>14160</v>
      </c>
      <c r="L41" s="459">
        <v>16830</v>
      </c>
      <c r="M41" s="462">
        <f t="shared" ref="M41:M43" si="19">L41-K41</f>
        <v>2670</v>
      </c>
      <c r="N41" s="464">
        <v>3000</v>
      </c>
      <c r="O41" s="457"/>
      <c r="P41" s="464">
        <f t="shared" ref="P41:P43" si="20">N41</f>
        <v>3000</v>
      </c>
      <c r="Q41" s="467">
        <v>420</v>
      </c>
      <c r="R41" s="467">
        <f t="shared" si="14"/>
        <v>1260000</v>
      </c>
      <c r="S41" s="449" t="s">
        <v>5</v>
      </c>
      <c r="T41" s="332"/>
    </row>
    <row r="42" spans="1:20" s="388" customFormat="1" ht="22.5" customHeight="1">
      <c r="A42" s="538">
        <f t="shared" si="8"/>
        <v>38</v>
      </c>
      <c r="B42" s="491">
        <v>46151</v>
      </c>
      <c r="C42" s="494" t="s">
        <v>264</v>
      </c>
      <c r="D42" s="491" t="s">
        <v>262</v>
      </c>
      <c r="E42" s="491" t="s">
        <v>263</v>
      </c>
      <c r="F42" s="491" t="s">
        <v>172</v>
      </c>
      <c r="G42" s="491" t="s">
        <v>291</v>
      </c>
      <c r="H42" s="491" t="s">
        <v>292</v>
      </c>
      <c r="I42" s="226" t="s">
        <v>75</v>
      </c>
      <c r="J42" s="494" t="s">
        <v>119</v>
      </c>
      <c r="K42" s="478">
        <v>14090</v>
      </c>
      <c r="L42" s="478">
        <v>17700</v>
      </c>
      <c r="M42" s="26">
        <f t="shared" si="19"/>
        <v>3610</v>
      </c>
      <c r="N42" s="482">
        <v>3600</v>
      </c>
      <c r="O42" s="494"/>
      <c r="P42" s="482">
        <f t="shared" si="20"/>
        <v>3600</v>
      </c>
      <c r="Q42" s="483">
        <v>420</v>
      </c>
      <c r="R42" s="483">
        <f t="shared" si="14"/>
        <v>1512000</v>
      </c>
      <c r="S42" s="449" t="str">
        <f t="shared" ref="S42:S43" si="21">S41</f>
        <v>출고</v>
      </c>
      <c r="T42" s="332"/>
    </row>
    <row r="43" spans="1:20" s="388" customFormat="1" ht="22.5" customHeight="1">
      <c r="A43" s="539">
        <f t="shared" si="8"/>
        <v>39</v>
      </c>
      <c r="B43" s="489">
        <v>46151</v>
      </c>
      <c r="C43" s="465" t="s">
        <v>305</v>
      </c>
      <c r="D43" s="489" t="s">
        <v>262</v>
      </c>
      <c r="E43" s="489" t="s">
        <v>263</v>
      </c>
      <c r="F43" s="489" t="s">
        <v>70</v>
      </c>
      <c r="G43" s="489" t="s">
        <v>291</v>
      </c>
      <c r="H43" s="489" t="s">
        <v>292</v>
      </c>
      <c r="I43" s="480" t="s">
        <v>75</v>
      </c>
      <c r="J43" s="465" t="s">
        <v>248</v>
      </c>
      <c r="K43" s="460">
        <v>14050</v>
      </c>
      <c r="L43" s="460">
        <v>15750</v>
      </c>
      <c r="M43" s="461">
        <f t="shared" si="19"/>
        <v>1700</v>
      </c>
      <c r="N43" s="463">
        <v>1720</v>
      </c>
      <c r="O43" s="465"/>
      <c r="P43" s="463">
        <f t="shared" si="20"/>
        <v>1720</v>
      </c>
      <c r="Q43" s="466">
        <v>410</v>
      </c>
      <c r="R43" s="466">
        <f t="shared" si="14"/>
        <v>705200</v>
      </c>
      <c r="S43" s="449" t="str">
        <f t="shared" si="21"/>
        <v>출고</v>
      </c>
      <c r="T43" s="332"/>
    </row>
    <row r="44" spans="1:20" s="388" customFormat="1" ht="22.5" customHeight="1">
      <c r="A44" s="542">
        <f t="shared" si="8"/>
        <v>40</v>
      </c>
      <c r="B44" s="484">
        <v>46153</v>
      </c>
      <c r="C44" s="476" t="s">
        <v>264</v>
      </c>
      <c r="D44" s="484" t="s">
        <v>17</v>
      </c>
      <c r="E44" s="484" t="s">
        <v>247</v>
      </c>
      <c r="F44" s="484" t="s">
        <v>108</v>
      </c>
      <c r="G44" s="484" t="s">
        <v>251</v>
      </c>
      <c r="H44" s="484"/>
      <c r="I44" s="501" t="s">
        <v>67</v>
      </c>
      <c r="J44" s="503" t="s">
        <v>109</v>
      </c>
      <c r="K44" s="476">
        <v>12930</v>
      </c>
      <c r="L44" s="476">
        <v>16020</v>
      </c>
      <c r="M44" s="23">
        <f>L44-K44-M45-M46-M47</f>
        <v>2030</v>
      </c>
      <c r="N44" s="503">
        <v>2030</v>
      </c>
      <c r="O44" s="503">
        <v>10</v>
      </c>
      <c r="P44" s="488">
        <v>2020</v>
      </c>
      <c r="Q44" s="476">
        <v>3900</v>
      </c>
      <c r="R44" s="486">
        <f t="shared" si="14"/>
        <v>7878000</v>
      </c>
      <c r="S44" s="443" t="s">
        <v>5</v>
      </c>
      <c r="T44" s="332"/>
    </row>
    <row r="45" spans="1:20" s="388" customFormat="1" ht="22.5" customHeight="1">
      <c r="A45" s="538">
        <f t="shared" si="8"/>
        <v>41</v>
      </c>
      <c r="B45" s="491">
        <v>46153</v>
      </c>
      <c r="C45" s="478" t="s">
        <v>238</v>
      </c>
      <c r="D45" s="491" t="s">
        <v>17</v>
      </c>
      <c r="E45" s="491" t="s">
        <v>247</v>
      </c>
      <c r="F45" s="491" t="s">
        <v>108</v>
      </c>
      <c r="G45" s="491" t="s">
        <v>251</v>
      </c>
      <c r="H45" s="491"/>
      <c r="I45" s="226" t="s">
        <v>67</v>
      </c>
      <c r="J45" s="494" t="s">
        <v>109</v>
      </c>
      <c r="K45" s="478"/>
      <c r="L45" s="478"/>
      <c r="M45" s="26">
        <f>120+780</f>
        <v>900</v>
      </c>
      <c r="N45" s="494">
        <v>900</v>
      </c>
      <c r="O45" s="494"/>
      <c r="P45" s="225">
        <v>900</v>
      </c>
      <c r="Q45" s="478">
        <v>3900</v>
      </c>
      <c r="R45" s="483">
        <f t="shared" si="14"/>
        <v>3510000</v>
      </c>
      <c r="S45" s="444" t="str">
        <f t="shared" ref="S45:S47" si="22">S44</f>
        <v>출고</v>
      </c>
      <c r="T45" s="332"/>
    </row>
    <row r="46" spans="1:20" s="388" customFormat="1" ht="22.5" customHeight="1">
      <c r="A46" s="538">
        <f t="shared" si="8"/>
        <v>42</v>
      </c>
      <c r="B46" s="491">
        <v>46153</v>
      </c>
      <c r="C46" s="478" t="s">
        <v>344</v>
      </c>
      <c r="D46" s="491" t="s">
        <v>17</v>
      </c>
      <c r="E46" s="491" t="s">
        <v>247</v>
      </c>
      <c r="F46" s="491" t="s">
        <v>108</v>
      </c>
      <c r="G46" s="491" t="s">
        <v>251</v>
      </c>
      <c r="H46" s="491"/>
      <c r="I46" s="226" t="s">
        <v>67</v>
      </c>
      <c r="J46" s="494" t="s">
        <v>109</v>
      </c>
      <c r="K46" s="478"/>
      <c r="L46" s="478"/>
      <c r="M46" s="26">
        <v>100</v>
      </c>
      <c r="N46" s="494">
        <v>100</v>
      </c>
      <c r="O46" s="494"/>
      <c r="P46" s="225">
        <v>100</v>
      </c>
      <c r="Q46" s="478">
        <v>3900</v>
      </c>
      <c r="R46" s="483">
        <f t="shared" si="14"/>
        <v>390000</v>
      </c>
      <c r="S46" s="444" t="str">
        <f t="shared" si="22"/>
        <v>출고</v>
      </c>
      <c r="T46" s="332"/>
    </row>
    <row r="47" spans="1:20" s="388" customFormat="1" ht="22.5" customHeight="1" thickBot="1">
      <c r="A47" s="543">
        <f t="shared" si="8"/>
        <v>43</v>
      </c>
      <c r="B47" s="485">
        <v>46153</v>
      </c>
      <c r="C47" s="477" t="s">
        <v>305</v>
      </c>
      <c r="D47" s="485" t="s">
        <v>17</v>
      </c>
      <c r="E47" s="485" t="s">
        <v>247</v>
      </c>
      <c r="F47" s="485" t="s">
        <v>108</v>
      </c>
      <c r="G47" s="485" t="s">
        <v>251</v>
      </c>
      <c r="H47" s="485"/>
      <c r="I47" s="502" t="s">
        <v>67</v>
      </c>
      <c r="J47" s="495" t="s">
        <v>109</v>
      </c>
      <c r="K47" s="477"/>
      <c r="L47" s="477"/>
      <c r="M47" s="28">
        <v>60</v>
      </c>
      <c r="N47" s="495">
        <v>60</v>
      </c>
      <c r="O47" s="495"/>
      <c r="P47" s="490">
        <v>60</v>
      </c>
      <c r="Q47" s="477">
        <v>3900</v>
      </c>
      <c r="R47" s="487">
        <f t="shared" si="14"/>
        <v>234000</v>
      </c>
      <c r="S47" s="445" t="str">
        <f t="shared" si="22"/>
        <v>출고</v>
      </c>
      <c r="T47" s="332"/>
    </row>
    <row r="48" spans="1:20" s="388" customFormat="1" ht="22.5" customHeight="1">
      <c r="A48" s="537">
        <f t="shared" si="8"/>
        <v>44</v>
      </c>
      <c r="B48" s="834">
        <v>46154</v>
      </c>
      <c r="C48" s="835" t="s">
        <v>264</v>
      </c>
      <c r="D48" s="834" t="s">
        <v>262</v>
      </c>
      <c r="E48" s="834" t="s">
        <v>261</v>
      </c>
      <c r="F48" s="834" t="s">
        <v>409</v>
      </c>
      <c r="G48" s="834" t="s">
        <v>410</v>
      </c>
      <c r="H48" s="834" t="s">
        <v>411</v>
      </c>
      <c r="I48" s="836" t="s">
        <v>111</v>
      </c>
      <c r="J48" s="832" t="s">
        <v>43</v>
      </c>
      <c r="K48" s="835">
        <v>18360</v>
      </c>
      <c r="L48" s="835">
        <v>42030</v>
      </c>
      <c r="M48" s="98">
        <f>21620-2200</f>
        <v>19420</v>
      </c>
      <c r="N48" s="832">
        <v>19430</v>
      </c>
      <c r="O48" s="832"/>
      <c r="P48" s="327">
        <f>M48</f>
        <v>19420</v>
      </c>
      <c r="Q48" s="207">
        <v>19600</v>
      </c>
      <c r="R48" s="207">
        <f t="shared" si="14"/>
        <v>380632000</v>
      </c>
      <c r="S48" s="555" t="s">
        <v>5</v>
      </c>
      <c r="T48" s="332"/>
    </row>
    <row r="49" spans="1:20" s="388" customFormat="1" ht="22.5" customHeight="1">
      <c r="A49" s="538">
        <f t="shared" si="8"/>
        <v>45</v>
      </c>
      <c r="B49" s="802">
        <v>46154</v>
      </c>
      <c r="C49" s="792" t="s">
        <v>344</v>
      </c>
      <c r="D49" s="802" t="s">
        <v>262</v>
      </c>
      <c r="E49" s="802" t="s">
        <v>261</v>
      </c>
      <c r="F49" s="802" t="s">
        <v>409</v>
      </c>
      <c r="G49" s="802" t="s">
        <v>410</v>
      </c>
      <c r="H49" s="802" t="s">
        <v>411</v>
      </c>
      <c r="I49" s="226" t="s">
        <v>111</v>
      </c>
      <c r="J49" s="815" t="s">
        <v>43</v>
      </c>
      <c r="K49" s="792"/>
      <c r="L49" s="792"/>
      <c r="M49" s="26">
        <v>800</v>
      </c>
      <c r="N49" s="815">
        <v>800</v>
      </c>
      <c r="O49" s="815"/>
      <c r="P49" s="796">
        <v>800</v>
      </c>
      <c r="Q49" s="818">
        <v>19600</v>
      </c>
      <c r="R49" s="818">
        <f t="shared" si="14"/>
        <v>15680000</v>
      </c>
      <c r="S49" s="545" t="str">
        <f t="shared" ref="S49:S51" si="23">S48</f>
        <v>출고</v>
      </c>
      <c r="T49" s="332"/>
    </row>
    <row r="50" spans="1:20" s="388" customFormat="1" ht="22.5" customHeight="1">
      <c r="A50" s="538">
        <f t="shared" si="8"/>
        <v>46</v>
      </c>
      <c r="B50" s="802">
        <v>46154</v>
      </c>
      <c r="C50" s="792" t="s">
        <v>242</v>
      </c>
      <c r="D50" s="802" t="s">
        <v>262</v>
      </c>
      <c r="E50" s="802" t="s">
        <v>261</v>
      </c>
      <c r="F50" s="802" t="s">
        <v>409</v>
      </c>
      <c r="G50" s="802" t="s">
        <v>410</v>
      </c>
      <c r="H50" s="802" t="s">
        <v>411</v>
      </c>
      <c r="I50" s="226" t="s">
        <v>111</v>
      </c>
      <c r="J50" s="815" t="s">
        <v>43</v>
      </c>
      <c r="K50" s="792"/>
      <c r="L50" s="792"/>
      <c r="M50" s="26">
        <f>1250+2200</f>
        <v>3450</v>
      </c>
      <c r="N50" s="815">
        <v>3450</v>
      </c>
      <c r="O50" s="815"/>
      <c r="P50" s="796">
        <f>M50</f>
        <v>3450</v>
      </c>
      <c r="Q50" s="818">
        <v>19600</v>
      </c>
      <c r="R50" s="818">
        <f t="shared" si="14"/>
        <v>67620000</v>
      </c>
      <c r="S50" s="545" t="str">
        <f t="shared" si="23"/>
        <v>출고</v>
      </c>
      <c r="T50" s="332"/>
    </row>
    <row r="51" spans="1:20" s="388" customFormat="1" ht="22.5" customHeight="1">
      <c r="A51" s="541">
        <f t="shared" si="8"/>
        <v>47</v>
      </c>
      <c r="B51" s="806">
        <v>46154</v>
      </c>
      <c r="C51" s="793" t="s">
        <v>264</v>
      </c>
      <c r="D51" s="806" t="s">
        <v>262</v>
      </c>
      <c r="E51" s="806" t="s">
        <v>261</v>
      </c>
      <c r="F51" s="806" t="s">
        <v>409</v>
      </c>
      <c r="G51" s="806" t="s">
        <v>410</v>
      </c>
      <c r="H51" s="806" t="s">
        <v>411</v>
      </c>
      <c r="I51" s="502" t="s">
        <v>111</v>
      </c>
      <c r="J51" s="801" t="s">
        <v>43</v>
      </c>
      <c r="K51" s="793">
        <v>42030</v>
      </c>
      <c r="L51" s="793">
        <v>42970</v>
      </c>
      <c r="M51" s="28">
        <v>940</v>
      </c>
      <c r="N51" s="801">
        <v>940</v>
      </c>
      <c r="O51" s="801"/>
      <c r="P51" s="814">
        <v>940</v>
      </c>
      <c r="Q51" s="819">
        <v>19600</v>
      </c>
      <c r="R51" s="819">
        <f t="shared" si="14"/>
        <v>18424000</v>
      </c>
      <c r="S51" s="556" t="str">
        <f t="shared" si="23"/>
        <v>출고</v>
      </c>
      <c r="T51" s="332"/>
    </row>
    <row r="52" spans="1:20" s="388" customFormat="1" ht="22.5" customHeight="1">
      <c r="A52" s="537">
        <f t="shared" si="8"/>
        <v>48</v>
      </c>
      <c r="B52" s="805">
        <v>46154</v>
      </c>
      <c r="C52" s="791" t="s">
        <v>264</v>
      </c>
      <c r="D52" s="805" t="s">
        <v>262</v>
      </c>
      <c r="E52" s="805" t="s">
        <v>261</v>
      </c>
      <c r="F52" s="805" t="s">
        <v>412</v>
      </c>
      <c r="G52" s="805" t="s">
        <v>413</v>
      </c>
      <c r="H52" s="805" t="s">
        <v>414</v>
      </c>
      <c r="I52" s="501" t="s">
        <v>111</v>
      </c>
      <c r="J52" s="797" t="s">
        <v>415</v>
      </c>
      <c r="K52" s="791">
        <v>18780</v>
      </c>
      <c r="L52" s="791">
        <v>24690</v>
      </c>
      <c r="M52" s="23">
        <v>5910</v>
      </c>
      <c r="N52" s="797">
        <v>4930</v>
      </c>
      <c r="O52" s="797">
        <v>18</v>
      </c>
      <c r="P52" s="320">
        <f>N52-O52</f>
        <v>4912</v>
      </c>
      <c r="Q52" s="137">
        <v>19200</v>
      </c>
      <c r="R52" s="137">
        <f t="shared" si="14"/>
        <v>94310400</v>
      </c>
      <c r="S52" s="544" t="s">
        <v>5</v>
      </c>
      <c r="T52" s="332"/>
    </row>
    <row r="53" spans="1:20" s="388" customFormat="1" ht="22.5" customHeight="1">
      <c r="A53" s="538">
        <f t="shared" si="8"/>
        <v>49</v>
      </c>
      <c r="B53" s="802">
        <v>46154</v>
      </c>
      <c r="C53" s="792" t="s">
        <v>242</v>
      </c>
      <c r="D53" s="802" t="s">
        <v>262</v>
      </c>
      <c r="E53" s="802" t="s">
        <v>261</v>
      </c>
      <c r="F53" s="802" t="s">
        <v>412</v>
      </c>
      <c r="G53" s="802" t="s">
        <v>413</v>
      </c>
      <c r="H53" s="802" t="s">
        <v>414</v>
      </c>
      <c r="I53" s="226" t="s">
        <v>111</v>
      </c>
      <c r="J53" s="815" t="s">
        <v>44</v>
      </c>
      <c r="K53" s="792">
        <v>24690</v>
      </c>
      <c r="L53" s="792">
        <v>39200</v>
      </c>
      <c r="M53" s="26">
        <v>12080</v>
      </c>
      <c r="N53" s="815">
        <f>15500-N54-N55</f>
        <v>13070</v>
      </c>
      <c r="O53" s="815">
        <v>21</v>
      </c>
      <c r="P53" s="796">
        <f>N53-O53</f>
        <v>13049</v>
      </c>
      <c r="Q53" s="818">
        <v>18800</v>
      </c>
      <c r="R53" s="818">
        <f t="shared" si="14"/>
        <v>245321200</v>
      </c>
      <c r="S53" s="545" t="str">
        <f t="shared" ref="S53:S55" si="24">S52</f>
        <v>출고</v>
      </c>
      <c r="T53" s="332"/>
    </row>
    <row r="54" spans="1:20" s="388" customFormat="1" ht="22.5" customHeight="1">
      <c r="A54" s="538">
        <f t="shared" si="8"/>
        <v>50</v>
      </c>
      <c r="B54" s="802">
        <v>46154</v>
      </c>
      <c r="C54" s="792" t="s">
        <v>264</v>
      </c>
      <c r="D54" s="802" t="s">
        <v>262</v>
      </c>
      <c r="E54" s="802"/>
      <c r="F54" s="802" t="s">
        <v>412</v>
      </c>
      <c r="G54" s="802" t="s">
        <v>413</v>
      </c>
      <c r="H54" s="802" t="s">
        <v>414</v>
      </c>
      <c r="I54" s="226" t="s">
        <v>111</v>
      </c>
      <c r="J54" s="815" t="s">
        <v>44</v>
      </c>
      <c r="K54" s="792"/>
      <c r="L54" s="792"/>
      <c r="M54" s="26">
        <v>2150</v>
      </c>
      <c r="N54" s="815">
        <v>2150</v>
      </c>
      <c r="O54" s="815"/>
      <c r="P54" s="796">
        <v>2150</v>
      </c>
      <c r="Q54" s="818">
        <v>18800</v>
      </c>
      <c r="R54" s="818">
        <f t="shared" si="14"/>
        <v>40420000</v>
      </c>
      <c r="S54" s="545" t="str">
        <f t="shared" si="24"/>
        <v>출고</v>
      </c>
      <c r="T54" s="332"/>
    </row>
    <row r="55" spans="1:20" s="388" customFormat="1" ht="22.5" customHeight="1">
      <c r="A55" s="541">
        <f t="shared" si="8"/>
        <v>51</v>
      </c>
      <c r="B55" s="806">
        <v>46154</v>
      </c>
      <c r="C55" s="793" t="s">
        <v>344</v>
      </c>
      <c r="D55" s="806" t="s">
        <v>262</v>
      </c>
      <c r="E55" s="806" t="s">
        <v>261</v>
      </c>
      <c r="F55" s="806" t="s">
        <v>412</v>
      </c>
      <c r="G55" s="806" t="s">
        <v>413</v>
      </c>
      <c r="H55" s="806" t="s">
        <v>414</v>
      </c>
      <c r="I55" s="502" t="s">
        <v>111</v>
      </c>
      <c r="J55" s="801" t="s">
        <v>44</v>
      </c>
      <c r="K55" s="793"/>
      <c r="L55" s="793"/>
      <c r="M55" s="28">
        <v>280</v>
      </c>
      <c r="N55" s="801">
        <v>280</v>
      </c>
      <c r="O55" s="801"/>
      <c r="P55" s="814">
        <v>280</v>
      </c>
      <c r="Q55" s="819">
        <v>18800</v>
      </c>
      <c r="R55" s="819">
        <f t="shared" si="14"/>
        <v>5264000</v>
      </c>
      <c r="S55" s="556" t="str">
        <f t="shared" si="24"/>
        <v>출고</v>
      </c>
      <c r="T55" s="332"/>
    </row>
    <row r="56" spans="1:20" s="388" customFormat="1" ht="22.5" customHeight="1">
      <c r="A56" s="541">
        <f t="shared" si="8"/>
        <v>52</v>
      </c>
      <c r="B56" s="87">
        <v>46154</v>
      </c>
      <c r="C56" s="90" t="s">
        <v>264</v>
      </c>
      <c r="D56" s="87" t="s">
        <v>262</v>
      </c>
      <c r="E56" s="87" t="s">
        <v>261</v>
      </c>
      <c r="F56" s="87" t="s">
        <v>416</v>
      </c>
      <c r="G56" s="87" t="s">
        <v>417</v>
      </c>
      <c r="H56" s="87" t="s">
        <v>418</v>
      </c>
      <c r="I56" s="88" t="s">
        <v>111</v>
      </c>
      <c r="J56" s="89" t="s">
        <v>189</v>
      </c>
      <c r="K56" s="90">
        <v>18160</v>
      </c>
      <c r="L56" s="90">
        <v>42940</v>
      </c>
      <c r="M56" s="91">
        <v>24780</v>
      </c>
      <c r="N56" s="89">
        <v>24960</v>
      </c>
      <c r="O56" s="89"/>
      <c r="P56" s="145">
        <v>24780</v>
      </c>
      <c r="Q56" s="146">
        <f>18000*0.47-500</f>
        <v>7960</v>
      </c>
      <c r="R56" s="146">
        <f t="shared" si="14"/>
        <v>197248800</v>
      </c>
      <c r="S56" s="508" t="s">
        <v>5</v>
      </c>
      <c r="T56" s="332"/>
    </row>
    <row r="57" spans="1:20" s="388" customFormat="1" ht="22.5" customHeight="1">
      <c r="A57" s="537">
        <f t="shared" si="8"/>
        <v>53</v>
      </c>
      <c r="B57" s="804">
        <v>46154</v>
      </c>
      <c r="C57" s="794" t="s">
        <v>242</v>
      </c>
      <c r="D57" s="804" t="s">
        <v>262</v>
      </c>
      <c r="E57" s="804" t="s">
        <v>263</v>
      </c>
      <c r="F57" s="804" t="s">
        <v>164</v>
      </c>
      <c r="G57" s="804" t="s">
        <v>111</v>
      </c>
      <c r="H57" s="804"/>
      <c r="I57" s="83" t="s">
        <v>111</v>
      </c>
      <c r="J57" s="810" t="s">
        <v>464</v>
      </c>
      <c r="K57" s="794">
        <v>12900</v>
      </c>
      <c r="L57" s="794">
        <v>16640</v>
      </c>
      <c r="M57" s="462">
        <v>1500</v>
      </c>
      <c r="N57" s="810">
        <v>1500</v>
      </c>
      <c r="O57" s="810"/>
      <c r="P57" s="811">
        <v>1500</v>
      </c>
      <c r="Q57" s="817">
        <f>18000*0.47-500</f>
        <v>7960</v>
      </c>
      <c r="R57" s="817">
        <f t="shared" si="14"/>
        <v>11940000</v>
      </c>
      <c r="S57" s="555" t="s">
        <v>5</v>
      </c>
      <c r="T57" s="332"/>
    </row>
    <row r="58" spans="1:20" s="388" customFormat="1" ht="22.5" customHeight="1">
      <c r="A58" s="537">
        <f t="shared" si="8"/>
        <v>54</v>
      </c>
      <c r="B58" s="802">
        <v>46154</v>
      </c>
      <c r="C58" s="792" t="s">
        <v>264</v>
      </c>
      <c r="D58" s="802" t="s">
        <v>262</v>
      </c>
      <c r="E58" s="802" t="s">
        <v>263</v>
      </c>
      <c r="F58" s="802" t="s">
        <v>164</v>
      </c>
      <c r="G58" s="802" t="s">
        <v>111</v>
      </c>
      <c r="H58" s="802"/>
      <c r="I58" s="226" t="s">
        <v>111</v>
      </c>
      <c r="J58" s="815" t="s">
        <v>464</v>
      </c>
      <c r="K58" s="792"/>
      <c r="L58" s="792"/>
      <c r="M58" s="26">
        <v>1230</v>
      </c>
      <c r="N58" s="815">
        <v>1250</v>
      </c>
      <c r="O58" s="815"/>
      <c r="P58" s="796">
        <v>1230</v>
      </c>
      <c r="Q58" s="818">
        <f>18000*0.47-500</f>
        <v>7960</v>
      </c>
      <c r="R58" s="818">
        <f t="shared" si="14"/>
        <v>9790800</v>
      </c>
      <c r="S58" s="545" t="str">
        <f t="shared" ref="S58:S62" si="25">S57</f>
        <v>출고</v>
      </c>
      <c r="T58" s="332"/>
    </row>
    <row r="59" spans="1:20" s="388" customFormat="1" ht="22.5" customHeight="1">
      <c r="A59" s="538">
        <f t="shared" si="8"/>
        <v>55</v>
      </c>
      <c r="B59" s="802">
        <v>46154</v>
      </c>
      <c r="C59" s="792" t="s">
        <v>305</v>
      </c>
      <c r="D59" s="802" t="s">
        <v>262</v>
      </c>
      <c r="E59" s="802" t="s">
        <v>263</v>
      </c>
      <c r="F59" s="802" t="s">
        <v>164</v>
      </c>
      <c r="G59" s="802" t="s">
        <v>111</v>
      </c>
      <c r="H59" s="802"/>
      <c r="I59" s="226" t="s">
        <v>111</v>
      </c>
      <c r="J59" s="815" t="s">
        <v>464</v>
      </c>
      <c r="K59" s="792"/>
      <c r="L59" s="792"/>
      <c r="M59" s="26">
        <v>1010</v>
      </c>
      <c r="N59" s="815">
        <v>1010</v>
      </c>
      <c r="O59" s="815"/>
      <c r="P59" s="796">
        <v>1010</v>
      </c>
      <c r="Q59" s="818">
        <f t="shared" ref="Q59:Q60" si="26">18000*0.47-500</f>
        <v>7960</v>
      </c>
      <c r="R59" s="818">
        <f t="shared" si="14"/>
        <v>8039600</v>
      </c>
      <c r="S59" s="545" t="str">
        <f t="shared" si="25"/>
        <v>출고</v>
      </c>
      <c r="T59" s="332"/>
    </row>
    <row r="60" spans="1:20" s="388" customFormat="1" ht="22.5" customHeight="1">
      <c r="A60" s="538">
        <f t="shared" si="8"/>
        <v>56</v>
      </c>
      <c r="B60" s="802">
        <v>46154</v>
      </c>
      <c r="C60" s="792" t="s">
        <v>242</v>
      </c>
      <c r="D60" s="802" t="s">
        <v>262</v>
      </c>
      <c r="E60" s="802" t="s">
        <v>263</v>
      </c>
      <c r="F60" s="802" t="s">
        <v>164</v>
      </c>
      <c r="G60" s="802" t="s">
        <v>111</v>
      </c>
      <c r="H60" s="802"/>
      <c r="I60" s="226" t="s">
        <v>111</v>
      </c>
      <c r="J60" s="815" t="s">
        <v>464</v>
      </c>
      <c r="K60" s="792">
        <v>16640</v>
      </c>
      <c r="L60" s="792">
        <v>22260</v>
      </c>
      <c r="M60" s="26">
        <v>5620</v>
      </c>
      <c r="N60" s="815">
        <v>5620</v>
      </c>
      <c r="O60" s="815"/>
      <c r="P60" s="796">
        <v>5620</v>
      </c>
      <c r="Q60" s="818">
        <f t="shared" si="26"/>
        <v>7960</v>
      </c>
      <c r="R60" s="818">
        <f t="shared" si="14"/>
        <v>44735200</v>
      </c>
      <c r="S60" s="545" t="str">
        <f t="shared" si="25"/>
        <v>출고</v>
      </c>
      <c r="T60" s="332"/>
    </row>
    <row r="61" spans="1:20" s="388" customFormat="1" ht="22.5" customHeight="1">
      <c r="A61" s="538">
        <f t="shared" si="8"/>
        <v>57</v>
      </c>
      <c r="B61" s="802">
        <v>46154</v>
      </c>
      <c r="C61" s="792" t="s">
        <v>305</v>
      </c>
      <c r="D61" s="802" t="s">
        <v>262</v>
      </c>
      <c r="E61" s="802" t="s">
        <v>263</v>
      </c>
      <c r="F61" s="802" t="s">
        <v>164</v>
      </c>
      <c r="G61" s="802" t="s">
        <v>111</v>
      </c>
      <c r="H61" s="802"/>
      <c r="I61" s="226" t="s">
        <v>111</v>
      </c>
      <c r="J61" s="815" t="s">
        <v>465</v>
      </c>
      <c r="K61" s="792">
        <v>22260</v>
      </c>
      <c r="L61" s="792">
        <v>23590</v>
      </c>
      <c r="M61" s="26">
        <v>660</v>
      </c>
      <c r="N61" s="815">
        <v>660</v>
      </c>
      <c r="O61" s="815">
        <v>6</v>
      </c>
      <c r="P61" s="796">
        <v>654</v>
      </c>
      <c r="Q61" s="818">
        <f>19600*0.65-400</f>
        <v>12340</v>
      </c>
      <c r="R61" s="818">
        <f t="shared" si="14"/>
        <v>8070360</v>
      </c>
      <c r="S61" s="545" t="str">
        <f t="shared" si="25"/>
        <v>출고</v>
      </c>
      <c r="T61" s="332"/>
    </row>
    <row r="62" spans="1:20" s="388" customFormat="1" ht="22.5" customHeight="1">
      <c r="A62" s="541">
        <f t="shared" si="8"/>
        <v>58</v>
      </c>
      <c r="B62" s="806">
        <v>46154</v>
      </c>
      <c r="C62" s="793" t="s">
        <v>264</v>
      </c>
      <c r="D62" s="806" t="s">
        <v>262</v>
      </c>
      <c r="E62" s="806" t="s">
        <v>263</v>
      </c>
      <c r="F62" s="806" t="s">
        <v>164</v>
      </c>
      <c r="G62" s="806" t="s">
        <v>111</v>
      </c>
      <c r="H62" s="806"/>
      <c r="I62" s="502" t="s">
        <v>111</v>
      </c>
      <c r="J62" s="815" t="s">
        <v>465</v>
      </c>
      <c r="K62" s="793"/>
      <c r="L62" s="793"/>
      <c r="M62" s="28">
        <v>670</v>
      </c>
      <c r="N62" s="801">
        <v>670</v>
      </c>
      <c r="O62" s="801">
        <v>21</v>
      </c>
      <c r="P62" s="814">
        <v>649</v>
      </c>
      <c r="Q62" s="818">
        <f>19600*0.65-400</f>
        <v>12340</v>
      </c>
      <c r="R62" s="819">
        <f t="shared" si="14"/>
        <v>8008660</v>
      </c>
      <c r="S62" s="556" t="str">
        <f t="shared" si="25"/>
        <v>출고</v>
      </c>
      <c r="T62" s="332"/>
    </row>
    <row r="63" spans="1:20" s="388" customFormat="1" ht="22.5" customHeight="1">
      <c r="A63" s="611">
        <f t="shared" ref="A63:A134" si="27">ROW()-4</f>
        <v>59</v>
      </c>
      <c r="B63" s="280">
        <v>46155</v>
      </c>
      <c r="C63" s="284" t="s">
        <v>264</v>
      </c>
      <c r="D63" s="280" t="s">
        <v>184</v>
      </c>
      <c r="E63" s="282" t="s">
        <v>182</v>
      </c>
      <c r="F63" s="280" t="s">
        <v>444</v>
      </c>
      <c r="G63" s="281"/>
      <c r="H63" s="281"/>
      <c r="I63" s="282" t="s">
        <v>445</v>
      </c>
      <c r="J63" s="281" t="s">
        <v>446</v>
      </c>
      <c r="K63" s="284">
        <v>7930</v>
      </c>
      <c r="L63" s="284">
        <v>14670</v>
      </c>
      <c r="M63" s="283">
        <v>-6740</v>
      </c>
      <c r="N63" s="283"/>
      <c r="O63" s="283"/>
      <c r="P63" s="283">
        <v>-6740</v>
      </c>
      <c r="Q63" s="286"/>
      <c r="R63" s="283">
        <v>-1250000</v>
      </c>
      <c r="S63" s="283" t="s">
        <v>447</v>
      </c>
      <c r="T63" s="332"/>
    </row>
    <row r="64" spans="1:20" s="388" customFormat="1" ht="22.5" customHeight="1">
      <c r="A64" s="612">
        <f t="shared" si="27"/>
        <v>60</v>
      </c>
      <c r="B64" s="805">
        <v>46155</v>
      </c>
      <c r="C64" s="826" t="s">
        <v>173</v>
      </c>
      <c r="D64" s="826" t="s">
        <v>262</v>
      </c>
      <c r="E64" s="805" t="s">
        <v>436</v>
      </c>
      <c r="F64" s="805" t="s">
        <v>437</v>
      </c>
      <c r="G64" s="805" t="s">
        <v>289</v>
      </c>
      <c r="H64" s="805" t="s">
        <v>290</v>
      </c>
      <c r="I64" s="501" t="s">
        <v>37</v>
      </c>
      <c r="J64" s="797" t="s">
        <v>438</v>
      </c>
      <c r="K64" s="791">
        <v>2140</v>
      </c>
      <c r="L64" s="791">
        <v>2730</v>
      </c>
      <c r="M64" s="23">
        <v>590</v>
      </c>
      <c r="N64" s="837">
        <v>563.5</v>
      </c>
      <c r="O64" s="320">
        <v>3</v>
      </c>
      <c r="P64" s="837">
        <f>N64-O64</f>
        <v>560.5</v>
      </c>
      <c r="Q64" s="799">
        <v>13000</v>
      </c>
      <c r="R64" s="799">
        <f>P64*Q64</f>
        <v>7286500</v>
      </c>
      <c r="S64" s="784" t="s">
        <v>5</v>
      </c>
      <c r="T64" s="332"/>
    </row>
    <row r="65" spans="1:20" s="388" customFormat="1" ht="22.5" customHeight="1">
      <c r="A65" s="617">
        <f t="shared" si="27"/>
        <v>61</v>
      </c>
      <c r="B65" s="802">
        <v>46155</v>
      </c>
      <c r="C65" s="816" t="s">
        <v>337</v>
      </c>
      <c r="D65" s="816" t="s">
        <v>262</v>
      </c>
      <c r="E65" s="802" t="s">
        <v>436</v>
      </c>
      <c r="F65" s="802" t="s">
        <v>437</v>
      </c>
      <c r="G65" s="802" t="s">
        <v>289</v>
      </c>
      <c r="H65" s="802" t="s">
        <v>290</v>
      </c>
      <c r="I65" s="226" t="s">
        <v>37</v>
      </c>
      <c r="J65" s="815" t="s">
        <v>508</v>
      </c>
      <c r="K65" s="792">
        <v>2730</v>
      </c>
      <c r="L65" s="792">
        <v>3050</v>
      </c>
      <c r="M65" s="26">
        <v>320</v>
      </c>
      <c r="N65" s="838">
        <v>125.5</v>
      </c>
      <c r="O65" s="796"/>
      <c r="P65" s="839">
        <f>N65-O65</f>
        <v>125.5</v>
      </c>
      <c r="Q65" s="795">
        <v>18000</v>
      </c>
      <c r="R65" s="795">
        <f>P65*Q65</f>
        <v>2259000</v>
      </c>
      <c r="S65" s="785" t="s">
        <v>190</v>
      </c>
      <c r="T65" s="332"/>
    </row>
    <row r="66" spans="1:20" s="388" customFormat="1" ht="22.5" customHeight="1">
      <c r="A66" s="615">
        <f>ROW()-4</f>
        <v>62</v>
      </c>
      <c r="B66" s="802">
        <v>46155</v>
      </c>
      <c r="C66" s="816" t="s">
        <v>337</v>
      </c>
      <c r="D66" s="816" t="s">
        <v>262</v>
      </c>
      <c r="E66" s="802" t="s">
        <v>436</v>
      </c>
      <c r="F66" s="802" t="s">
        <v>437</v>
      </c>
      <c r="G66" s="802" t="s">
        <v>289</v>
      </c>
      <c r="H66" s="802" t="s">
        <v>290</v>
      </c>
      <c r="I66" s="226" t="s">
        <v>37</v>
      </c>
      <c r="J66" s="798" t="s">
        <v>35</v>
      </c>
      <c r="K66" s="790"/>
      <c r="L66" s="790"/>
      <c r="M66" s="461"/>
      <c r="N66" s="839">
        <v>185.5</v>
      </c>
      <c r="O66" s="812"/>
      <c r="P66" s="839">
        <f>N66-O66</f>
        <v>185.5</v>
      </c>
      <c r="Q66" s="800">
        <v>1900</v>
      </c>
      <c r="R66" s="795">
        <f t="shared" ref="R66:R67" si="28">P66*Q66</f>
        <v>352450</v>
      </c>
      <c r="S66" s="785" t="s">
        <v>190</v>
      </c>
      <c r="T66" s="332"/>
    </row>
    <row r="67" spans="1:20" s="388" customFormat="1" ht="22.5" customHeight="1">
      <c r="A67" s="615">
        <f t="shared" si="27"/>
        <v>63</v>
      </c>
      <c r="B67" s="803">
        <v>46155</v>
      </c>
      <c r="C67" s="820" t="s">
        <v>264</v>
      </c>
      <c r="D67" s="820" t="s">
        <v>262</v>
      </c>
      <c r="E67" s="803" t="s">
        <v>436</v>
      </c>
      <c r="F67" s="803" t="s">
        <v>437</v>
      </c>
      <c r="G67" s="803" t="s">
        <v>289</v>
      </c>
      <c r="H67" s="803" t="s">
        <v>290</v>
      </c>
      <c r="I67" s="480" t="s">
        <v>37</v>
      </c>
      <c r="J67" s="798" t="s">
        <v>509</v>
      </c>
      <c r="K67" s="790">
        <v>3050</v>
      </c>
      <c r="L67" s="790">
        <v>3170</v>
      </c>
      <c r="M67" s="28">
        <v>120</v>
      </c>
      <c r="N67" s="839">
        <v>114</v>
      </c>
      <c r="O67" s="812">
        <v>3</v>
      </c>
      <c r="P67" s="839">
        <f>N67-O67</f>
        <v>111</v>
      </c>
      <c r="Q67" s="800">
        <v>50000</v>
      </c>
      <c r="R67" s="800">
        <f t="shared" si="28"/>
        <v>5550000</v>
      </c>
      <c r="S67" s="785" t="s">
        <v>190</v>
      </c>
      <c r="T67" s="332"/>
    </row>
    <row r="68" spans="1:20" s="388" customFormat="1" ht="22.5" customHeight="1">
      <c r="A68" s="612">
        <f t="shared" si="27"/>
        <v>64</v>
      </c>
      <c r="B68" s="601">
        <v>46155</v>
      </c>
      <c r="C68" s="599" t="s">
        <v>264</v>
      </c>
      <c r="D68" s="601" t="s">
        <v>6</v>
      </c>
      <c r="E68" s="138" t="s">
        <v>261</v>
      </c>
      <c r="F68" s="603" t="s">
        <v>441</v>
      </c>
      <c r="G68" s="603"/>
      <c r="H68" s="603"/>
      <c r="I68" s="584" t="s">
        <v>112</v>
      </c>
      <c r="J68" s="603" t="s">
        <v>272</v>
      </c>
      <c r="K68" s="599">
        <v>18700</v>
      </c>
      <c r="L68" s="599">
        <v>42920</v>
      </c>
      <c r="M68" s="249">
        <v>24220</v>
      </c>
      <c r="N68" s="320">
        <v>24130</v>
      </c>
      <c r="O68" s="320"/>
      <c r="P68" s="320">
        <f>M68</f>
        <v>24220</v>
      </c>
      <c r="Q68" s="137">
        <v>480</v>
      </c>
      <c r="R68" s="137">
        <f t="shared" ref="R68:R116" si="29">Q68*P68</f>
        <v>11625600</v>
      </c>
      <c r="S68" s="584" t="s">
        <v>5</v>
      </c>
      <c r="T68" s="332"/>
    </row>
    <row r="69" spans="1:20" s="388" customFormat="1" ht="22.5" customHeight="1">
      <c r="A69" s="617">
        <f t="shared" si="27"/>
        <v>65</v>
      </c>
      <c r="B69" s="595">
        <v>46155</v>
      </c>
      <c r="C69" s="600" t="s">
        <v>264</v>
      </c>
      <c r="D69" s="595" t="s">
        <v>6</v>
      </c>
      <c r="E69" s="128" t="s">
        <v>261</v>
      </c>
      <c r="F69" s="596" t="s">
        <v>325</v>
      </c>
      <c r="G69" s="596"/>
      <c r="H69" s="596"/>
      <c r="I69" s="583" t="s">
        <v>112</v>
      </c>
      <c r="J69" s="596" t="s">
        <v>272</v>
      </c>
      <c r="K69" s="600">
        <v>18520</v>
      </c>
      <c r="L69" s="600">
        <v>43200</v>
      </c>
      <c r="M69" s="250">
        <v>24680</v>
      </c>
      <c r="N69" s="587">
        <v>24570</v>
      </c>
      <c r="O69" s="587"/>
      <c r="P69" s="587">
        <f t="shared" ref="P69:P77" si="30">M69</f>
        <v>24680</v>
      </c>
      <c r="Q69" s="597">
        <v>480</v>
      </c>
      <c r="R69" s="597">
        <f t="shared" si="29"/>
        <v>11846400</v>
      </c>
      <c r="S69" s="583" t="s">
        <v>5</v>
      </c>
      <c r="T69" s="332"/>
    </row>
    <row r="70" spans="1:20" s="388" customFormat="1" ht="22.5" customHeight="1">
      <c r="A70" s="617">
        <f t="shared" si="27"/>
        <v>66</v>
      </c>
      <c r="B70" s="595">
        <v>46155</v>
      </c>
      <c r="C70" s="600" t="s">
        <v>264</v>
      </c>
      <c r="D70" s="595" t="s">
        <v>6</v>
      </c>
      <c r="E70" s="128" t="s">
        <v>261</v>
      </c>
      <c r="F70" s="596" t="s">
        <v>326</v>
      </c>
      <c r="G70" s="596"/>
      <c r="H70" s="596"/>
      <c r="I70" s="583" t="s">
        <v>112</v>
      </c>
      <c r="J70" s="596" t="s">
        <v>272</v>
      </c>
      <c r="K70" s="600">
        <v>18140</v>
      </c>
      <c r="L70" s="600">
        <v>43960</v>
      </c>
      <c r="M70" s="250">
        <v>25820</v>
      </c>
      <c r="N70" s="587">
        <v>25720</v>
      </c>
      <c r="O70" s="587"/>
      <c r="P70" s="587">
        <f t="shared" si="30"/>
        <v>25820</v>
      </c>
      <c r="Q70" s="597">
        <v>480</v>
      </c>
      <c r="R70" s="597">
        <f t="shared" si="29"/>
        <v>12393600</v>
      </c>
      <c r="S70" s="583" t="s">
        <v>5</v>
      </c>
      <c r="T70" s="332"/>
    </row>
    <row r="71" spans="1:20" s="388" customFormat="1" ht="22.5" customHeight="1">
      <c r="A71" s="617">
        <f t="shared" si="27"/>
        <v>67</v>
      </c>
      <c r="B71" s="595">
        <v>46155</v>
      </c>
      <c r="C71" s="600" t="s">
        <v>264</v>
      </c>
      <c r="D71" s="595" t="s">
        <v>6</v>
      </c>
      <c r="E71" s="128" t="s">
        <v>261</v>
      </c>
      <c r="F71" s="596" t="s">
        <v>323</v>
      </c>
      <c r="G71" s="596"/>
      <c r="H71" s="596"/>
      <c r="I71" s="583" t="s">
        <v>112</v>
      </c>
      <c r="J71" s="596" t="s">
        <v>272</v>
      </c>
      <c r="K71" s="600">
        <v>18460</v>
      </c>
      <c r="L71" s="600">
        <v>43520</v>
      </c>
      <c r="M71" s="250">
        <v>25060</v>
      </c>
      <c r="N71" s="587">
        <v>24960</v>
      </c>
      <c r="O71" s="587"/>
      <c r="P71" s="587">
        <f t="shared" si="30"/>
        <v>25060</v>
      </c>
      <c r="Q71" s="597">
        <v>480</v>
      </c>
      <c r="R71" s="597">
        <f t="shared" si="29"/>
        <v>12028800</v>
      </c>
      <c r="S71" s="583" t="s">
        <v>5</v>
      </c>
      <c r="T71" s="332"/>
    </row>
    <row r="72" spans="1:20" s="388" customFormat="1" ht="22.5" customHeight="1">
      <c r="A72" s="617">
        <f t="shared" si="27"/>
        <v>68</v>
      </c>
      <c r="B72" s="595">
        <v>46155</v>
      </c>
      <c r="C72" s="600" t="s">
        <v>264</v>
      </c>
      <c r="D72" s="595" t="s">
        <v>6</v>
      </c>
      <c r="E72" s="128" t="s">
        <v>261</v>
      </c>
      <c r="F72" s="596" t="s">
        <v>333</v>
      </c>
      <c r="G72" s="596"/>
      <c r="H72" s="596"/>
      <c r="I72" s="583" t="s">
        <v>112</v>
      </c>
      <c r="J72" s="596" t="s">
        <v>272</v>
      </c>
      <c r="K72" s="600">
        <v>17940</v>
      </c>
      <c r="L72" s="600">
        <v>43200</v>
      </c>
      <c r="M72" s="250">
        <v>25260</v>
      </c>
      <c r="N72" s="587">
        <v>25150</v>
      </c>
      <c r="O72" s="587"/>
      <c r="P72" s="587">
        <f t="shared" si="30"/>
        <v>25260</v>
      </c>
      <c r="Q72" s="597">
        <v>480</v>
      </c>
      <c r="R72" s="597">
        <f t="shared" si="29"/>
        <v>12124800</v>
      </c>
      <c r="S72" s="583" t="s">
        <v>5</v>
      </c>
      <c r="T72" s="332"/>
    </row>
    <row r="73" spans="1:20" s="388" customFormat="1" ht="22.5" customHeight="1">
      <c r="A73" s="617">
        <f t="shared" si="27"/>
        <v>69</v>
      </c>
      <c r="B73" s="595">
        <v>46155</v>
      </c>
      <c r="C73" s="600" t="s">
        <v>264</v>
      </c>
      <c r="D73" s="595" t="s">
        <v>6</v>
      </c>
      <c r="E73" s="128" t="s">
        <v>261</v>
      </c>
      <c r="F73" s="596" t="s">
        <v>158</v>
      </c>
      <c r="G73" s="596" t="s">
        <v>442</v>
      </c>
      <c r="H73" s="596" t="s">
        <v>443</v>
      </c>
      <c r="I73" s="583" t="s">
        <v>112</v>
      </c>
      <c r="J73" s="596" t="s">
        <v>272</v>
      </c>
      <c r="K73" s="600">
        <v>18540</v>
      </c>
      <c r="L73" s="600">
        <v>42920</v>
      </c>
      <c r="M73" s="250">
        <v>24380</v>
      </c>
      <c r="N73" s="587">
        <v>24370</v>
      </c>
      <c r="O73" s="587"/>
      <c r="P73" s="587">
        <f t="shared" si="30"/>
        <v>24380</v>
      </c>
      <c r="Q73" s="597">
        <v>480</v>
      </c>
      <c r="R73" s="597">
        <f t="shared" si="29"/>
        <v>11702400</v>
      </c>
      <c r="S73" s="583" t="s">
        <v>5</v>
      </c>
      <c r="T73" s="332"/>
    </row>
    <row r="74" spans="1:20" s="388" customFormat="1" ht="22.5" customHeight="1">
      <c r="A74" s="617">
        <f t="shared" si="27"/>
        <v>70</v>
      </c>
      <c r="B74" s="595">
        <v>46155</v>
      </c>
      <c r="C74" s="600" t="s">
        <v>264</v>
      </c>
      <c r="D74" s="595" t="s">
        <v>6</v>
      </c>
      <c r="E74" s="128" t="s">
        <v>261</v>
      </c>
      <c r="F74" s="596" t="s">
        <v>324</v>
      </c>
      <c r="G74" s="596"/>
      <c r="H74" s="596"/>
      <c r="I74" s="583" t="s">
        <v>112</v>
      </c>
      <c r="J74" s="596" t="s">
        <v>272</v>
      </c>
      <c r="K74" s="600">
        <v>18300</v>
      </c>
      <c r="L74" s="600">
        <v>42760</v>
      </c>
      <c r="M74" s="250">
        <v>24460</v>
      </c>
      <c r="N74" s="587">
        <v>24400</v>
      </c>
      <c r="O74" s="587"/>
      <c r="P74" s="587">
        <f t="shared" si="30"/>
        <v>24460</v>
      </c>
      <c r="Q74" s="597">
        <v>480</v>
      </c>
      <c r="R74" s="597">
        <f t="shared" si="29"/>
        <v>11740800</v>
      </c>
      <c r="S74" s="583" t="s">
        <v>5</v>
      </c>
      <c r="T74" s="332"/>
    </row>
    <row r="75" spans="1:20" s="388" customFormat="1" ht="22.5" customHeight="1">
      <c r="A75" s="617">
        <f t="shared" si="27"/>
        <v>71</v>
      </c>
      <c r="B75" s="595">
        <v>46155</v>
      </c>
      <c r="C75" s="600" t="s">
        <v>264</v>
      </c>
      <c r="D75" s="595" t="s">
        <v>6</v>
      </c>
      <c r="E75" s="128" t="s">
        <v>261</v>
      </c>
      <c r="F75" s="596" t="s">
        <v>441</v>
      </c>
      <c r="G75" s="596"/>
      <c r="H75" s="596"/>
      <c r="I75" s="583" t="s">
        <v>112</v>
      </c>
      <c r="J75" s="596" t="s">
        <v>272</v>
      </c>
      <c r="K75" s="600">
        <v>18580</v>
      </c>
      <c r="L75" s="600">
        <v>42660</v>
      </c>
      <c r="M75" s="250">
        <v>24080</v>
      </c>
      <c r="N75" s="587">
        <v>23900</v>
      </c>
      <c r="O75" s="587"/>
      <c r="P75" s="587">
        <f t="shared" si="30"/>
        <v>24080</v>
      </c>
      <c r="Q75" s="597">
        <v>480</v>
      </c>
      <c r="R75" s="597">
        <f t="shared" si="29"/>
        <v>11558400</v>
      </c>
      <c r="S75" s="583" t="s">
        <v>5</v>
      </c>
      <c r="T75" s="332"/>
    </row>
    <row r="76" spans="1:20" s="388" customFormat="1" ht="22.5" customHeight="1">
      <c r="A76" s="617">
        <f t="shared" si="27"/>
        <v>72</v>
      </c>
      <c r="B76" s="595">
        <v>46155</v>
      </c>
      <c r="C76" s="600" t="s">
        <v>264</v>
      </c>
      <c r="D76" s="595" t="s">
        <v>6</v>
      </c>
      <c r="E76" s="128" t="s">
        <v>261</v>
      </c>
      <c r="F76" s="596" t="s">
        <v>325</v>
      </c>
      <c r="G76" s="596"/>
      <c r="H76" s="596"/>
      <c r="I76" s="583" t="s">
        <v>112</v>
      </c>
      <c r="J76" s="596" t="s">
        <v>272</v>
      </c>
      <c r="K76" s="600">
        <v>18360</v>
      </c>
      <c r="L76" s="600">
        <v>43320</v>
      </c>
      <c r="M76" s="250">
        <v>24960</v>
      </c>
      <c r="N76" s="587">
        <v>24940</v>
      </c>
      <c r="O76" s="587"/>
      <c r="P76" s="587">
        <f t="shared" si="30"/>
        <v>24960</v>
      </c>
      <c r="Q76" s="597">
        <v>480</v>
      </c>
      <c r="R76" s="597">
        <f t="shared" si="29"/>
        <v>11980800</v>
      </c>
      <c r="S76" s="583" t="s">
        <v>5</v>
      </c>
      <c r="T76" s="332"/>
    </row>
    <row r="77" spans="1:20" s="388" customFormat="1" ht="22.5" customHeight="1">
      <c r="A77" s="618">
        <f t="shared" si="27"/>
        <v>73</v>
      </c>
      <c r="B77" s="602">
        <v>46155</v>
      </c>
      <c r="C77" s="202" t="s">
        <v>264</v>
      </c>
      <c r="D77" s="602" t="s">
        <v>6</v>
      </c>
      <c r="E77" s="129" t="s">
        <v>261</v>
      </c>
      <c r="F77" s="604" t="s">
        <v>332</v>
      </c>
      <c r="G77" s="604"/>
      <c r="H77" s="604"/>
      <c r="I77" s="585" t="s">
        <v>112</v>
      </c>
      <c r="J77" s="604" t="s">
        <v>272</v>
      </c>
      <c r="K77" s="202">
        <v>18500</v>
      </c>
      <c r="L77" s="202">
        <v>42880</v>
      </c>
      <c r="M77" s="257">
        <v>24380</v>
      </c>
      <c r="N77" s="588">
        <v>24240</v>
      </c>
      <c r="O77" s="588"/>
      <c r="P77" s="588">
        <f t="shared" si="30"/>
        <v>24380</v>
      </c>
      <c r="Q77" s="598">
        <v>480</v>
      </c>
      <c r="R77" s="598">
        <f t="shared" si="29"/>
        <v>11702400</v>
      </c>
      <c r="S77" s="585" t="s">
        <v>5</v>
      </c>
      <c r="T77" s="332"/>
    </row>
    <row r="78" spans="1:20" s="388" customFormat="1" ht="22.5" customHeight="1">
      <c r="A78" s="612">
        <f t="shared" si="27"/>
        <v>74</v>
      </c>
      <c r="B78" s="663">
        <v>46156</v>
      </c>
      <c r="C78" s="791" t="s">
        <v>264</v>
      </c>
      <c r="D78" s="805" t="s">
        <v>262</v>
      </c>
      <c r="E78" s="805" t="s">
        <v>263</v>
      </c>
      <c r="F78" s="805" t="s">
        <v>164</v>
      </c>
      <c r="G78" s="805" t="s">
        <v>111</v>
      </c>
      <c r="H78" s="805"/>
      <c r="I78" s="501" t="s">
        <v>111</v>
      </c>
      <c r="J78" s="797" t="s">
        <v>460</v>
      </c>
      <c r="K78" s="791">
        <v>12920</v>
      </c>
      <c r="L78" s="791">
        <v>22270</v>
      </c>
      <c r="M78" s="23">
        <v>5610</v>
      </c>
      <c r="N78" s="797">
        <v>5610</v>
      </c>
      <c r="O78" s="797">
        <v>21</v>
      </c>
      <c r="P78" s="320">
        <v>5589</v>
      </c>
      <c r="Q78" s="137">
        <v>3700</v>
      </c>
      <c r="R78" s="817">
        <f t="shared" si="29"/>
        <v>20679300</v>
      </c>
      <c r="S78" s="643" t="s">
        <v>5</v>
      </c>
      <c r="T78" s="332"/>
    </row>
    <row r="79" spans="1:20" s="388" customFormat="1" ht="22.5" customHeight="1">
      <c r="A79" s="617">
        <f t="shared" si="27"/>
        <v>75</v>
      </c>
      <c r="B79" s="664">
        <v>46156</v>
      </c>
      <c r="C79" s="792" t="s">
        <v>242</v>
      </c>
      <c r="D79" s="802" t="s">
        <v>262</v>
      </c>
      <c r="E79" s="802" t="s">
        <v>263</v>
      </c>
      <c r="F79" s="802" t="s">
        <v>164</v>
      </c>
      <c r="G79" s="802" t="s">
        <v>111</v>
      </c>
      <c r="H79" s="802"/>
      <c r="I79" s="226" t="s">
        <v>111</v>
      </c>
      <c r="J79" s="815" t="s">
        <v>460</v>
      </c>
      <c r="K79" s="792"/>
      <c r="L79" s="792"/>
      <c r="M79" s="26">
        <v>3740</v>
      </c>
      <c r="N79" s="815">
        <v>3740</v>
      </c>
      <c r="O79" s="815">
        <v>12</v>
      </c>
      <c r="P79" s="796">
        <v>3728</v>
      </c>
      <c r="Q79" s="818">
        <v>3700</v>
      </c>
      <c r="R79" s="818">
        <f t="shared" si="29"/>
        <v>13793600</v>
      </c>
      <c r="S79" s="660" t="s">
        <v>5</v>
      </c>
      <c r="T79" s="332"/>
    </row>
    <row r="80" spans="1:20" s="388" customFormat="1" ht="22.5" customHeight="1">
      <c r="A80" s="617">
        <f t="shared" si="27"/>
        <v>76</v>
      </c>
      <c r="B80" s="664">
        <v>46156</v>
      </c>
      <c r="C80" s="792" t="s">
        <v>264</v>
      </c>
      <c r="D80" s="802" t="s">
        <v>262</v>
      </c>
      <c r="E80" s="802" t="s">
        <v>263</v>
      </c>
      <c r="F80" s="802" t="s">
        <v>164</v>
      </c>
      <c r="G80" s="802" t="s">
        <v>111</v>
      </c>
      <c r="H80" s="802"/>
      <c r="I80" s="226" t="s">
        <v>111</v>
      </c>
      <c r="J80" s="815" t="s">
        <v>41</v>
      </c>
      <c r="K80" s="792">
        <v>22260</v>
      </c>
      <c r="L80" s="792">
        <v>25170</v>
      </c>
      <c r="M80" s="26">
        <v>2910</v>
      </c>
      <c r="N80" s="815">
        <v>2910</v>
      </c>
      <c r="O80" s="815">
        <v>39</v>
      </c>
      <c r="P80" s="796">
        <v>2871</v>
      </c>
      <c r="Q80" s="818">
        <v>10600</v>
      </c>
      <c r="R80" s="818">
        <f t="shared" si="29"/>
        <v>30432600</v>
      </c>
      <c r="S80" s="660" t="s">
        <v>5</v>
      </c>
      <c r="T80" s="332"/>
    </row>
    <row r="81" spans="1:20" s="388" customFormat="1" ht="22.5" customHeight="1">
      <c r="A81" s="618">
        <f t="shared" si="27"/>
        <v>77</v>
      </c>
      <c r="B81" s="664">
        <v>46156</v>
      </c>
      <c r="C81" s="792" t="s">
        <v>264</v>
      </c>
      <c r="D81" s="802" t="s">
        <v>262</v>
      </c>
      <c r="E81" s="802" t="s">
        <v>263</v>
      </c>
      <c r="F81" s="802" t="s">
        <v>164</v>
      </c>
      <c r="G81" s="802" t="s">
        <v>111</v>
      </c>
      <c r="H81" s="802"/>
      <c r="I81" s="226" t="s">
        <v>111</v>
      </c>
      <c r="J81" s="815" t="s">
        <v>165</v>
      </c>
      <c r="K81" s="792">
        <v>25170</v>
      </c>
      <c r="L81" s="792">
        <v>26770</v>
      </c>
      <c r="M81" s="26">
        <v>1600</v>
      </c>
      <c r="N81" s="815">
        <v>1620</v>
      </c>
      <c r="O81" s="815"/>
      <c r="P81" s="796">
        <v>1600</v>
      </c>
      <c r="Q81" s="818">
        <v>18200</v>
      </c>
      <c r="R81" s="818">
        <f t="shared" si="29"/>
        <v>29120000</v>
      </c>
      <c r="S81" s="660" t="s">
        <v>5</v>
      </c>
      <c r="T81" s="332"/>
    </row>
    <row r="82" spans="1:20" s="388" customFormat="1" ht="22.5" customHeight="1">
      <c r="A82" s="613">
        <f t="shared" ref="A82:A97" si="31">ROW()-4</f>
        <v>78</v>
      </c>
      <c r="B82" s="680">
        <v>46156</v>
      </c>
      <c r="C82" s="678" t="s">
        <v>264</v>
      </c>
      <c r="D82" s="680" t="s">
        <v>6</v>
      </c>
      <c r="E82" s="138" t="s">
        <v>261</v>
      </c>
      <c r="F82" s="682" t="s">
        <v>332</v>
      </c>
      <c r="G82" s="682"/>
      <c r="H82" s="682"/>
      <c r="I82" s="662" t="s">
        <v>112</v>
      </c>
      <c r="J82" s="682" t="s">
        <v>272</v>
      </c>
      <c r="K82" s="678">
        <v>18500</v>
      </c>
      <c r="L82" s="678">
        <v>42800</v>
      </c>
      <c r="M82" s="249">
        <f t="shared" ref="M82:M116" si="32">L82-K82</f>
        <v>24300</v>
      </c>
      <c r="N82" s="320">
        <v>24260</v>
      </c>
      <c r="O82" s="320"/>
      <c r="P82" s="320">
        <f t="shared" ref="P82:P116" si="33">M82</f>
        <v>24300</v>
      </c>
      <c r="Q82" s="137">
        <v>480</v>
      </c>
      <c r="R82" s="137">
        <f t="shared" si="29"/>
        <v>11664000</v>
      </c>
      <c r="S82" s="662" t="s">
        <v>5</v>
      </c>
      <c r="T82" s="332"/>
    </row>
    <row r="83" spans="1:20" s="388" customFormat="1" ht="22.5" customHeight="1">
      <c r="A83" s="615">
        <f t="shared" si="31"/>
        <v>79</v>
      </c>
      <c r="B83" s="671">
        <v>46156</v>
      </c>
      <c r="C83" s="679" t="s">
        <v>264</v>
      </c>
      <c r="D83" s="671" t="s">
        <v>6</v>
      </c>
      <c r="E83" s="128" t="s">
        <v>261</v>
      </c>
      <c r="F83" s="672" t="s">
        <v>323</v>
      </c>
      <c r="G83" s="672"/>
      <c r="H83" s="672"/>
      <c r="I83" s="660" t="s">
        <v>112</v>
      </c>
      <c r="J83" s="672" t="s">
        <v>272</v>
      </c>
      <c r="K83" s="679">
        <v>18500</v>
      </c>
      <c r="L83" s="679">
        <v>43060</v>
      </c>
      <c r="M83" s="250">
        <f t="shared" si="32"/>
        <v>24560</v>
      </c>
      <c r="N83" s="637">
        <v>24540</v>
      </c>
      <c r="O83" s="637"/>
      <c r="P83" s="637">
        <f t="shared" si="33"/>
        <v>24560</v>
      </c>
      <c r="Q83" s="673">
        <v>480</v>
      </c>
      <c r="R83" s="673">
        <f t="shared" si="29"/>
        <v>11788800</v>
      </c>
      <c r="S83" s="660" t="s">
        <v>5</v>
      </c>
      <c r="T83" s="332"/>
    </row>
    <row r="84" spans="1:20" s="388" customFormat="1" ht="22.5" customHeight="1">
      <c r="A84" s="615">
        <f t="shared" si="31"/>
        <v>80</v>
      </c>
      <c r="B84" s="671">
        <v>46156</v>
      </c>
      <c r="C84" s="679" t="s">
        <v>264</v>
      </c>
      <c r="D84" s="671" t="s">
        <v>6</v>
      </c>
      <c r="E84" s="128" t="s">
        <v>261</v>
      </c>
      <c r="F84" s="672" t="s">
        <v>325</v>
      </c>
      <c r="G84" s="672"/>
      <c r="H84" s="672"/>
      <c r="I84" s="660" t="s">
        <v>112</v>
      </c>
      <c r="J84" s="672" t="s">
        <v>272</v>
      </c>
      <c r="K84" s="679">
        <v>18380</v>
      </c>
      <c r="L84" s="679">
        <v>42500</v>
      </c>
      <c r="M84" s="250">
        <f t="shared" si="32"/>
        <v>24120</v>
      </c>
      <c r="N84" s="637">
        <v>23950</v>
      </c>
      <c r="O84" s="637"/>
      <c r="P84" s="637">
        <f t="shared" si="33"/>
        <v>24120</v>
      </c>
      <c r="Q84" s="673">
        <v>480</v>
      </c>
      <c r="R84" s="673">
        <f t="shared" si="29"/>
        <v>11577600</v>
      </c>
      <c r="S84" s="660" t="s">
        <v>5</v>
      </c>
      <c r="T84" s="332"/>
    </row>
    <row r="85" spans="1:20" s="388" customFormat="1" ht="22.5" customHeight="1">
      <c r="A85" s="615">
        <f t="shared" si="31"/>
        <v>81</v>
      </c>
      <c r="B85" s="671">
        <v>46156</v>
      </c>
      <c r="C85" s="679" t="s">
        <v>264</v>
      </c>
      <c r="D85" s="671" t="s">
        <v>6</v>
      </c>
      <c r="E85" s="128" t="s">
        <v>261</v>
      </c>
      <c r="F85" s="672" t="s">
        <v>333</v>
      </c>
      <c r="G85" s="672"/>
      <c r="H85" s="672"/>
      <c r="I85" s="660" t="s">
        <v>112</v>
      </c>
      <c r="J85" s="672" t="s">
        <v>272</v>
      </c>
      <c r="K85" s="679">
        <v>17920</v>
      </c>
      <c r="L85" s="679">
        <v>42660</v>
      </c>
      <c r="M85" s="250">
        <f t="shared" si="32"/>
        <v>24740</v>
      </c>
      <c r="N85" s="637">
        <v>24630</v>
      </c>
      <c r="O85" s="637"/>
      <c r="P85" s="637">
        <f t="shared" si="33"/>
        <v>24740</v>
      </c>
      <c r="Q85" s="673">
        <v>480</v>
      </c>
      <c r="R85" s="673">
        <f t="shared" si="29"/>
        <v>11875200</v>
      </c>
      <c r="S85" s="660" t="s">
        <v>5</v>
      </c>
      <c r="T85" s="332"/>
    </row>
    <row r="86" spans="1:20" s="388" customFormat="1" ht="22.5" customHeight="1">
      <c r="A86" s="615">
        <f t="shared" si="31"/>
        <v>82</v>
      </c>
      <c r="B86" s="671">
        <v>46156</v>
      </c>
      <c r="C86" s="679" t="s">
        <v>264</v>
      </c>
      <c r="D86" s="671" t="s">
        <v>6</v>
      </c>
      <c r="E86" s="128" t="s">
        <v>261</v>
      </c>
      <c r="F86" s="672" t="s">
        <v>144</v>
      </c>
      <c r="G86" s="672" t="s">
        <v>470</v>
      </c>
      <c r="H86" s="672" t="s">
        <v>471</v>
      </c>
      <c r="I86" s="660" t="s">
        <v>112</v>
      </c>
      <c r="J86" s="672" t="s">
        <v>272</v>
      </c>
      <c r="K86" s="679">
        <v>18400</v>
      </c>
      <c r="L86" s="679">
        <v>43580</v>
      </c>
      <c r="M86" s="250">
        <f t="shared" si="32"/>
        <v>25180</v>
      </c>
      <c r="N86" s="637">
        <v>25110</v>
      </c>
      <c r="O86" s="637"/>
      <c r="P86" s="637">
        <f t="shared" si="33"/>
        <v>25180</v>
      </c>
      <c r="Q86" s="673">
        <v>480</v>
      </c>
      <c r="R86" s="673">
        <f t="shared" si="29"/>
        <v>12086400</v>
      </c>
      <c r="S86" s="660" t="s">
        <v>5</v>
      </c>
      <c r="T86" s="332"/>
    </row>
    <row r="87" spans="1:20" s="388" customFormat="1" ht="22.5" customHeight="1">
      <c r="A87" s="615">
        <f t="shared" si="31"/>
        <v>83</v>
      </c>
      <c r="B87" s="671">
        <v>46156</v>
      </c>
      <c r="C87" s="679" t="s">
        <v>264</v>
      </c>
      <c r="D87" s="671" t="s">
        <v>6</v>
      </c>
      <c r="E87" s="128" t="s">
        <v>261</v>
      </c>
      <c r="F87" s="672" t="s">
        <v>324</v>
      </c>
      <c r="G87" s="672"/>
      <c r="H87" s="672"/>
      <c r="I87" s="660" t="s">
        <v>112</v>
      </c>
      <c r="J87" s="672" t="s">
        <v>272</v>
      </c>
      <c r="K87" s="679">
        <v>18420</v>
      </c>
      <c r="L87" s="679">
        <v>42360</v>
      </c>
      <c r="M87" s="250">
        <f t="shared" si="32"/>
        <v>23940</v>
      </c>
      <c r="N87" s="637">
        <v>23900</v>
      </c>
      <c r="O87" s="637"/>
      <c r="P87" s="637">
        <f t="shared" si="33"/>
        <v>23940</v>
      </c>
      <c r="Q87" s="673">
        <v>480</v>
      </c>
      <c r="R87" s="673">
        <f t="shared" si="29"/>
        <v>11491200</v>
      </c>
      <c r="S87" s="660" t="s">
        <v>5</v>
      </c>
      <c r="T87" s="332"/>
    </row>
    <row r="88" spans="1:20" s="388" customFormat="1" ht="22.5" customHeight="1">
      <c r="A88" s="615">
        <f t="shared" si="31"/>
        <v>84</v>
      </c>
      <c r="B88" s="671">
        <v>46156</v>
      </c>
      <c r="C88" s="679" t="s">
        <v>264</v>
      </c>
      <c r="D88" s="671" t="s">
        <v>6</v>
      </c>
      <c r="E88" s="128" t="s">
        <v>261</v>
      </c>
      <c r="F88" s="672" t="s">
        <v>472</v>
      </c>
      <c r="G88" s="672"/>
      <c r="H88" s="672"/>
      <c r="I88" s="660" t="s">
        <v>112</v>
      </c>
      <c r="J88" s="672" t="s">
        <v>272</v>
      </c>
      <c r="K88" s="679">
        <v>18800</v>
      </c>
      <c r="L88" s="679">
        <v>42060</v>
      </c>
      <c r="M88" s="250">
        <f t="shared" si="32"/>
        <v>23260</v>
      </c>
      <c r="N88" s="637">
        <v>23220</v>
      </c>
      <c r="O88" s="637"/>
      <c r="P88" s="637">
        <f t="shared" si="33"/>
        <v>23260</v>
      </c>
      <c r="Q88" s="673">
        <v>480</v>
      </c>
      <c r="R88" s="673">
        <f t="shared" si="29"/>
        <v>11164800</v>
      </c>
      <c r="S88" s="660" t="s">
        <v>5</v>
      </c>
      <c r="T88" s="332"/>
    </row>
    <row r="89" spans="1:20" s="388" customFormat="1" ht="22.5" customHeight="1">
      <c r="A89" s="615">
        <f t="shared" si="31"/>
        <v>85</v>
      </c>
      <c r="B89" s="671">
        <v>46156</v>
      </c>
      <c r="C89" s="679" t="s">
        <v>264</v>
      </c>
      <c r="D89" s="671" t="s">
        <v>6</v>
      </c>
      <c r="E89" s="128" t="s">
        <v>261</v>
      </c>
      <c r="F89" s="672" t="s">
        <v>332</v>
      </c>
      <c r="G89" s="672"/>
      <c r="H89" s="672"/>
      <c r="I89" s="660" t="s">
        <v>112</v>
      </c>
      <c r="J89" s="672" t="s">
        <v>272</v>
      </c>
      <c r="K89" s="679">
        <v>18460</v>
      </c>
      <c r="L89" s="679">
        <v>42120</v>
      </c>
      <c r="M89" s="250">
        <f t="shared" si="32"/>
        <v>23660</v>
      </c>
      <c r="N89" s="637">
        <v>23650</v>
      </c>
      <c r="O89" s="637"/>
      <c r="P89" s="637">
        <f t="shared" si="33"/>
        <v>23660</v>
      </c>
      <c r="Q89" s="673">
        <v>480</v>
      </c>
      <c r="R89" s="673">
        <f t="shared" si="29"/>
        <v>11356800</v>
      </c>
      <c r="S89" s="660" t="s">
        <v>5</v>
      </c>
      <c r="T89" s="332"/>
    </row>
    <row r="90" spans="1:20" s="388" customFormat="1" ht="22.5" customHeight="1">
      <c r="A90" s="615">
        <f t="shared" si="31"/>
        <v>86</v>
      </c>
      <c r="B90" s="671">
        <v>46156</v>
      </c>
      <c r="C90" s="679" t="s">
        <v>264</v>
      </c>
      <c r="D90" s="671" t="s">
        <v>6</v>
      </c>
      <c r="E90" s="128" t="s">
        <v>261</v>
      </c>
      <c r="F90" s="672" t="s">
        <v>323</v>
      </c>
      <c r="G90" s="672"/>
      <c r="H90" s="672"/>
      <c r="I90" s="660" t="s">
        <v>112</v>
      </c>
      <c r="J90" s="672" t="s">
        <v>272</v>
      </c>
      <c r="K90" s="679">
        <v>18700</v>
      </c>
      <c r="L90" s="679">
        <v>43040</v>
      </c>
      <c r="M90" s="250">
        <f t="shared" si="32"/>
        <v>24340</v>
      </c>
      <c r="N90" s="637">
        <v>24290</v>
      </c>
      <c r="O90" s="637"/>
      <c r="P90" s="637">
        <f t="shared" si="33"/>
        <v>24340</v>
      </c>
      <c r="Q90" s="673">
        <v>480</v>
      </c>
      <c r="R90" s="673">
        <f t="shared" si="29"/>
        <v>11683200</v>
      </c>
      <c r="S90" s="660" t="s">
        <v>5</v>
      </c>
      <c r="T90" s="332"/>
    </row>
    <row r="91" spans="1:20" s="388" customFormat="1" ht="22.5" customHeight="1">
      <c r="A91" s="618">
        <f t="shared" si="31"/>
        <v>87</v>
      </c>
      <c r="B91" s="681">
        <v>46156</v>
      </c>
      <c r="C91" s="202" t="s">
        <v>264</v>
      </c>
      <c r="D91" s="681" t="s">
        <v>6</v>
      </c>
      <c r="E91" s="129" t="s">
        <v>261</v>
      </c>
      <c r="F91" s="683" t="s">
        <v>325</v>
      </c>
      <c r="G91" s="683"/>
      <c r="H91" s="683"/>
      <c r="I91" s="661" t="s">
        <v>112</v>
      </c>
      <c r="J91" s="683" t="s">
        <v>272</v>
      </c>
      <c r="K91" s="202">
        <v>18500</v>
      </c>
      <c r="L91" s="202">
        <v>42840</v>
      </c>
      <c r="M91" s="257">
        <f t="shared" si="32"/>
        <v>24340</v>
      </c>
      <c r="N91" s="669">
        <v>24270</v>
      </c>
      <c r="O91" s="669"/>
      <c r="P91" s="669">
        <f t="shared" si="33"/>
        <v>24340</v>
      </c>
      <c r="Q91" s="674">
        <v>480</v>
      </c>
      <c r="R91" s="674">
        <f t="shared" si="29"/>
        <v>11683200</v>
      </c>
      <c r="S91" s="661" t="s">
        <v>5</v>
      </c>
      <c r="T91" s="332"/>
    </row>
    <row r="92" spans="1:20" s="388" customFormat="1" ht="22.5" customHeight="1">
      <c r="A92" s="612">
        <f t="shared" si="31"/>
        <v>88</v>
      </c>
      <c r="B92" s="719">
        <v>46157</v>
      </c>
      <c r="C92" s="717" t="s">
        <v>264</v>
      </c>
      <c r="D92" s="719" t="s">
        <v>440</v>
      </c>
      <c r="E92" s="138" t="s">
        <v>261</v>
      </c>
      <c r="F92" s="721" t="s">
        <v>158</v>
      </c>
      <c r="G92" s="721" t="s">
        <v>442</v>
      </c>
      <c r="H92" s="721" t="s">
        <v>443</v>
      </c>
      <c r="I92" s="701" t="s">
        <v>112</v>
      </c>
      <c r="J92" s="721" t="s">
        <v>272</v>
      </c>
      <c r="K92" s="717">
        <v>18560</v>
      </c>
      <c r="L92" s="717">
        <v>43580</v>
      </c>
      <c r="M92" s="249">
        <f t="shared" si="32"/>
        <v>25020</v>
      </c>
      <c r="N92" s="320"/>
      <c r="O92" s="320"/>
      <c r="P92" s="320">
        <f t="shared" si="33"/>
        <v>25020</v>
      </c>
      <c r="Q92" s="137">
        <v>480</v>
      </c>
      <c r="R92" s="137">
        <f t="shared" si="29"/>
        <v>12009600</v>
      </c>
      <c r="S92" s="701" t="s">
        <v>5</v>
      </c>
      <c r="T92" s="332"/>
    </row>
    <row r="93" spans="1:20" s="388" customFormat="1" ht="22.5" customHeight="1">
      <c r="A93" s="617">
        <f t="shared" si="31"/>
        <v>89</v>
      </c>
      <c r="B93" s="712">
        <v>46157</v>
      </c>
      <c r="C93" s="718" t="s">
        <v>264</v>
      </c>
      <c r="D93" s="712" t="s">
        <v>440</v>
      </c>
      <c r="E93" s="128" t="s">
        <v>261</v>
      </c>
      <c r="F93" s="716" t="s">
        <v>220</v>
      </c>
      <c r="G93" s="716" t="s">
        <v>474</v>
      </c>
      <c r="H93" s="716" t="s">
        <v>475</v>
      </c>
      <c r="I93" s="699" t="s">
        <v>112</v>
      </c>
      <c r="J93" s="716" t="s">
        <v>272</v>
      </c>
      <c r="K93" s="718">
        <v>18240</v>
      </c>
      <c r="L93" s="718">
        <v>42480</v>
      </c>
      <c r="M93" s="250">
        <f t="shared" si="32"/>
        <v>24240</v>
      </c>
      <c r="N93" s="691"/>
      <c r="O93" s="691"/>
      <c r="P93" s="691">
        <f t="shared" si="33"/>
        <v>24240</v>
      </c>
      <c r="Q93" s="713">
        <v>480</v>
      </c>
      <c r="R93" s="713">
        <f t="shared" si="29"/>
        <v>11635200</v>
      </c>
      <c r="S93" s="699" t="s">
        <v>5</v>
      </c>
      <c r="T93" s="332"/>
    </row>
    <row r="94" spans="1:20" s="388" customFormat="1" ht="22.5" customHeight="1">
      <c r="A94" s="617">
        <f t="shared" si="31"/>
        <v>90</v>
      </c>
      <c r="B94" s="712">
        <v>46157</v>
      </c>
      <c r="C94" s="718" t="s">
        <v>264</v>
      </c>
      <c r="D94" s="712" t="s">
        <v>440</v>
      </c>
      <c r="E94" s="128" t="s">
        <v>261</v>
      </c>
      <c r="F94" s="716" t="s">
        <v>144</v>
      </c>
      <c r="G94" s="716" t="s">
        <v>470</v>
      </c>
      <c r="H94" s="716" t="s">
        <v>471</v>
      </c>
      <c r="I94" s="699" t="s">
        <v>112</v>
      </c>
      <c r="J94" s="716" t="s">
        <v>272</v>
      </c>
      <c r="K94" s="718">
        <v>18400</v>
      </c>
      <c r="L94" s="718">
        <v>43240</v>
      </c>
      <c r="M94" s="250">
        <f t="shared" si="32"/>
        <v>24840</v>
      </c>
      <c r="N94" s="691"/>
      <c r="O94" s="691"/>
      <c r="P94" s="691">
        <f t="shared" si="33"/>
        <v>24840</v>
      </c>
      <c r="Q94" s="713">
        <v>480</v>
      </c>
      <c r="R94" s="713">
        <f t="shared" si="29"/>
        <v>11923200</v>
      </c>
      <c r="S94" s="699" t="s">
        <v>5</v>
      </c>
      <c r="T94" s="332"/>
    </row>
    <row r="95" spans="1:20" s="388" customFormat="1" ht="22.5" customHeight="1">
      <c r="A95" s="617">
        <f t="shared" si="31"/>
        <v>91</v>
      </c>
      <c r="B95" s="712">
        <v>46157</v>
      </c>
      <c r="C95" s="718" t="s">
        <v>264</v>
      </c>
      <c r="D95" s="712" t="s">
        <v>440</v>
      </c>
      <c r="E95" s="128" t="s">
        <v>261</v>
      </c>
      <c r="F95" s="716" t="s">
        <v>163</v>
      </c>
      <c r="G95" s="716" t="s">
        <v>476</v>
      </c>
      <c r="H95" s="716" t="s">
        <v>477</v>
      </c>
      <c r="I95" s="699" t="s">
        <v>112</v>
      </c>
      <c r="J95" s="716" t="s">
        <v>272</v>
      </c>
      <c r="K95" s="718">
        <v>18740</v>
      </c>
      <c r="L95" s="718">
        <v>43220</v>
      </c>
      <c r="M95" s="250">
        <f t="shared" si="32"/>
        <v>24480</v>
      </c>
      <c r="N95" s="691"/>
      <c r="O95" s="691"/>
      <c r="P95" s="691">
        <f t="shared" si="33"/>
        <v>24480</v>
      </c>
      <c r="Q95" s="713">
        <v>480</v>
      </c>
      <c r="R95" s="713">
        <f t="shared" si="29"/>
        <v>11750400</v>
      </c>
      <c r="S95" s="699" t="s">
        <v>5</v>
      </c>
      <c r="T95" s="332"/>
    </row>
    <row r="96" spans="1:20" s="388" customFormat="1" ht="22.5" customHeight="1">
      <c r="A96" s="617">
        <f t="shared" si="31"/>
        <v>92</v>
      </c>
      <c r="B96" s="712">
        <v>46157</v>
      </c>
      <c r="C96" s="718" t="s">
        <v>264</v>
      </c>
      <c r="D96" s="712" t="s">
        <v>440</v>
      </c>
      <c r="E96" s="128" t="s">
        <v>261</v>
      </c>
      <c r="F96" s="716" t="s">
        <v>168</v>
      </c>
      <c r="G96" s="716" t="s">
        <v>478</v>
      </c>
      <c r="H96" s="716" t="s">
        <v>479</v>
      </c>
      <c r="I96" s="699" t="s">
        <v>112</v>
      </c>
      <c r="J96" s="716" t="s">
        <v>272</v>
      </c>
      <c r="K96" s="718">
        <v>18760</v>
      </c>
      <c r="L96" s="718">
        <v>42460</v>
      </c>
      <c r="M96" s="250">
        <f t="shared" si="32"/>
        <v>23700</v>
      </c>
      <c r="N96" s="691"/>
      <c r="O96" s="691"/>
      <c r="P96" s="691">
        <f t="shared" si="33"/>
        <v>23700</v>
      </c>
      <c r="Q96" s="713">
        <v>480</v>
      </c>
      <c r="R96" s="713">
        <f t="shared" si="29"/>
        <v>11376000</v>
      </c>
      <c r="S96" s="699" t="s">
        <v>5</v>
      </c>
      <c r="T96" s="332"/>
    </row>
    <row r="97" spans="1:20" s="388" customFormat="1" ht="22.5" customHeight="1">
      <c r="A97" s="618">
        <f t="shared" si="31"/>
        <v>93</v>
      </c>
      <c r="B97" s="712">
        <v>46157</v>
      </c>
      <c r="C97" s="718" t="s">
        <v>264</v>
      </c>
      <c r="D97" s="712" t="s">
        <v>440</v>
      </c>
      <c r="E97" s="128" t="s">
        <v>261</v>
      </c>
      <c r="F97" s="716" t="s">
        <v>154</v>
      </c>
      <c r="G97" s="716" t="s">
        <v>480</v>
      </c>
      <c r="H97" s="716" t="s">
        <v>481</v>
      </c>
      <c r="I97" s="699" t="s">
        <v>112</v>
      </c>
      <c r="J97" s="716" t="s">
        <v>272</v>
      </c>
      <c r="K97" s="718">
        <v>18420</v>
      </c>
      <c r="L97" s="718">
        <v>43020</v>
      </c>
      <c r="M97" s="250">
        <f t="shared" si="32"/>
        <v>24600</v>
      </c>
      <c r="N97" s="691"/>
      <c r="O97" s="691"/>
      <c r="P97" s="691">
        <f t="shared" si="33"/>
        <v>24600</v>
      </c>
      <c r="Q97" s="713">
        <v>480</v>
      </c>
      <c r="R97" s="713">
        <f t="shared" si="29"/>
        <v>11808000</v>
      </c>
      <c r="S97" s="699" t="s">
        <v>5</v>
      </c>
      <c r="T97" s="332"/>
    </row>
    <row r="98" spans="1:20" s="388" customFormat="1" ht="22.5" customHeight="1">
      <c r="A98" s="782">
        <f t="shared" ref="A98:A116" si="34">ROW()-4</f>
        <v>94</v>
      </c>
      <c r="B98" s="771">
        <v>46158</v>
      </c>
      <c r="C98" s="768" t="s">
        <v>314</v>
      </c>
      <c r="D98" s="771" t="s">
        <v>440</v>
      </c>
      <c r="E98" s="138" t="s">
        <v>263</v>
      </c>
      <c r="F98" s="775" t="s">
        <v>172</v>
      </c>
      <c r="G98" s="775" t="s">
        <v>291</v>
      </c>
      <c r="H98" s="775" t="s">
        <v>292</v>
      </c>
      <c r="I98" s="758" t="s">
        <v>112</v>
      </c>
      <c r="J98" s="830" t="s">
        <v>119</v>
      </c>
      <c r="K98" s="768">
        <v>13930</v>
      </c>
      <c r="L98" s="768">
        <v>17800</v>
      </c>
      <c r="M98" s="249">
        <f t="shared" si="32"/>
        <v>3870</v>
      </c>
      <c r="N98" s="320">
        <v>3850</v>
      </c>
      <c r="O98" s="320"/>
      <c r="P98" s="320">
        <f t="shared" si="33"/>
        <v>3870</v>
      </c>
      <c r="Q98" s="137">
        <v>445</v>
      </c>
      <c r="R98" s="137">
        <f t="shared" si="29"/>
        <v>1722150</v>
      </c>
      <c r="S98" s="758" t="s">
        <v>5</v>
      </c>
      <c r="T98" s="332"/>
    </row>
    <row r="99" spans="1:20" s="388" customFormat="1" ht="22.5" customHeight="1">
      <c r="A99" s="617">
        <f t="shared" si="34"/>
        <v>95</v>
      </c>
      <c r="B99" s="763">
        <v>46158</v>
      </c>
      <c r="C99" s="769" t="s">
        <v>264</v>
      </c>
      <c r="D99" s="763" t="s">
        <v>440</v>
      </c>
      <c r="E99" s="128" t="s">
        <v>261</v>
      </c>
      <c r="F99" s="764" t="s">
        <v>162</v>
      </c>
      <c r="G99" s="764" t="s">
        <v>482</v>
      </c>
      <c r="H99" s="764" t="s">
        <v>483</v>
      </c>
      <c r="I99" s="757" t="s">
        <v>112</v>
      </c>
      <c r="J99" s="821" t="s">
        <v>107</v>
      </c>
      <c r="K99" s="769">
        <v>18520</v>
      </c>
      <c r="L99" s="769">
        <v>33300</v>
      </c>
      <c r="M99" s="250">
        <f t="shared" si="32"/>
        <v>14780</v>
      </c>
      <c r="N99" s="796">
        <v>14630</v>
      </c>
      <c r="O99" s="796"/>
      <c r="P99" s="796">
        <f t="shared" si="33"/>
        <v>14780</v>
      </c>
      <c r="Q99" s="818">
        <v>460</v>
      </c>
      <c r="R99" s="766">
        <f t="shared" si="29"/>
        <v>6798800</v>
      </c>
      <c r="S99" s="757" t="s">
        <v>5</v>
      </c>
      <c r="T99" s="332"/>
    </row>
    <row r="100" spans="1:20" s="388" customFormat="1" ht="22.5" customHeight="1">
      <c r="A100" s="617">
        <f t="shared" si="34"/>
        <v>96</v>
      </c>
      <c r="B100" s="763">
        <v>46158</v>
      </c>
      <c r="C100" s="769" t="s">
        <v>264</v>
      </c>
      <c r="D100" s="763" t="s">
        <v>440</v>
      </c>
      <c r="E100" s="128" t="s">
        <v>261</v>
      </c>
      <c r="F100" s="764" t="s">
        <v>145</v>
      </c>
      <c r="G100" s="764" t="s">
        <v>484</v>
      </c>
      <c r="H100" s="764" t="s">
        <v>485</v>
      </c>
      <c r="I100" s="757" t="s">
        <v>112</v>
      </c>
      <c r="J100" s="821" t="s">
        <v>55</v>
      </c>
      <c r="K100" s="769">
        <v>19060</v>
      </c>
      <c r="L100" s="769">
        <v>42140</v>
      </c>
      <c r="M100" s="250">
        <f t="shared" si="32"/>
        <v>23080</v>
      </c>
      <c r="N100" s="796">
        <v>23020</v>
      </c>
      <c r="O100" s="796"/>
      <c r="P100" s="796">
        <f t="shared" si="33"/>
        <v>23080</v>
      </c>
      <c r="Q100" s="818">
        <v>480</v>
      </c>
      <c r="R100" s="766">
        <f t="shared" si="29"/>
        <v>11078400</v>
      </c>
      <c r="S100" s="757" t="s">
        <v>5</v>
      </c>
      <c r="T100" s="332"/>
    </row>
    <row r="101" spans="1:20" s="388" customFormat="1" ht="22.5" customHeight="1">
      <c r="A101" s="617">
        <f t="shared" si="34"/>
        <v>97</v>
      </c>
      <c r="B101" s="763">
        <v>46158</v>
      </c>
      <c r="C101" s="769" t="s">
        <v>264</v>
      </c>
      <c r="D101" s="763" t="s">
        <v>440</v>
      </c>
      <c r="E101" s="128" t="s">
        <v>261</v>
      </c>
      <c r="F101" s="764" t="s">
        <v>486</v>
      </c>
      <c r="G101" s="764"/>
      <c r="H101" s="764"/>
      <c r="I101" s="757" t="s">
        <v>112</v>
      </c>
      <c r="J101" s="821" t="s">
        <v>107</v>
      </c>
      <c r="K101" s="769">
        <v>18840</v>
      </c>
      <c r="L101" s="769">
        <v>33780</v>
      </c>
      <c r="M101" s="250">
        <f t="shared" si="32"/>
        <v>14940</v>
      </c>
      <c r="N101" s="796">
        <v>13460</v>
      </c>
      <c r="O101" s="796"/>
      <c r="P101" s="796">
        <f t="shared" si="33"/>
        <v>14940</v>
      </c>
      <c r="Q101" s="818">
        <v>460</v>
      </c>
      <c r="R101" s="766">
        <f t="shared" si="29"/>
        <v>6872400</v>
      </c>
      <c r="S101" s="757" t="s">
        <v>5</v>
      </c>
      <c r="T101" s="332"/>
    </row>
    <row r="102" spans="1:20" s="388" customFormat="1" ht="22.5" customHeight="1">
      <c r="A102" s="617">
        <f t="shared" si="34"/>
        <v>98</v>
      </c>
      <c r="B102" s="763">
        <v>46158</v>
      </c>
      <c r="C102" s="769" t="s">
        <v>264</v>
      </c>
      <c r="D102" s="763" t="s">
        <v>440</v>
      </c>
      <c r="E102" s="128" t="s">
        <v>261</v>
      </c>
      <c r="F102" s="764" t="s">
        <v>472</v>
      </c>
      <c r="G102" s="764"/>
      <c r="H102" s="764"/>
      <c r="I102" s="757" t="s">
        <v>112</v>
      </c>
      <c r="J102" s="821" t="s">
        <v>55</v>
      </c>
      <c r="K102" s="769">
        <v>18840</v>
      </c>
      <c r="L102" s="769">
        <v>41780</v>
      </c>
      <c r="M102" s="250">
        <f t="shared" si="32"/>
        <v>22940</v>
      </c>
      <c r="N102" s="796">
        <v>22810</v>
      </c>
      <c r="O102" s="796"/>
      <c r="P102" s="796">
        <f t="shared" si="33"/>
        <v>22940</v>
      </c>
      <c r="Q102" s="818">
        <v>480</v>
      </c>
      <c r="R102" s="766">
        <f t="shared" si="29"/>
        <v>11011200</v>
      </c>
      <c r="S102" s="757" t="s">
        <v>5</v>
      </c>
      <c r="T102" s="332"/>
    </row>
    <row r="103" spans="1:20" s="388" customFormat="1" ht="22.5" customHeight="1">
      <c r="A103" s="617">
        <f t="shared" si="34"/>
        <v>99</v>
      </c>
      <c r="B103" s="763">
        <v>46158</v>
      </c>
      <c r="C103" s="769" t="s">
        <v>264</v>
      </c>
      <c r="D103" s="763" t="s">
        <v>440</v>
      </c>
      <c r="E103" s="128" t="s">
        <v>261</v>
      </c>
      <c r="F103" s="764" t="s">
        <v>163</v>
      </c>
      <c r="G103" s="764" t="s">
        <v>476</v>
      </c>
      <c r="H103" s="764" t="s">
        <v>477</v>
      </c>
      <c r="I103" s="757" t="s">
        <v>112</v>
      </c>
      <c r="J103" s="821" t="s">
        <v>107</v>
      </c>
      <c r="K103" s="769">
        <v>18740</v>
      </c>
      <c r="L103" s="769">
        <v>31080</v>
      </c>
      <c r="M103" s="250">
        <f t="shared" si="32"/>
        <v>12340</v>
      </c>
      <c r="N103" s="796">
        <v>12320</v>
      </c>
      <c r="O103" s="796"/>
      <c r="P103" s="796">
        <f t="shared" si="33"/>
        <v>12340</v>
      </c>
      <c r="Q103" s="818">
        <v>460</v>
      </c>
      <c r="R103" s="766">
        <f t="shared" si="29"/>
        <v>5676400</v>
      </c>
      <c r="S103" s="757" t="s">
        <v>5</v>
      </c>
      <c r="T103" s="332"/>
    </row>
    <row r="104" spans="1:20" s="388" customFormat="1" ht="22.5" customHeight="1">
      <c r="A104" s="617">
        <f t="shared" si="34"/>
        <v>100</v>
      </c>
      <c r="B104" s="763">
        <v>46158</v>
      </c>
      <c r="C104" s="769" t="s">
        <v>264</v>
      </c>
      <c r="D104" s="763" t="s">
        <v>440</v>
      </c>
      <c r="E104" s="128" t="s">
        <v>261</v>
      </c>
      <c r="F104" s="764" t="s">
        <v>185</v>
      </c>
      <c r="G104" s="764" t="s">
        <v>487</v>
      </c>
      <c r="H104" s="764" t="s">
        <v>488</v>
      </c>
      <c r="I104" s="757" t="s">
        <v>112</v>
      </c>
      <c r="J104" s="821" t="s">
        <v>107</v>
      </c>
      <c r="K104" s="769">
        <v>18640</v>
      </c>
      <c r="L104" s="769">
        <v>32020</v>
      </c>
      <c r="M104" s="250">
        <f t="shared" si="32"/>
        <v>13380</v>
      </c>
      <c r="N104" s="796">
        <v>13340</v>
      </c>
      <c r="O104" s="796"/>
      <c r="P104" s="796">
        <f t="shared" si="33"/>
        <v>13380</v>
      </c>
      <c r="Q104" s="818">
        <v>460</v>
      </c>
      <c r="R104" s="766">
        <f t="shared" si="29"/>
        <v>6154800</v>
      </c>
      <c r="S104" s="757" t="s">
        <v>5</v>
      </c>
      <c r="T104" s="332"/>
    </row>
    <row r="105" spans="1:20" s="388" customFormat="1" ht="22.5" customHeight="1">
      <c r="A105" s="617">
        <f t="shared" si="34"/>
        <v>101</v>
      </c>
      <c r="B105" s="763">
        <v>46158</v>
      </c>
      <c r="C105" s="769" t="s">
        <v>264</v>
      </c>
      <c r="D105" s="763" t="s">
        <v>440</v>
      </c>
      <c r="E105" s="128" t="s">
        <v>261</v>
      </c>
      <c r="F105" s="764" t="s">
        <v>188</v>
      </c>
      <c r="G105" s="764" t="s">
        <v>489</v>
      </c>
      <c r="H105" s="764" t="s">
        <v>490</v>
      </c>
      <c r="I105" s="757" t="s">
        <v>112</v>
      </c>
      <c r="J105" s="821" t="s">
        <v>107</v>
      </c>
      <c r="K105" s="769">
        <v>18440</v>
      </c>
      <c r="L105" s="769">
        <v>33500</v>
      </c>
      <c r="M105" s="250">
        <f t="shared" si="32"/>
        <v>15060</v>
      </c>
      <c r="N105" s="796">
        <v>14890</v>
      </c>
      <c r="O105" s="796"/>
      <c r="P105" s="796">
        <f t="shared" si="33"/>
        <v>15060</v>
      </c>
      <c r="Q105" s="818">
        <v>460</v>
      </c>
      <c r="R105" s="766">
        <f t="shared" si="29"/>
        <v>6927600</v>
      </c>
      <c r="S105" s="757" t="s">
        <v>5</v>
      </c>
      <c r="T105" s="332"/>
    </row>
    <row r="106" spans="1:20" s="388" customFormat="1" ht="22.5" customHeight="1">
      <c r="A106" s="617">
        <f t="shared" si="34"/>
        <v>102</v>
      </c>
      <c r="B106" s="763">
        <v>46158</v>
      </c>
      <c r="C106" s="769" t="s">
        <v>264</v>
      </c>
      <c r="D106" s="763" t="s">
        <v>440</v>
      </c>
      <c r="E106" s="128" t="s">
        <v>261</v>
      </c>
      <c r="F106" s="764" t="s">
        <v>326</v>
      </c>
      <c r="G106" s="764"/>
      <c r="H106" s="764"/>
      <c r="I106" s="757" t="s">
        <v>112</v>
      </c>
      <c r="J106" s="821" t="s">
        <v>272</v>
      </c>
      <c r="K106" s="769">
        <v>17960</v>
      </c>
      <c r="L106" s="769">
        <v>43060</v>
      </c>
      <c r="M106" s="250">
        <f t="shared" si="32"/>
        <v>25100</v>
      </c>
      <c r="N106" s="796">
        <v>25060</v>
      </c>
      <c r="O106" s="796"/>
      <c r="P106" s="796">
        <f t="shared" si="33"/>
        <v>25100</v>
      </c>
      <c r="Q106" s="818">
        <v>480</v>
      </c>
      <c r="R106" s="766">
        <f t="shared" si="29"/>
        <v>12048000</v>
      </c>
      <c r="S106" s="757" t="s">
        <v>5</v>
      </c>
      <c r="T106" s="332"/>
    </row>
    <row r="107" spans="1:20" s="388" customFormat="1" ht="22.5" customHeight="1">
      <c r="A107" s="617">
        <f t="shared" si="34"/>
        <v>103</v>
      </c>
      <c r="B107" s="763">
        <v>46158</v>
      </c>
      <c r="C107" s="769" t="s">
        <v>264</v>
      </c>
      <c r="D107" s="763" t="s">
        <v>440</v>
      </c>
      <c r="E107" s="128" t="s">
        <v>261</v>
      </c>
      <c r="F107" s="764" t="s">
        <v>131</v>
      </c>
      <c r="G107" s="764" t="s">
        <v>316</v>
      </c>
      <c r="H107" s="764" t="s">
        <v>317</v>
      </c>
      <c r="I107" s="757" t="s">
        <v>112</v>
      </c>
      <c r="J107" s="821" t="s">
        <v>107</v>
      </c>
      <c r="K107" s="769">
        <v>18320</v>
      </c>
      <c r="L107" s="769">
        <v>33460</v>
      </c>
      <c r="M107" s="250">
        <f t="shared" si="32"/>
        <v>15140</v>
      </c>
      <c r="N107" s="796">
        <v>15000</v>
      </c>
      <c r="O107" s="796"/>
      <c r="P107" s="796">
        <f t="shared" si="33"/>
        <v>15140</v>
      </c>
      <c r="Q107" s="818">
        <v>460</v>
      </c>
      <c r="R107" s="766">
        <f t="shared" si="29"/>
        <v>6964400</v>
      </c>
      <c r="S107" s="757" t="s">
        <v>5</v>
      </c>
      <c r="T107" s="332"/>
    </row>
    <row r="108" spans="1:20" s="388" customFormat="1" ht="22.5" customHeight="1">
      <c r="A108" s="617">
        <f t="shared" si="34"/>
        <v>104</v>
      </c>
      <c r="B108" s="763">
        <v>46158</v>
      </c>
      <c r="C108" s="769" t="s">
        <v>264</v>
      </c>
      <c r="D108" s="763" t="s">
        <v>440</v>
      </c>
      <c r="E108" s="128" t="s">
        <v>261</v>
      </c>
      <c r="F108" s="764" t="s">
        <v>441</v>
      </c>
      <c r="G108" s="764"/>
      <c r="H108" s="764"/>
      <c r="I108" s="757" t="s">
        <v>112</v>
      </c>
      <c r="J108" s="821" t="s">
        <v>272</v>
      </c>
      <c r="K108" s="769">
        <v>18700</v>
      </c>
      <c r="L108" s="769">
        <v>43600</v>
      </c>
      <c r="M108" s="250">
        <f t="shared" si="32"/>
        <v>24900</v>
      </c>
      <c r="N108" s="796">
        <v>24800</v>
      </c>
      <c r="O108" s="796"/>
      <c r="P108" s="796">
        <f t="shared" si="33"/>
        <v>24900</v>
      </c>
      <c r="Q108" s="818">
        <v>480</v>
      </c>
      <c r="R108" s="766">
        <f t="shared" si="29"/>
        <v>11952000</v>
      </c>
      <c r="S108" s="757" t="s">
        <v>5</v>
      </c>
      <c r="T108" s="332"/>
    </row>
    <row r="109" spans="1:20" s="388" customFormat="1" ht="22.5" customHeight="1">
      <c r="A109" s="617">
        <f t="shared" si="34"/>
        <v>105</v>
      </c>
      <c r="B109" s="763">
        <v>46158</v>
      </c>
      <c r="C109" s="769" t="s">
        <v>264</v>
      </c>
      <c r="D109" s="763" t="s">
        <v>440</v>
      </c>
      <c r="E109" s="128" t="s">
        <v>261</v>
      </c>
      <c r="F109" s="764" t="s">
        <v>225</v>
      </c>
      <c r="G109" s="764" t="s">
        <v>491</v>
      </c>
      <c r="H109" s="764" t="s">
        <v>471</v>
      </c>
      <c r="I109" s="757" t="s">
        <v>112</v>
      </c>
      <c r="J109" s="821" t="s">
        <v>272</v>
      </c>
      <c r="K109" s="769">
        <v>18740</v>
      </c>
      <c r="L109" s="769">
        <v>42860</v>
      </c>
      <c r="M109" s="250">
        <f t="shared" si="32"/>
        <v>24120</v>
      </c>
      <c r="N109" s="796">
        <v>24070</v>
      </c>
      <c r="O109" s="796"/>
      <c r="P109" s="796">
        <f t="shared" si="33"/>
        <v>24120</v>
      </c>
      <c r="Q109" s="818">
        <v>480</v>
      </c>
      <c r="R109" s="766">
        <f t="shared" si="29"/>
        <v>11577600</v>
      </c>
      <c r="S109" s="757" t="s">
        <v>5</v>
      </c>
      <c r="T109" s="332"/>
    </row>
    <row r="110" spans="1:20" s="388" customFormat="1" ht="22.5" customHeight="1">
      <c r="A110" s="617">
        <f t="shared" si="34"/>
        <v>106</v>
      </c>
      <c r="B110" s="763">
        <v>46158</v>
      </c>
      <c r="C110" s="769" t="s">
        <v>264</v>
      </c>
      <c r="D110" s="763" t="s">
        <v>440</v>
      </c>
      <c r="E110" s="128" t="s">
        <v>261</v>
      </c>
      <c r="F110" s="764" t="s">
        <v>486</v>
      </c>
      <c r="G110" s="764"/>
      <c r="H110" s="764"/>
      <c r="I110" s="757" t="s">
        <v>112</v>
      </c>
      <c r="J110" s="821" t="s">
        <v>107</v>
      </c>
      <c r="K110" s="769">
        <v>18800</v>
      </c>
      <c r="L110" s="769">
        <v>32300</v>
      </c>
      <c r="M110" s="250">
        <f t="shared" si="32"/>
        <v>13500</v>
      </c>
      <c r="N110" s="796">
        <v>14750</v>
      </c>
      <c r="O110" s="796"/>
      <c r="P110" s="796">
        <f t="shared" si="33"/>
        <v>13500</v>
      </c>
      <c r="Q110" s="818">
        <v>460</v>
      </c>
      <c r="R110" s="766">
        <f t="shared" si="29"/>
        <v>6210000</v>
      </c>
      <c r="S110" s="757" t="s">
        <v>5</v>
      </c>
      <c r="T110" s="332"/>
    </row>
    <row r="111" spans="1:20" s="388" customFormat="1" ht="22.5" customHeight="1">
      <c r="A111" s="617">
        <f t="shared" si="34"/>
        <v>107</v>
      </c>
      <c r="B111" s="763">
        <v>46158</v>
      </c>
      <c r="C111" s="769" t="s">
        <v>264</v>
      </c>
      <c r="D111" s="763" t="s">
        <v>440</v>
      </c>
      <c r="E111" s="128" t="s">
        <v>261</v>
      </c>
      <c r="F111" s="764" t="s">
        <v>163</v>
      </c>
      <c r="G111" s="764" t="s">
        <v>476</v>
      </c>
      <c r="H111" s="764" t="s">
        <v>477</v>
      </c>
      <c r="I111" s="757" t="s">
        <v>112</v>
      </c>
      <c r="J111" s="821" t="s">
        <v>107</v>
      </c>
      <c r="K111" s="769">
        <v>18700</v>
      </c>
      <c r="L111" s="769">
        <v>37720</v>
      </c>
      <c r="M111" s="250">
        <f t="shared" si="32"/>
        <v>19020</v>
      </c>
      <c r="N111" s="796">
        <v>18990</v>
      </c>
      <c r="O111" s="796"/>
      <c r="P111" s="796">
        <f t="shared" si="33"/>
        <v>19020</v>
      </c>
      <c r="Q111" s="818">
        <v>460</v>
      </c>
      <c r="R111" s="766">
        <f t="shared" si="29"/>
        <v>8749200</v>
      </c>
      <c r="S111" s="757" t="s">
        <v>5</v>
      </c>
      <c r="T111" s="332"/>
    </row>
    <row r="112" spans="1:20" s="388" customFormat="1" ht="22.5" customHeight="1">
      <c r="A112" s="617">
        <f t="shared" si="34"/>
        <v>108</v>
      </c>
      <c r="B112" s="763">
        <v>46158</v>
      </c>
      <c r="C112" s="769" t="s">
        <v>264</v>
      </c>
      <c r="D112" s="763" t="s">
        <v>440</v>
      </c>
      <c r="E112" s="128" t="s">
        <v>261</v>
      </c>
      <c r="F112" s="764" t="s">
        <v>185</v>
      </c>
      <c r="G112" s="764" t="s">
        <v>487</v>
      </c>
      <c r="H112" s="764" t="s">
        <v>488</v>
      </c>
      <c r="I112" s="757" t="s">
        <v>112</v>
      </c>
      <c r="J112" s="821" t="s">
        <v>107</v>
      </c>
      <c r="K112" s="769">
        <v>18580</v>
      </c>
      <c r="L112" s="769">
        <v>31700</v>
      </c>
      <c r="M112" s="250">
        <f t="shared" si="32"/>
        <v>13120</v>
      </c>
      <c r="N112" s="796">
        <v>13030</v>
      </c>
      <c r="O112" s="796"/>
      <c r="P112" s="796">
        <f t="shared" si="33"/>
        <v>13120</v>
      </c>
      <c r="Q112" s="818">
        <v>460</v>
      </c>
      <c r="R112" s="766">
        <f t="shared" si="29"/>
        <v>6035200</v>
      </c>
      <c r="S112" s="757" t="s">
        <v>5</v>
      </c>
      <c r="T112" s="332"/>
    </row>
    <row r="113" spans="1:20" s="388" customFormat="1" ht="22.5" customHeight="1">
      <c r="A113" s="618">
        <f t="shared" si="34"/>
        <v>109</v>
      </c>
      <c r="B113" s="772">
        <v>46158</v>
      </c>
      <c r="C113" s="202" t="s">
        <v>264</v>
      </c>
      <c r="D113" s="772" t="s">
        <v>440</v>
      </c>
      <c r="E113" s="129" t="s">
        <v>261</v>
      </c>
      <c r="F113" s="776" t="s">
        <v>131</v>
      </c>
      <c r="G113" s="776" t="s">
        <v>316</v>
      </c>
      <c r="H113" s="776" t="s">
        <v>317</v>
      </c>
      <c r="I113" s="759" t="s">
        <v>112</v>
      </c>
      <c r="J113" s="831" t="s">
        <v>107</v>
      </c>
      <c r="K113" s="202">
        <v>18280</v>
      </c>
      <c r="L113" s="202">
        <v>35540</v>
      </c>
      <c r="M113" s="257">
        <f t="shared" si="32"/>
        <v>17260</v>
      </c>
      <c r="N113" s="814">
        <v>17070</v>
      </c>
      <c r="O113" s="814">
        <v>500</v>
      </c>
      <c r="P113" s="814">
        <f>M113-O113</f>
        <v>16760</v>
      </c>
      <c r="Q113" s="819">
        <v>460</v>
      </c>
      <c r="R113" s="767">
        <f t="shared" si="29"/>
        <v>7709600</v>
      </c>
      <c r="S113" s="759" t="s">
        <v>5</v>
      </c>
      <c r="T113" s="332"/>
    </row>
    <row r="114" spans="1:20" s="388" customFormat="1" ht="22.5" customHeight="1">
      <c r="A114" s="782">
        <f t="shared" si="34"/>
        <v>110</v>
      </c>
      <c r="B114" s="770">
        <v>46159</v>
      </c>
      <c r="C114" s="774" t="s">
        <v>314</v>
      </c>
      <c r="D114" s="770" t="s">
        <v>440</v>
      </c>
      <c r="E114" s="126" t="s">
        <v>263</v>
      </c>
      <c r="F114" s="773" t="s">
        <v>334</v>
      </c>
      <c r="G114" s="773" t="s">
        <v>492</v>
      </c>
      <c r="H114" s="773" t="s">
        <v>493</v>
      </c>
      <c r="I114" s="755" t="s">
        <v>112</v>
      </c>
      <c r="J114" s="773" t="s">
        <v>271</v>
      </c>
      <c r="K114" s="774">
        <v>21390</v>
      </c>
      <c r="L114" s="774">
        <v>32670</v>
      </c>
      <c r="M114" s="253">
        <f t="shared" si="32"/>
        <v>11280</v>
      </c>
      <c r="N114" s="761"/>
      <c r="O114" s="761"/>
      <c r="P114" s="761">
        <f t="shared" si="33"/>
        <v>11280</v>
      </c>
      <c r="Q114" s="765">
        <v>490</v>
      </c>
      <c r="R114" s="765">
        <f t="shared" si="29"/>
        <v>5527200</v>
      </c>
      <c r="S114" s="755" t="s">
        <v>5</v>
      </c>
      <c r="T114" s="332"/>
    </row>
    <row r="115" spans="1:20" s="388" customFormat="1" ht="22.5" customHeight="1">
      <c r="A115" s="617">
        <f t="shared" si="34"/>
        <v>111</v>
      </c>
      <c r="B115" s="763">
        <v>46159</v>
      </c>
      <c r="C115" s="769" t="s">
        <v>314</v>
      </c>
      <c r="D115" s="763" t="s">
        <v>440</v>
      </c>
      <c r="E115" s="128" t="s">
        <v>261</v>
      </c>
      <c r="F115" s="764" t="s">
        <v>118</v>
      </c>
      <c r="G115" s="764" t="s">
        <v>494</v>
      </c>
      <c r="H115" s="764" t="s">
        <v>495</v>
      </c>
      <c r="I115" s="757" t="s">
        <v>112</v>
      </c>
      <c r="J115" s="764" t="s">
        <v>271</v>
      </c>
      <c r="K115" s="769">
        <v>17930</v>
      </c>
      <c r="L115" s="769">
        <v>32120</v>
      </c>
      <c r="M115" s="250">
        <f t="shared" si="32"/>
        <v>14190</v>
      </c>
      <c r="N115" s="750"/>
      <c r="O115" s="750"/>
      <c r="P115" s="750">
        <f t="shared" si="33"/>
        <v>14190</v>
      </c>
      <c r="Q115" s="766">
        <v>475</v>
      </c>
      <c r="R115" s="766">
        <f t="shared" si="29"/>
        <v>6740250</v>
      </c>
      <c r="S115" s="757" t="s">
        <v>5</v>
      </c>
      <c r="T115" s="332"/>
    </row>
    <row r="116" spans="1:20" s="388" customFormat="1" ht="22.5" customHeight="1">
      <c r="A116" s="618">
        <f t="shared" si="34"/>
        <v>112</v>
      </c>
      <c r="B116" s="772">
        <v>46159</v>
      </c>
      <c r="C116" s="202" t="s">
        <v>314</v>
      </c>
      <c r="D116" s="772" t="s">
        <v>440</v>
      </c>
      <c r="E116" s="129" t="s">
        <v>261</v>
      </c>
      <c r="F116" s="776" t="s">
        <v>118</v>
      </c>
      <c r="G116" s="776" t="s">
        <v>494</v>
      </c>
      <c r="H116" s="776" t="s">
        <v>495</v>
      </c>
      <c r="I116" s="759" t="s">
        <v>112</v>
      </c>
      <c r="J116" s="776" t="s">
        <v>271</v>
      </c>
      <c r="K116" s="202">
        <v>17910</v>
      </c>
      <c r="L116" s="202">
        <v>33670</v>
      </c>
      <c r="M116" s="257">
        <f t="shared" si="32"/>
        <v>15760</v>
      </c>
      <c r="N116" s="762"/>
      <c r="O116" s="762"/>
      <c r="P116" s="762">
        <f t="shared" si="33"/>
        <v>15760</v>
      </c>
      <c r="Q116" s="767">
        <v>475</v>
      </c>
      <c r="R116" s="767">
        <f t="shared" si="29"/>
        <v>7486000</v>
      </c>
      <c r="S116" s="759" t="s">
        <v>5</v>
      </c>
      <c r="T116" s="332"/>
    </row>
    <row r="117" spans="1:20" s="388" customFormat="1" ht="22.5" customHeight="1">
      <c r="A117" s="612">
        <f t="shared" ref="A117:A133" si="35">ROW()-4</f>
        <v>113</v>
      </c>
      <c r="B117" s="874">
        <v>46160</v>
      </c>
      <c r="C117" s="888" t="s">
        <v>264</v>
      </c>
      <c r="D117" s="888" t="s">
        <v>440</v>
      </c>
      <c r="E117" s="874" t="s">
        <v>263</v>
      </c>
      <c r="F117" s="874" t="s">
        <v>172</v>
      </c>
      <c r="G117" s="874" t="s">
        <v>291</v>
      </c>
      <c r="H117" s="874" t="s">
        <v>292</v>
      </c>
      <c r="I117" s="501" t="s">
        <v>37</v>
      </c>
      <c r="J117" s="868" t="s">
        <v>123</v>
      </c>
      <c r="K117" s="862">
        <v>14080</v>
      </c>
      <c r="L117" s="862">
        <v>19060</v>
      </c>
      <c r="M117" s="23">
        <f>L117-K117</f>
        <v>4980</v>
      </c>
      <c r="N117" s="934">
        <f>5000-N118</f>
        <v>4490</v>
      </c>
      <c r="O117" s="935">
        <v>3</v>
      </c>
      <c r="P117" s="934">
        <f>N117-O117</f>
        <v>4487</v>
      </c>
      <c r="Q117" s="870">
        <v>1920</v>
      </c>
      <c r="R117" s="870">
        <f t="shared" ref="R117:R118" si="36">P117*Q117</f>
        <v>8615040</v>
      </c>
      <c r="S117" s="865" t="s">
        <v>5</v>
      </c>
      <c r="T117" s="332"/>
    </row>
    <row r="118" spans="1:20" s="388" customFormat="1" ht="22.5" customHeight="1">
      <c r="A118" s="617">
        <f>ROW()-4</f>
        <v>114</v>
      </c>
      <c r="B118" s="875">
        <v>46160</v>
      </c>
      <c r="C118" s="882" t="s">
        <v>264</v>
      </c>
      <c r="D118" s="882" t="s">
        <v>440</v>
      </c>
      <c r="E118" s="875" t="s">
        <v>263</v>
      </c>
      <c r="F118" s="875" t="s">
        <v>172</v>
      </c>
      <c r="G118" s="875" t="s">
        <v>291</v>
      </c>
      <c r="H118" s="875" t="s">
        <v>292</v>
      </c>
      <c r="I118" s="226" t="s">
        <v>37</v>
      </c>
      <c r="J118" s="879" t="s">
        <v>92</v>
      </c>
      <c r="K118" s="860"/>
      <c r="L118" s="860"/>
      <c r="M118" s="26"/>
      <c r="N118" s="936">
        <v>510</v>
      </c>
      <c r="O118" s="937"/>
      <c r="P118" s="936">
        <v>510</v>
      </c>
      <c r="Q118" s="864">
        <v>200</v>
      </c>
      <c r="R118" s="864">
        <f t="shared" si="36"/>
        <v>102000</v>
      </c>
      <c r="S118" s="866" t="s">
        <v>5</v>
      </c>
      <c r="T118" s="332"/>
    </row>
    <row r="119" spans="1:20" s="388" customFormat="1" ht="22.5" customHeight="1">
      <c r="A119" s="613">
        <f t="shared" si="35"/>
        <v>115</v>
      </c>
      <c r="B119" s="887">
        <v>46160</v>
      </c>
      <c r="C119" s="890" t="s">
        <v>264</v>
      </c>
      <c r="D119" s="887" t="s">
        <v>440</v>
      </c>
      <c r="E119" s="126" t="s">
        <v>261</v>
      </c>
      <c r="F119" s="889" t="s">
        <v>472</v>
      </c>
      <c r="G119" s="889"/>
      <c r="H119" s="889"/>
      <c r="I119" s="873" t="s">
        <v>112</v>
      </c>
      <c r="J119" s="889" t="s">
        <v>272</v>
      </c>
      <c r="K119" s="890">
        <v>18820</v>
      </c>
      <c r="L119" s="890">
        <v>43060</v>
      </c>
      <c r="M119" s="253">
        <f t="shared" ref="M119:M134" si="37">L119-K119</f>
        <v>24240</v>
      </c>
      <c r="N119" s="878">
        <v>24210</v>
      </c>
      <c r="O119" s="878"/>
      <c r="P119" s="878">
        <f t="shared" ref="P119:P134" si="38">M119</f>
        <v>24240</v>
      </c>
      <c r="Q119" s="884">
        <v>500</v>
      </c>
      <c r="R119" s="884">
        <f t="shared" ref="R119:R134" si="39">Q119*P119</f>
        <v>12120000</v>
      </c>
      <c r="S119" s="873" t="s">
        <v>5</v>
      </c>
      <c r="T119" s="332"/>
    </row>
    <row r="120" spans="1:20" s="388" customFormat="1" ht="22.5" customHeight="1">
      <c r="A120" s="615">
        <f t="shared" si="35"/>
        <v>116</v>
      </c>
      <c r="B120" s="882">
        <v>46160</v>
      </c>
      <c r="C120" s="886" t="s">
        <v>264</v>
      </c>
      <c r="D120" s="882" t="s">
        <v>440</v>
      </c>
      <c r="E120" s="128" t="s">
        <v>261</v>
      </c>
      <c r="F120" s="883" t="s">
        <v>163</v>
      </c>
      <c r="G120" s="883" t="s">
        <v>476</v>
      </c>
      <c r="H120" s="883" t="s">
        <v>477</v>
      </c>
      <c r="I120" s="866" t="s">
        <v>112</v>
      </c>
      <c r="J120" s="883" t="s">
        <v>110</v>
      </c>
      <c r="K120" s="886">
        <v>18760</v>
      </c>
      <c r="L120" s="886">
        <v>28660</v>
      </c>
      <c r="M120" s="250">
        <f t="shared" si="37"/>
        <v>9900</v>
      </c>
      <c r="N120" s="863">
        <v>10010</v>
      </c>
      <c r="O120" s="863"/>
      <c r="P120" s="863">
        <f t="shared" si="38"/>
        <v>9900</v>
      </c>
      <c r="Q120" s="885">
        <v>480</v>
      </c>
      <c r="R120" s="885">
        <f t="shared" si="39"/>
        <v>4752000</v>
      </c>
      <c r="S120" s="866" t="s">
        <v>5</v>
      </c>
      <c r="T120" s="332"/>
    </row>
    <row r="121" spans="1:20" s="388" customFormat="1" ht="22.5" customHeight="1">
      <c r="A121" s="615">
        <f t="shared" si="35"/>
        <v>117</v>
      </c>
      <c r="B121" s="882">
        <v>46160</v>
      </c>
      <c r="C121" s="886" t="s">
        <v>264</v>
      </c>
      <c r="D121" s="882" t="s">
        <v>440</v>
      </c>
      <c r="E121" s="128" t="s">
        <v>261</v>
      </c>
      <c r="F121" s="883" t="s">
        <v>116</v>
      </c>
      <c r="G121" s="883" t="s">
        <v>319</v>
      </c>
      <c r="H121" s="883" t="s">
        <v>320</v>
      </c>
      <c r="I121" s="866" t="s">
        <v>112</v>
      </c>
      <c r="J121" s="883" t="s">
        <v>110</v>
      </c>
      <c r="K121" s="886">
        <v>18780</v>
      </c>
      <c r="L121" s="886">
        <v>33420</v>
      </c>
      <c r="M121" s="250">
        <f t="shared" si="37"/>
        <v>14640</v>
      </c>
      <c r="N121" s="863">
        <v>14620</v>
      </c>
      <c r="O121" s="863"/>
      <c r="P121" s="863">
        <f>M121-O121</f>
        <v>14640</v>
      </c>
      <c r="Q121" s="885">
        <v>480</v>
      </c>
      <c r="R121" s="885">
        <f t="shared" si="39"/>
        <v>7027200</v>
      </c>
      <c r="S121" s="866" t="s">
        <v>5</v>
      </c>
      <c r="T121" s="332"/>
    </row>
    <row r="122" spans="1:20" s="388" customFormat="1" ht="22.5" customHeight="1">
      <c r="A122" s="615">
        <f t="shared" si="35"/>
        <v>118</v>
      </c>
      <c r="B122" s="882">
        <v>46160</v>
      </c>
      <c r="C122" s="886" t="s">
        <v>264</v>
      </c>
      <c r="D122" s="882" t="s">
        <v>440</v>
      </c>
      <c r="E122" s="128" t="s">
        <v>261</v>
      </c>
      <c r="F122" s="883" t="s">
        <v>118</v>
      </c>
      <c r="G122" s="883" t="s">
        <v>494</v>
      </c>
      <c r="H122" s="883" t="s">
        <v>495</v>
      </c>
      <c r="I122" s="866" t="s">
        <v>112</v>
      </c>
      <c r="J122" s="883" t="s">
        <v>110</v>
      </c>
      <c r="K122" s="886">
        <v>18380</v>
      </c>
      <c r="L122" s="886">
        <v>35340</v>
      </c>
      <c r="M122" s="250">
        <f t="shared" si="37"/>
        <v>16960</v>
      </c>
      <c r="N122" s="863">
        <v>17040</v>
      </c>
      <c r="O122" s="863"/>
      <c r="P122" s="863">
        <f t="shared" si="38"/>
        <v>16960</v>
      </c>
      <c r="Q122" s="885">
        <v>480</v>
      </c>
      <c r="R122" s="885">
        <f t="shared" si="39"/>
        <v>8140800</v>
      </c>
      <c r="S122" s="866" t="s">
        <v>5</v>
      </c>
      <c r="T122" s="332"/>
    </row>
    <row r="123" spans="1:20" s="388" customFormat="1" ht="22.5" customHeight="1">
      <c r="A123" s="615">
        <f t="shared" si="35"/>
        <v>119</v>
      </c>
      <c r="B123" s="882">
        <v>46160</v>
      </c>
      <c r="C123" s="886" t="s">
        <v>264</v>
      </c>
      <c r="D123" s="882" t="s">
        <v>440</v>
      </c>
      <c r="E123" s="128" t="s">
        <v>261</v>
      </c>
      <c r="F123" s="883" t="s">
        <v>225</v>
      </c>
      <c r="G123" s="883" t="s">
        <v>491</v>
      </c>
      <c r="H123" s="883" t="s">
        <v>471</v>
      </c>
      <c r="I123" s="866" t="s">
        <v>112</v>
      </c>
      <c r="J123" s="883" t="s">
        <v>110</v>
      </c>
      <c r="K123" s="886">
        <v>18620</v>
      </c>
      <c r="L123" s="886">
        <v>38140</v>
      </c>
      <c r="M123" s="250">
        <f t="shared" si="37"/>
        <v>19520</v>
      </c>
      <c r="N123" s="863">
        <v>19430</v>
      </c>
      <c r="O123" s="863"/>
      <c r="P123" s="863">
        <f t="shared" si="38"/>
        <v>19520</v>
      </c>
      <c r="Q123" s="885">
        <v>480</v>
      </c>
      <c r="R123" s="885">
        <f t="shared" si="39"/>
        <v>9369600</v>
      </c>
      <c r="S123" s="866" t="s">
        <v>5</v>
      </c>
      <c r="T123" s="332"/>
    </row>
    <row r="124" spans="1:20" s="388" customFormat="1" ht="22.5" customHeight="1">
      <c r="A124" s="615">
        <f t="shared" si="35"/>
        <v>120</v>
      </c>
      <c r="B124" s="882">
        <v>46160</v>
      </c>
      <c r="C124" s="886" t="s">
        <v>264</v>
      </c>
      <c r="D124" s="882" t="s">
        <v>440</v>
      </c>
      <c r="E124" s="128" t="s">
        <v>261</v>
      </c>
      <c r="F124" s="883" t="s">
        <v>153</v>
      </c>
      <c r="G124" s="883" t="s">
        <v>499</v>
      </c>
      <c r="H124" s="883" t="s">
        <v>500</v>
      </c>
      <c r="I124" s="866" t="s">
        <v>112</v>
      </c>
      <c r="J124" s="883" t="s">
        <v>110</v>
      </c>
      <c r="K124" s="886">
        <v>17980</v>
      </c>
      <c r="L124" s="886">
        <v>37640</v>
      </c>
      <c r="M124" s="250">
        <f t="shared" si="37"/>
        <v>19660</v>
      </c>
      <c r="N124" s="863">
        <v>19630</v>
      </c>
      <c r="O124" s="863"/>
      <c r="P124" s="863">
        <f t="shared" si="38"/>
        <v>19660</v>
      </c>
      <c r="Q124" s="885">
        <v>480</v>
      </c>
      <c r="R124" s="885">
        <f t="shared" si="39"/>
        <v>9436800</v>
      </c>
      <c r="S124" s="866" t="s">
        <v>5</v>
      </c>
      <c r="T124" s="332"/>
    </row>
    <row r="125" spans="1:20" s="388" customFormat="1" ht="22.5" customHeight="1">
      <c r="A125" s="615">
        <f t="shared" si="35"/>
        <v>121</v>
      </c>
      <c r="B125" s="882">
        <v>46160</v>
      </c>
      <c r="C125" s="886" t="s">
        <v>264</v>
      </c>
      <c r="D125" s="882" t="s">
        <v>440</v>
      </c>
      <c r="E125" s="128" t="s">
        <v>261</v>
      </c>
      <c r="F125" s="883" t="s">
        <v>156</v>
      </c>
      <c r="G125" s="883" t="s">
        <v>501</v>
      </c>
      <c r="H125" s="883" t="s">
        <v>502</v>
      </c>
      <c r="I125" s="866" t="s">
        <v>112</v>
      </c>
      <c r="J125" s="883" t="s">
        <v>110</v>
      </c>
      <c r="K125" s="886">
        <v>18640</v>
      </c>
      <c r="L125" s="886">
        <v>34640</v>
      </c>
      <c r="M125" s="250">
        <f t="shared" si="37"/>
        <v>16000</v>
      </c>
      <c r="N125" s="863">
        <v>15830</v>
      </c>
      <c r="O125" s="863"/>
      <c r="P125" s="863">
        <f t="shared" si="38"/>
        <v>16000</v>
      </c>
      <c r="Q125" s="885">
        <v>480</v>
      </c>
      <c r="R125" s="885">
        <f t="shared" si="39"/>
        <v>7680000</v>
      </c>
      <c r="S125" s="866" t="s">
        <v>5</v>
      </c>
      <c r="T125" s="332"/>
    </row>
    <row r="126" spans="1:20" s="388" customFormat="1" ht="22.5" customHeight="1">
      <c r="A126" s="615">
        <f t="shared" si="35"/>
        <v>122</v>
      </c>
      <c r="B126" s="882">
        <v>46160</v>
      </c>
      <c r="C126" s="886" t="s">
        <v>264</v>
      </c>
      <c r="D126" s="882" t="s">
        <v>440</v>
      </c>
      <c r="E126" s="128" t="s">
        <v>261</v>
      </c>
      <c r="F126" s="883" t="s">
        <v>117</v>
      </c>
      <c r="G126" s="883" t="s">
        <v>329</v>
      </c>
      <c r="H126" s="883" t="s">
        <v>330</v>
      </c>
      <c r="I126" s="866" t="s">
        <v>112</v>
      </c>
      <c r="J126" s="883" t="s">
        <v>272</v>
      </c>
      <c r="K126" s="886">
        <v>18960</v>
      </c>
      <c r="L126" s="886">
        <v>34600</v>
      </c>
      <c r="M126" s="250">
        <f t="shared" si="37"/>
        <v>15640</v>
      </c>
      <c r="N126" s="863">
        <v>15560</v>
      </c>
      <c r="O126" s="863">
        <v>400</v>
      </c>
      <c r="P126" s="863">
        <f>M126-O126</f>
        <v>15240</v>
      </c>
      <c r="Q126" s="885">
        <v>480</v>
      </c>
      <c r="R126" s="885">
        <f t="shared" si="39"/>
        <v>7315200</v>
      </c>
      <c r="S126" s="866" t="s">
        <v>5</v>
      </c>
      <c r="T126" s="332"/>
    </row>
    <row r="127" spans="1:20" s="388" customFormat="1" ht="22.5" customHeight="1">
      <c r="A127" s="615">
        <f t="shared" si="35"/>
        <v>123</v>
      </c>
      <c r="B127" s="882">
        <v>46160</v>
      </c>
      <c r="C127" s="886" t="s">
        <v>264</v>
      </c>
      <c r="D127" s="882" t="s">
        <v>440</v>
      </c>
      <c r="E127" s="128" t="s">
        <v>261</v>
      </c>
      <c r="F127" s="883" t="s">
        <v>179</v>
      </c>
      <c r="G127" s="883" t="s">
        <v>327</v>
      </c>
      <c r="H127" s="883" t="s">
        <v>328</v>
      </c>
      <c r="I127" s="866" t="s">
        <v>112</v>
      </c>
      <c r="J127" s="883" t="s">
        <v>110</v>
      </c>
      <c r="K127" s="886">
        <v>19000</v>
      </c>
      <c r="L127" s="886">
        <v>37080</v>
      </c>
      <c r="M127" s="250">
        <f t="shared" si="37"/>
        <v>18080</v>
      </c>
      <c r="N127" s="863">
        <v>18010</v>
      </c>
      <c r="O127" s="863"/>
      <c r="P127" s="863">
        <f t="shared" si="38"/>
        <v>18080</v>
      </c>
      <c r="Q127" s="885">
        <v>480</v>
      </c>
      <c r="R127" s="885">
        <f t="shared" si="39"/>
        <v>8678400</v>
      </c>
      <c r="S127" s="866" t="s">
        <v>5</v>
      </c>
      <c r="T127" s="332"/>
    </row>
    <row r="128" spans="1:20" s="388" customFormat="1" ht="22.5" customHeight="1">
      <c r="A128" s="615">
        <f t="shared" si="35"/>
        <v>124</v>
      </c>
      <c r="B128" s="882">
        <v>46160</v>
      </c>
      <c r="C128" s="886" t="s">
        <v>264</v>
      </c>
      <c r="D128" s="882" t="s">
        <v>440</v>
      </c>
      <c r="E128" s="128" t="s">
        <v>261</v>
      </c>
      <c r="F128" s="883" t="s">
        <v>225</v>
      </c>
      <c r="G128" s="883" t="s">
        <v>491</v>
      </c>
      <c r="H128" s="883" t="s">
        <v>471</v>
      </c>
      <c r="I128" s="866" t="s">
        <v>112</v>
      </c>
      <c r="J128" s="883" t="s">
        <v>110</v>
      </c>
      <c r="K128" s="886">
        <v>18600</v>
      </c>
      <c r="L128" s="886">
        <v>35280</v>
      </c>
      <c r="M128" s="250">
        <f t="shared" si="37"/>
        <v>16680</v>
      </c>
      <c r="N128" s="863">
        <v>16630</v>
      </c>
      <c r="O128" s="863"/>
      <c r="P128" s="863">
        <f t="shared" si="38"/>
        <v>16680</v>
      </c>
      <c r="Q128" s="885">
        <v>480</v>
      </c>
      <c r="R128" s="885">
        <f t="shared" si="39"/>
        <v>8006400</v>
      </c>
      <c r="S128" s="866" t="s">
        <v>5</v>
      </c>
      <c r="T128" s="332"/>
    </row>
    <row r="129" spans="1:20" s="388" customFormat="1" ht="22.5" customHeight="1">
      <c r="A129" s="615">
        <f t="shared" si="35"/>
        <v>125</v>
      </c>
      <c r="B129" s="882">
        <v>46160</v>
      </c>
      <c r="C129" s="886" t="s">
        <v>264</v>
      </c>
      <c r="D129" s="882" t="s">
        <v>440</v>
      </c>
      <c r="E129" s="128" t="s">
        <v>261</v>
      </c>
      <c r="F129" s="883" t="s">
        <v>153</v>
      </c>
      <c r="G129" s="883" t="s">
        <v>499</v>
      </c>
      <c r="H129" s="883" t="s">
        <v>500</v>
      </c>
      <c r="I129" s="866" t="s">
        <v>112</v>
      </c>
      <c r="J129" s="883" t="s">
        <v>110</v>
      </c>
      <c r="K129" s="886">
        <v>18080</v>
      </c>
      <c r="L129" s="886">
        <v>36460</v>
      </c>
      <c r="M129" s="250">
        <f t="shared" si="37"/>
        <v>18380</v>
      </c>
      <c r="N129" s="863">
        <v>18270</v>
      </c>
      <c r="O129" s="863"/>
      <c r="P129" s="863">
        <f t="shared" si="38"/>
        <v>18380</v>
      </c>
      <c r="Q129" s="885">
        <v>480</v>
      </c>
      <c r="R129" s="885">
        <f t="shared" si="39"/>
        <v>8822400</v>
      </c>
      <c r="S129" s="866" t="s">
        <v>5</v>
      </c>
      <c r="T129" s="332"/>
    </row>
    <row r="130" spans="1:20" s="388" customFormat="1" ht="22.5" customHeight="1">
      <c r="A130" s="615">
        <f t="shared" si="35"/>
        <v>126</v>
      </c>
      <c r="B130" s="882">
        <v>46160</v>
      </c>
      <c r="C130" s="886" t="s">
        <v>314</v>
      </c>
      <c r="D130" s="882" t="s">
        <v>440</v>
      </c>
      <c r="E130" s="128" t="s">
        <v>263</v>
      </c>
      <c r="F130" s="883" t="s">
        <v>172</v>
      </c>
      <c r="G130" s="883" t="s">
        <v>291</v>
      </c>
      <c r="H130" s="883" t="s">
        <v>292</v>
      </c>
      <c r="I130" s="866" t="s">
        <v>112</v>
      </c>
      <c r="J130" s="883" t="s">
        <v>132</v>
      </c>
      <c r="K130" s="886">
        <v>15570</v>
      </c>
      <c r="L130" s="886">
        <v>19660</v>
      </c>
      <c r="M130" s="250">
        <f t="shared" si="37"/>
        <v>4090</v>
      </c>
      <c r="N130" s="863">
        <v>4090</v>
      </c>
      <c r="O130" s="863"/>
      <c r="P130" s="863">
        <f t="shared" si="38"/>
        <v>4090</v>
      </c>
      <c r="Q130" s="885">
        <v>465</v>
      </c>
      <c r="R130" s="885">
        <f t="shared" si="39"/>
        <v>1901850</v>
      </c>
      <c r="S130" s="866" t="s">
        <v>5</v>
      </c>
      <c r="T130" s="332"/>
    </row>
    <row r="131" spans="1:20" s="388" customFormat="1" ht="22.5" customHeight="1">
      <c r="A131" s="615">
        <f t="shared" si="35"/>
        <v>127</v>
      </c>
      <c r="B131" s="882">
        <v>46160</v>
      </c>
      <c r="C131" s="886" t="s">
        <v>314</v>
      </c>
      <c r="D131" s="882" t="s">
        <v>440</v>
      </c>
      <c r="E131" s="128" t="s">
        <v>261</v>
      </c>
      <c r="F131" s="883" t="s">
        <v>118</v>
      </c>
      <c r="G131" s="883" t="s">
        <v>494</v>
      </c>
      <c r="H131" s="883" t="s">
        <v>495</v>
      </c>
      <c r="I131" s="866" t="s">
        <v>112</v>
      </c>
      <c r="J131" s="883" t="s">
        <v>119</v>
      </c>
      <c r="K131" s="886">
        <v>18080</v>
      </c>
      <c r="L131" s="886">
        <v>26800</v>
      </c>
      <c r="M131" s="250">
        <f t="shared" si="37"/>
        <v>8720</v>
      </c>
      <c r="N131" s="863">
        <v>8680</v>
      </c>
      <c r="O131" s="863"/>
      <c r="P131" s="863">
        <f t="shared" si="38"/>
        <v>8720</v>
      </c>
      <c r="Q131" s="885">
        <v>450</v>
      </c>
      <c r="R131" s="885">
        <f t="shared" si="39"/>
        <v>3924000</v>
      </c>
      <c r="S131" s="866" t="s">
        <v>5</v>
      </c>
      <c r="T131" s="332"/>
    </row>
    <row r="132" spans="1:20" s="388" customFormat="1" ht="22.5" customHeight="1">
      <c r="A132" s="615">
        <f t="shared" si="35"/>
        <v>128</v>
      </c>
      <c r="B132" s="882">
        <v>46160</v>
      </c>
      <c r="C132" s="886" t="s">
        <v>314</v>
      </c>
      <c r="D132" s="882" t="s">
        <v>440</v>
      </c>
      <c r="E132" s="128" t="s">
        <v>261</v>
      </c>
      <c r="F132" s="883" t="s">
        <v>155</v>
      </c>
      <c r="G132" s="883" t="s">
        <v>510</v>
      </c>
      <c r="H132" s="883" t="s">
        <v>511</v>
      </c>
      <c r="I132" s="866" t="s">
        <v>112</v>
      </c>
      <c r="J132" s="883" t="s">
        <v>255</v>
      </c>
      <c r="K132" s="886">
        <v>18610</v>
      </c>
      <c r="L132" s="886">
        <v>25680</v>
      </c>
      <c r="M132" s="250">
        <f t="shared" si="37"/>
        <v>7070</v>
      </c>
      <c r="N132" s="863">
        <v>7270</v>
      </c>
      <c r="O132" s="863"/>
      <c r="P132" s="863">
        <f t="shared" si="38"/>
        <v>7070</v>
      </c>
      <c r="Q132" s="885">
        <v>450</v>
      </c>
      <c r="R132" s="885">
        <f t="shared" si="39"/>
        <v>3181500</v>
      </c>
      <c r="S132" s="866" t="s">
        <v>5</v>
      </c>
      <c r="T132" s="332"/>
    </row>
    <row r="133" spans="1:20" s="388" customFormat="1" ht="22.5" customHeight="1">
      <c r="A133" s="615">
        <f t="shared" si="35"/>
        <v>129</v>
      </c>
      <c r="B133" s="882">
        <v>46160</v>
      </c>
      <c r="C133" s="886" t="s">
        <v>314</v>
      </c>
      <c r="D133" s="882" t="s">
        <v>440</v>
      </c>
      <c r="E133" s="128" t="s">
        <v>261</v>
      </c>
      <c r="F133" s="883" t="s">
        <v>116</v>
      </c>
      <c r="G133" s="883" t="s">
        <v>319</v>
      </c>
      <c r="H133" s="883" t="s">
        <v>320</v>
      </c>
      <c r="I133" s="866" t="s">
        <v>112</v>
      </c>
      <c r="J133" s="883" t="s">
        <v>110</v>
      </c>
      <c r="K133" s="886">
        <v>18840</v>
      </c>
      <c r="L133" s="886">
        <v>32380</v>
      </c>
      <c r="M133" s="250">
        <f t="shared" si="37"/>
        <v>13540</v>
      </c>
      <c r="N133" s="863">
        <v>13450</v>
      </c>
      <c r="O133" s="863"/>
      <c r="P133" s="863">
        <f t="shared" si="38"/>
        <v>13540</v>
      </c>
      <c r="Q133" s="885">
        <v>470</v>
      </c>
      <c r="R133" s="885">
        <f t="shared" si="39"/>
        <v>6363800</v>
      </c>
      <c r="S133" s="866" t="s">
        <v>5</v>
      </c>
      <c r="T133" s="332"/>
    </row>
    <row r="134" spans="1:20" s="388" customFormat="1" ht="22.5" customHeight="1">
      <c r="A134" s="618">
        <f t="shared" si="27"/>
        <v>130</v>
      </c>
      <c r="B134" s="882">
        <v>46160</v>
      </c>
      <c r="C134" s="886" t="s">
        <v>314</v>
      </c>
      <c r="D134" s="882" t="s">
        <v>440</v>
      </c>
      <c r="E134" s="128" t="s">
        <v>261</v>
      </c>
      <c r="F134" s="883" t="s">
        <v>117</v>
      </c>
      <c r="G134" s="883" t="s">
        <v>329</v>
      </c>
      <c r="H134" s="883" t="s">
        <v>330</v>
      </c>
      <c r="I134" s="866" t="s">
        <v>112</v>
      </c>
      <c r="J134" s="883" t="s">
        <v>110</v>
      </c>
      <c r="K134" s="886">
        <v>18700</v>
      </c>
      <c r="L134" s="886">
        <v>31220</v>
      </c>
      <c r="M134" s="250">
        <f t="shared" si="37"/>
        <v>12520</v>
      </c>
      <c r="N134" s="863">
        <v>12470</v>
      </c>
      <c r="O134" s="863"/>
      <c r="P134" s="863">
        <f t="shared" si="38"/>
        <v>12520</v>
      </c>
      <c r="Q134" s="885">
        <v>470</v>
      </c>
      <c r="R134" s="885">
        <f t="shared" si="39"/>
        <v>5884400</v>
      </c>
      <c r="S134" s="866" t="s">
        <v>5</v>
      </c>
      <c r="T134" s="332"/>
    </row>
    <row r="135" spans="1:20" s="388" customFormat="1" ht="22.5" customHeight="1">
      <c r="A135" s="612">
        <f t="shared" ref="A135:A151" si="40">ROW()-4</f>
        <v>131</v>
      </c>
      <c r="B135" s="910">
        <v>46161</v>
      </c>
      <c r="C135" s="928" t="s">
        <v>264</v>
      </c>
      <c r="D135" s="928" t="s">
        <v>17</v>
      </c>
      <c r="E135" s="910" t="s">
        <v>89</v>
      </c>
      <c r="F135" s="910" t="s">
        <v>206</v>
      </c>
      <c r="G135" s="910"/>
      <c r="H135" s="910"/>
      <c r="I135" s="501" t="s">
        <v>37</v>
      </c>
      <c r="J135" s="904" t="s">
        <v>123</v>
      </c>
      <c r="K135" s="897">
        <v>20020</v>
      </c>
      <c r="L135" s="897">
        <v>25820</v>
      </c>
      <c r="M135" s="23">
        <f>L135-K135</f>
        <v>5800</v>
      </c>
      <c r="N135" s="934">
        <f>5780-150-240-580</f>
        <v>4810</v>
      </c>
      <c r="O135" s="935">
        <v>6</v>
      </c>
      <c r="P135" s="934">
        <f>N135-O135</f>
        <v>4804</v>
      </c>
      <c r="Q135" s="905">
        <v>1920</v>
      </c>
      <c r="R135" s="905">
        <f t="shared" ref="R135:R138" si="41">P135*Q135</f>
        <v>9223680</v>
      </c>
      <c r="S135" s="894" t="s">
        <v>5</v>
      </c>
      <c r="T135" s="332"/>
    </row>
    <row r="136" spans="1:20" s="388" customFormat="1" ht="22.5" customHeight="1">
      <c r="A136" s="617">
        <f t="shared" si="40"/>
        <v>132</v>
      </c>
      <c r="B136" s="908">
        <v>46161</v>
      </c>
      <c r="C136" s="920" t="s">
        <v>304</v>
      </c>
      <c r="D136" s="920" t="s">
        <v>262</v>
      </c>
      <c r="E136" s="908" t="s">
        <v>239</v>
      </c>
      <c r="F136" s="908" t="s">
        <v>235</v>
      </c>
      <c r="G136" s="908"/>
      <c r="H136" s="908"/>
      <c r="I136" s="226" t="s">
        <v>37</v>
      </c>
      <c r="J136" s="919" t="s">
        <v>123</v>
      </c>
      <c r="K136" s="898"/>
      <c r="L136" s="898"/>
      <c r="M136" s="26"/>
      <c r="N136" s="936">
        <v>240</v>
      </c>
      <c r="O136" s="937"/>
      <c r="P136" s="936">
        <v>240</v>
      </c>
      <c r="Q136" s="901">
        <v>1920</v>
      </c>
      <c r="R136" s="901">
        <f>Q136*P136</f>
        <v>460800</v>
      </c>
      <c r="S136" s="895" t="s">
        <v>5</v>
      </c>
      <c r="T136" s="332"/>
    </row>
    <row r="137" spans="1:20" s="388" customFormat="1" ht="22.5" customHeight="1">
      <c r="A137" s="617">
        <f t="shared" si="40"/>
        <v>133</v>
      </c>
      <c r="B137" s="908">
        <v>46161</v>
      </c>
      <c r="C137" s="920" t="s">
        <v>522</v>
      </c>
      <c r="D137" s="920" t="s">
        <v>17</v>
      </c>
      <c r="E137" s="908" t="s">
        <v>239</v>
      </c>
      <c r="F137" s="908" t="s">
        <v>235</v>
      </c>
      <c r="G137" s="908"/>
      <c r="H137" s="908"/>
      <c r="I137" s="226" t="s">
        <v>37</v>
      </c>
      <c r="J137" s="919" t="s">
        <v>123</v>
      </c>
      <c r="K137" s="898"/>
      <c r="L137" s="898"/>
      <c r="M137" s="26"/>
      <c r="N137" s="936">
        <v>580</v>
      </c>
      <c r="O137" s="937"/>
      <c r="P137" s="936">
        <v>580</v>
      </c>
      <c r="Q137" s="901">
        <v>1920</v>
      </c>
      <c r="R137" s="901">
        <f>Q137*P137</f>
        <v>1113600</v>
      </c>
      <c r="S137" s="895" t="s">
        <v>5</v>
      </c>
      <c r="T137" s="332"/>
    </row>
    <row r="138" spans="1:20" s="388" customFormat="1" ht="22.5" customHeight="1">
      <c r="A138" s="618">
        <f t="shared" si="40"/>
        <v>134</v>
      </c>
      <c r="B138" s="911">
        <v>46161</v>
      </c>
      <c r="C138" s="929" t="s">
        <v>264</v>
      </c>
      <c r="D138" s="929" t="s">
        <v>17</v>
      </c>
      <c r="E138" s="911" t="s">
        <v>89</v>
      </c>
      <c r="F138" s="911" t="s">
        <v>206</v>
      </c>
      <c r="G138" s="911"/>
      <c r="H138" s="911"/>
      <c r="I138" s="502" t="s">
        <v>37</v>
      </c>
      <c r="J138" s="906" t="s">
        <v>60</v>
      </c>
      <c r="K138" s="899"/>
      <c r="L138" s="899"/>
      <c r="M138" s="28"/>
      <c r="N138" s="941">
        <v>150</v>
      </c>
      <c r="O138" s="942"/>
      <c r="P138" s="941">
        <v>150</v>
      </c>
      <c r="Q138" s="907">
        <v>250</v>
      </c>
      <c r="R138" s="907">
        <f t="shared" si="41"/>
        <v>37500</v>
      </c>
      <c r="S138" s="913" t="s">
        <v>5</v>
      </c>
      <c r="T138" s="332"/>
    </row>
    <row r="139" spans="1:20" s="388" customFormat="1" ht="22.5" customHeight="1">
      <c r="A139" s="782">
        <f t="shared" si="40"/>
        <v>135</v>
      </c>
      <c r="B139" s="927">
        <v>46161</v>
      </c>
      <c r="C139" s="931" t="s">
        <v>264</v>
      </c>
      <c r="D139" s="927" t="s">
        <v>440</v>
      </c>
      <c r="E139" s="126" t="s">
        <v>261</v>
      </c>
      <c r="F139" s="930" t="s">
        <v>179</v>
      </c>
      <c r="G139" s="930" t="s">
        <v>327</v>
      </c>
      <c r="H139" s="930" t="s">
        <v>328</v>
      </c>
      <c r="I139" s="912" t="s">
        <v>112</v>
      </c>
      <c r="J139" s="930" t="s">
        <v>272</v>
      </c>
      <c r="K139" s="931">
        <v>18940</v>
      </c>
      <c r="L139" s="931">
        <v>42040</v>
      </c>
      <c r="M139" s="253">
        <f t="shared" ref="M139:M174" si="42">L139-K139</f>
        <v>23100</v>
      </c>
      <c r="N139" s="915">
        <v>22970</v>
      </c>
      <c r="O139" s="915"/>
      <c r="P139" s="915">
        <f t="shared" ref="P139:P156" si="43">M139</f>
        <v>23100</v>
      </c>
      <c r="Q139" s="921">
        <v>500</v>
      </c>
      <c r="R139" s="921">
        <f t="shared" ref="R139:R151" si="44">Q139*P139</f>
        <v>11550000</v>
      </c>
      <c r="S139" s="912" t="s">
        <v>5</v>
      </c>
      <c r="T139" s="332"/>
    </row>
    <row r="140" spans="1:20" s="388" customFormat="1" ht="22.5" customHeight="1">
      <c r="A140" s="617">
        <f t="shared" si="40"/>
        <v>136</v>
      </c>
      <c r="B140" s="920">
        <v>46161</v>
      </c>
      <c r="C140" s="926" t="s">
        <v>264</v>
      </c>
      <c r="D140" s="920" t="s">
        <v>440</v>
      </c>
      <c r="E140" s="128" t="s">
        <v>261</v>
      </c>
      <c r="F140" s="924" t="s">
        <v>441</v>
      </c>
      <c r="G140" s="924"/>
      <c r="H140" s="924"/>
      <c r="I140" s="895" t="s">
        <v>112</v>
      </c>
      <c r="J140" s="924" t="s">
        <v>272</v>
      </c>
      <c r="K140" s="926">
        <v>18600</v>
      </c>
      <c r="L140" s="926">
        <v>42320</v>
      </c>
      <c r="M140" s="250">
        <f t="shared" si="42"/>
        <v>23720</v>
      </c>
      <c r="N140" s="902">
        <v>23650</v>
      </c>
      <c r="O140" s="902"/>
      <c r="P140" s="902">
        <f t="shared" si="43"/>
        <v>23720</v>
      </c>
      <c r="Q140" s="922">
        <v>500</v>
      </c>
      <c r="R140" s="922">
        <f t="shared" si="44"/>
        <v>11860000</v>
      </c>
      <c r="S140" s="895" t="s">
        <v>5</v>
      </c>
      <c r="T140" s="332"/>
    </row>
    <row r="141" spans="1:20" s="388" customFormat="1" ht="22.5" customHeight="1">
      <c r="A141" s="617">
        <f t="shared" si="40"/>
        <v>137</v>
      </c>
      <c r="B141" s="920">
        <v>46161</v>
      </c>
      <c r="C141" s="926" t="s">
        <v>264</v>
      </c>
      <c r="D141" s="920" t="s">
        <v>440</v>
      </c>
      <c r="E141" s="128" t="s">
        <v>261</v>
      </c>
      <c r="F141" s="924" t="s">
        <v>472</v>
      </c>
      <c r="G141" s="924"/>
      <c r="H141" s="924"/>
      <c r="I141" s="895" t="s">
        <v>112</v>
      </c>
      <c r="J141" s="924" t="s">
        <v>110</v>
      </c>
      <c r="K141" s="926">
        <v>18740</v>
      </c>
      <c r="L141" s="926">
        <v>42180</v>
      </c>
      <c r="M141" s="250">
        <f t="shared" si="42"/>
        <v>23440</v>
      </c>
      <c r="N141" s="902">
        <v>23410</v>
      </c>
      <c r="O141" s="902"/>
      <c r="P141" s="902">
        <f t="shared" si="43"/>
        <v>23440</v>
      </c>
      <c r="Q141" s="922">
        <v>480</v>
      </c>
      <c r="R141" s="922">
        <f t="shared" si="44"/>
        <v>11251200</v>
      </c>
      <c r="S141" s="895" t="s">
        <v>5</v>
      </c>
      <c r="T141" s="332"/>
    </row>
    <row r="142" spans="1:20" s="388" customFormat="1" ht="22.5" customHeight="1">
      <c r="A142" s="617">
        <f t="shared" si="40"/>
        <v>138</v>
      </c>
      <c r="B142" s="920">
        <v>46161</v>
      </c>
      <c r="C142" s="926" t="s">
        <v>264</v>
      </c>
      <c r="D142" s="920" t="s">
        <v>440</v>
      </c>
      <c r="E142" s="128" t="s">
        <v>261</v>
      </c>
      <c r="F142" s="924" t="s">
        <v>168</v>
      </c>
      <c r="G142" s="924" t="s">
        <v>478</v>
      </c>
      <c r="H142" s="924" t="s">
        <v>479</v>
      </c>
      <c r="I142" s="895" t="s">
        <v>112</v>
      </c>
      <c r="J142" s="924" t="s">
        <v>272</v>
      </c>
      <c r="K142" s="926">
        <v>18800</v>
      </c>
      <c r="L142" s="926">
        <v>42660</v>
      </c>
      <c r="M142" s="250">
        <f t="shared" si="42"/>
        <v>23860</v>
      </c>
      <c r="N142" s="902">
        <v>23800</v>
      </c>
      <c r="O142" s="902"/>
      <c r="P142" s="902">
        <f t="shared" si="43"/>
        <v>23860</v>
      </c>
      <c r="Q142" s="922">
        <v>500</v>
      </c>
      <c r="R142" s="922">
        <f t="shared" si="44"/>
        <v>11930000</v>
      </c>
      <c r="S142" s="895" t="s">
        <v>5</v>
      </c>
      <c r="T142" s="332"/>
    </row>
    <row r="143" spans="1:20" s="388" customFormat="1" ht="22.5" customHeight="1">
      <c r="A143" s="617">
        <f t="shared" si="40"/>
        <v>139</v>
      </c>
      <c r="B143" s="920">
        <v>46161</v>
      </c>
      <c r="C143" s="926" t="s">
        <v>264</v>
      </c>
      <c r="D143" s="920" t="s">
        <v>440</v>
      </c>
      <c r="E143" s="128" t="s">
        <v>261</v>
      </c>
      <c r="F143" s="924" t="s">
        <v>220</v>
      </c>
      <c r="G143" s="924" t="s">
        <v>474</v>
      </c>
      <c r="H143" s="924" t="s">
        <v>475</v>
      </c>
      <c r="I143" s="895" t="s">
        <v>112</v>
      </c>
      <c r="J143" s="924" t="s">
        <v>110</v>
      </c>
      <c r="K143" s="926">
        <v>18100</v>
      </c>
      <c r="L143" s="926">
        <v>38560</v>
      </c>
      <c r="M143" s="250">
        <f t="shared" si="42"/>
        <v>20460</v>
      </c>
      <c r="N143" s="902">
        <v>20320</v>
      </c>
      <c r="O143" s="902"/>
      <c r="P143" s="902">
        <f t="shared" si="43"/>
        <v>20460</v>
      </c>
      <c r="Q143" s="922">
        <v>480</v>
      </c>
      <c r="R143" s="922">
        <f t="shared" si="44"/>
        <v>9820800</v>
      </c>
      <c r="S143" s="895" t="s">
        <v>5</v>
      </c>
      <c r="T143" s="332"/>
    </row>
    <row r="144" spans="1:20" s="388" customFormat="1" ht="22.5" customHeight="1">
      <c r="A144" s="617">
        <f t="shared" si="40"/>
        <v>140</v>
      </c>
      <c r="B144" s="920">
        <v>46161</v>
      </c>
      <c r="C144" s="926" t="s">
        <v>264</v>
      </c>
      <c r="D144" s="920" t="s">
        <v>440</v>
      </c>
      <c r="E144" s="128" t="s">
        <v>261</v>
      </c>
      <c r="F144" s="924" t="s">
        <v>144</v>
      </c>
      <c r="G144" s="924" t="s">
        <v>470</v>
      </c>
      <c r="H144" s="924" t="s">
        <v>471</v>
      </c>
      <c r="I144" s="895" t="s">
        <v>112</v>
      </c>
      <c r="J144" s="924" t="s">
        <v>518</v>
      </c>
      <c r="K144" s="926">
        <v>18520</v>
      </c>
      <c r="L144" s="926">
        <v>39520</v>
      </c>
      <c r="M144" s="250">
        <f t="shared" si="42"/>
        <v>21000</v>
      </c>
      <c r="N144" s="902">
        <v>20810</v>
      </c>
      <c r="O144" s="902"/>
      <c r="P144" s="902">
        <f t="shared" si="43"/>
        <v>21000</v>
      </c>
      <c r="Q144" s="922">
        <v>420</v>
      </c>
      <c r="R144" s="922">
        <f t="shared" si="44"/>
        <v>8820000</v>
      </c>
      <c r="S144" s="895" t="s">
        <v>5</v>
      </c>
      <c r="T144" s="332"/>
    </row>
    <row r="145" spans="1:20" s="388" customFormat="1" ht="22.5" customHeight="1">
      <c r="A145" s="617">
        <f t="shared" si="40"/>
        <v>141</v>
      </c>
      <c r="B145" s="920">
        <v>46161</v>
      </c>
      <c r="C145" s="926" t="s">
        <v>264</v>
      </c>
      <c r="D145" s="920" t="s">
        <v>440</v>
      </c>
      <c r="E145" s="128" t="s">
        <v>261</v>
      </c>
      <c r="F145" s="924" t="s">
        <v>179</v>
      </c>
      <c r="G145" s="924" t="s">
        <v>327</v>
      </c>
      <c r="H145" s="924" t="s">
        <v>328</v>
      </c>
      <c r="I145" s="895" t="s">
        <v>112</v>
      </c>
      <c r="J145" s="924" t="s">
        <v>272</v>
      </c>
      <c r="K145" s="926">
        <v>18940</v>
      </c>
      <c r="L145" s="926">
        <v>42600</v>
      </c>
      <c r="M145" s="250">
        <f t="shared" si="42"/>
        <v>23660</v>
      </c>
      <c r="N145" s="902">
        <v>23510</v>
      </c>
      <c r="O145" s="902"/>
      <c r="P145" s="902">
        <f t="shared" si="43"/>
        <v>23660</v>
      </c>
      <c r="Q145" s="922">
        <v>500</v>
      </c>
      <c r="R145" s="922">
        <f t="shared" si="44"/>
        <v>11830000</v>
      </c>
      <c r="S145" s="895" t="s">
        <v>5</v>
      </c>
      <c r="T145" s="332"/>
    </row>
    <row r="146" spans="1:20" s="388" customFormat="1" ht="22.5" customHeight="1">
      <c r="A146" s="617">
        <f t="shared" si="40"/>
        <v>142</v>
      </c>
      <c r="B146" s="920">
        <v>46161</v>
      </c>
      <c r="C146" s="926" t="s">
        <v>264</v>
      </c>
      <c r="D146" s="920" t="s">
        <v>440</v>
      </c>
      <c r="E146" s="128" t="s">
        <v>261</v>
      </c>
      <c r="F146" s="924" t="s">
        <v>441</v>
      </c>
      <c r="G146" s="924"/>
      <c r="H146" s="924"/>
      <c r="I146" s="895" t="s">
        <v>112</v>
      </c>
      <c r="J146" s="924" t="s">
        <v>272</v>
      </c>
      <c r="K146" s="926">
        <v>18760</v>
      </c>
      <c r="L146" s="926">
        <v>42620</v>
      </c>
      <c r="M146" s="250">
        <f t="shared" si="42"/>
        <v>23860</v>
      </c>
      <c r="N146" s="902">
        <v>23850</v>
      </c>
      <c r="O146" s="902"/>
      <c r="P146" s="902">
        <f t="shared" si="43"/>
        <v>23860</v>
      </c>
      <c r="Q146" s="922">
        <v>500</v>
      </c>
      <c r="R146" s="922">
        <f t="shared" si="44"/>
        <v>11930000</v>
      </c>
      <c r="S146" s="895" t="s">
        <v>5</v>
      </c>
      <c r="T146" s="332"/>
    </row>
    <row r="147" spans="1:20" s="388" customFormat="1" ht="22.5" customHeight="1">
      <c r="A147" s="617">
        <f t="shared" si="40"/>
        <v>143</v>
      </c>
      <c r="B147" s="920">
        <v>46161</v>
      </c>
      <c r="C147" s="926" t="s">
        <v>264</v>
      </c>
      <c r="D147" s="920" t="s">
        <v>440</v>
      </c>
      <c r="E147" s="128" t="s">
        <v>261</v>
      </c>
      <c r="F147" s="924" t="s">
        <v>472</v>
      </c>
      <c r="G147" s="924"/>
      <c r="H147" s="924"/>
      <c r="I147" s="895" t="s">
        <v>112</v>
      </c>
      <c r="J147" s="924" t="s">
        <v>110</v>
      </c>
      <c r="K147" s="926">
        <v>18860</v>
      </c>
      <c r="L147" s="926">
        <v>43100</v>
      </c>
      <c r="M147" s="250">
        <f t="shared" si="42"/>
        <v>24240</v>
      </c>
      <c r="N147" s="902">
        <v>24200</v>
      </c>
      <c r="O147" s="902"/>
      <c r="P147" s="902">
        <f t="shared" si="43"/>
        <v>24240</v>
      </c>
      <c r="Q147" s="922">
        <v>480</v>
      </c>
      <c r="R147" s="922">
        <f t="shared" si="44"/>
        <v>11635200</v>
      </c>
      <c r="S147" s="895" t="s">
        <v>5</v>
      </c>
      <c r="T147" s="332"/>
    </row>
    <row r="148" spans="1:20" s="388" customFormat="1" ht="22.5" customHeight="1">
      <c r="A148" s="617">
        <f t="shared" si="40"/>
        <v>144</v>
      </c>
      <c r="B148" s="920">
        <v>46161</v>
      </c>
      <c r="C148" s="926" t="s">
        <v>264</v>
      </c>
      <c r="D148" s="920" t="s">
        <v>440</v>
      </c>
      <c r="E148" s="128" t="s">
        <v>261</v>
      </c>
      <c r="F148" s="924" t="s">
        <v>168</v>
      </c>
      <c r="G148" s="924" t="s">
        <v>478</v>
      </c>
      <c r="H148" s="924" t="s">
        <v>479</v>
      </c>
      <c r="I148" s="895" t="s">
        <v>112</v>
      </c>
      <c r="J148" s="924" t="s">
        <v>272</v>
      </c>
      <c r="K148" s="926">
        <v>18800</v>
      </c>
      <c r="L148" s="926">
        <v>42520</v>
      </c>
      <c r="M148" s="250">
        <f t="shared" si="42"/>
        <v>23720</v>
      </c>
      <c r="N148" s="902">
        <v>23680</v>
      </c>
      <c r="O148" s="902"/>
      <c r="P148" s="902">
        <f t="shared" si="43"/>
        <v>23720</v>
      </c>
      <c r="Q148" s="922">
        <v>500</v>
      </c>
      <c r="R148" s="922">
        <f t="shared" si="44"/>
        <v>11860000</v>
      </c>
      <c r="S148" s="895" t="s">
        <v>5</v>
      </c>
      <c r="T148" s="332"/>
    </row>
    <row r="149" spans="1:20" s="388" customFormat="1" ht="22.5" customHeight="1">
      <c r="A149" s="617">
        <f t="shared" si="40"/>
        <v>145</v>
      </c>
      <c r="B149" s="920">
        <v>46161</v>
      </c>
      <c r="C149" s="926" t="s">
        <v>264</v>
      </c>
      <c r="D149" s="920" t="s">
        <v>440</v>
      </c>
      <c r="E149" s="128" t="s">
        <v>274</v>
      </c>
      <c r="F149" s="924" t="s">
        <v>519</v>
      </c>
      <c r="G149" s="924"/>
      <c r="H149" s="924"/>
      <c r="I149" s="895" t="s">
        <v>112</v>
      </c>
      <c r="J149" s="924" t="s">
        <v>283</v>
      </c>
      <c r="K149" s="926">
        <v>14820</v>
      </c>
      <c r="L149" s="926">
        <v>20920</v>
      </c>
      <c r="M149" s="250">
        <f t="shared" si="42"/>
        <v>6100</v>
      </c>
      <c r="N149" s="902">
        <v>6060</v>
      </c>
      <c r="O149" s="902"/>
      <c r="P149" s="902">
        <f t="shared" si="43"/>
        <v>6100</v>
      </c>
      <c r="Q149" s="922">
        <v>470</v>
      </c>
      <c r="R149" s="922">
        <f t="shared" si="44"/>
        <v>2867000</v>
      </c>
      <c r="S149" s="895" t="s">
        <v>5</v>
      </c>
      <c r="T149" s="332"/>
    </row>
    <row r="150" spans="1:20" s="388" customFormat="1" ht="22.5" customHeight="1">
      <c r="A150" s="617">
        <f t="shared" si="40"/>
        <v>146</v>
      </c>
      <c r="B150" s="920">
        <v>46161</v>
      </c>
      <c r="C150" s="926" t="s">
        <v>314</v>
      </c>
      <c r="D150" s="920" t="s">
        <v>440</v>
      </c>
      <c r="E150" s="128" t="s">
        <v>263</v>
      </c>
      <c r="F150" s="924" t="s">
        <v>172</v>
      </c>
      <c r="G150" s="924" t="s">
        <v>291</v>
      </c>
      <c r="H150" s="924" t="s">
        <v>292</v>
      </c>
      <c r="I150" s="895" t="s">
        <v>112</v>
      </c>
      <c r="J150" s="924" t="s">
        <v>255</v>
      </c>
      <c r="K150" s="926">
        <v>14010</v>
      </c>
      <c r="L150" s="926">
        <v>17900</v>
      </c>
      <c r="M150" s="250">
        <f t="shared" si="42"/>
        <v>3890</v>
      </c>
      <c r="N150" s="902">
        <v>3890</v>
      </c>
      <c r="O150" s="902"/>
      <c r="P150" s="902">
        <f t="shared" si="43"/>
        <v>3890</v>
      </c>
      <c r="Q150" s="922">
        <v>465</v>
      </c>
      <c r="R150" s="922">
        <f t="shared" si="44"/>
        <v>1808850</v>
      </c>
      <c r="S150" s="895" t="s">
        <v>5</v>
      </c>
      <c r="T150" s="332"/>
    </row>
    <row r="151" spans="1:20" s="388" customFormat="1" ht="22.5" customHeight="1">
      <c r="A151" s="618">
        <f t="shared" si="40"/>
        <v>147</v>
      </c>
      <c r="B151" s="929">
        <v>46161</v>
      </c>
      <c r="C151" s="202" t="s">
        <v>314</v>
      </c>
      <c r="D151" s="929" t="s">
        <v>440</v>
      </c>
      <c r="E151" s="129" t="s">
        <v>263</v>
      </c>
      <c r="F151" s="933" t="s">
        <v>172</v>
      </c>
      <c r="G151" s="933" t="s">
        <v>291</v>
      </c>
      <c r="H151" s="933" t="s">
        <v>292</v>
      </c>
      <c r="I151" s="913" t="s">
        <v>112</v>
      </c>
      <c r="J151" s="933" t="s">
        <v>132</v>
      </c>
      <c r="K151" s="202">
        <v>17900</v>
      </c>
      <c r="L151" s="202">
        <v>21120</v>
      </c>
      <c r="M151" s="257">
        <f t="shared" si="42"/>
        <v>3220</v>
      </c>
      <c r="N151" s="918">
        <v>3220</v>
      </c>
      <c r="O151" s="918"/>
      <c r="P151" s="918">
        <f t="shared" si="43"/>
        <v>3220</v>
      </c>
      <c r="Q151" s="923">
        <v>465</v>
      </c>
      <c r="R151" s="923">
        <f t="shared" si="44"/>
        <v>1497300</v>
      </c>
      <c r="S151" s="913" t="s">
        <v>5</v>
      </c>
      <c r="T151" s="332"/>
    </row>
    <row r="152" spans="1:20" s="388" customFormat="1" ht="22.5" customHeight="1">
      <c r="A152" s="612">
        <f t="shared" ref="A152:A198" si="45">ROW()-4</f>
        <v>148</v>
      </c>
      <c r="B152" s="518">
        <v>46161</v>
      </c>
      <c r="C152" s="897" t="s">
        <v>264</v>
      </c>
      <c r="D152" s="897" t="s">
        <v>440</v>
      </c>
      <c r="E152" s="897" t="s">
        <v>436</v>
      </c>
      <c r="F152" s="932" t="s">
        <v>553</v>
      </c>
      <c r="G152" s="932"/>
      <c r="H152" s="932"/>
      <c r="I152" s="501" t="s">
        <v>554</v>
      </c>
      <c r="J152" s="904" t="s">
        <v>555</v>
      </c>
      <c r="K152" s="897">
        <v>3940</v>
      </c>
      <c r="L152" s="897">
        <v>8000</v>
      </c>
      <c r="M152" s="23">
        <f t="shared" si="42"/>
        <v>4060</v>
      </c>
      <c r="N152" s="904"/>
      <c r="O152" s="904"/>
      <c r="P152" s="994">
        <f t="shared" si="43"/>
        <v>4060</v>
      </c>
      <c r="Q152" s="995">
        <v>1063.9135000000001</v>
      </c>
      <c r="R152" s="995">
        <f t="shared" ref="R152:R156" si="46">P152*Q152</f>
        <v>4319488.8100000005</v>
      </c>
      <c r="S152" s="984" t="s">
        <v>5</v>
      </c>
      <c r="T152" s="332"/>
    </row>
    <row r="153" spans="1:20" s="388" customFormat="1" ht="22.5" customHeight="1">
      <c r="A153" s="617">
        <f t="shared" si="45"/>
        <v>149</v>
      </c>
      <c r="B153" s="516">
        <v>46161</v>
      </c>
      <c r="C153" s="898" t="s">
        <v>264</v>
      </c>
      <c r="D153" s="898" t="s">
        <v>440</v>
      </c>
      <c r="E153" s="898" t="s">
        <v>274</v>
      </c>
      <c r="F153" s="924" t="s">
        <v>556</v>
      </c>
      <c r="G153" s="924"/>
      <c r="H153" s="924"/>
      <c r="I153" s="226" t="s">
        <v>554</v>
      </c>
      <c r="J153" s="919" t="s">
        <v>555</v>
      </c>
      <c r="K153" s="898">
        <v>15660</v>
      </c>
      <c r="L153" s="898">
        <v>37620</v>
      </c>
      <c r="M153" s="26">
        <f t="shared" si="42"/>
        <v>21960</v>
      </c>
      <c r="N153" s="919"/>
      <c r="O153" s="919"/>
      <c r="P153" s="1007">
        <f t="shared" si="43"/>
        <v>21960</v>
      </c>
      <c r="Q153" s="990">
        <v>1063.9135000000001</v>
      </c>
      <c r="R153" s="990">
        <f t="shared" si="46"/>
        <v>23363540.460000001</v>
      </c>
      <c r="S153" s="985" t="s">
        <v>5</v>
      </c>
      <c r="T153" s="332"/>
    </row>
    <row r="154" spans="1:20" s="388" customFormat="1" ht="22.5" customHeight="1">
      <c r="A154" s="617">
        <f t="shared" si="45"/>
        <v>150</v>
      </c>
      <c r="B154" s="516">
        <v>46161</v>
      </c>
      <c r="C154" s="898" t="s">
        <v>264</v>
      </c>
      <c r="D154" s="898" t="s">
        <v>440</v>
      </c>
      <c r="E154" s="898" t="s">
        <v>274</v>
      </c>
      <c r="F154" s="924" t="s">
        <v>557</v>
      </c>
      <c r="G154" s="924"/>
      <c r="H154" s="924"/>
      <c r="I154" s="226" t="s">
        <v>554</v>
      </c>
      <c r="J154" s="919" t="s">
        <v>555</v>
      </c>
      <c r="K154" s="898">
        <v>7440</v>
      </c>
      <c r="L154" s="898">
        <v>19360</v>
      </c>
      <c r="M154" s="26">
        <f t="shared" si="42"/>
        <v>11920</v>
      </c>
      <c r="N154" s="919"/>
      <c r="O154" s="919"/>
      <c r="P154" s="1007">
        <f t="shared" si="43"/>
        <v>11920</v>
      </c>
      <c r="Q154" s="990">
        <v>1063.9135000000001</v>
      </c>
      <c r="R154" s="990">
        <f t="shared" si="46"/>
        <v>12681848.920000002</v>
      </c>
      <c r="S154" s="985" t="s">
        <v>5</v>
      </c>
      <c r="T154" s="332"/>
    </row>
    <row r="155" spans="1:20" s="388" customFormat="1" ht="22.5" customHeight="1">
      <c r="A155" s="617">
        <f t="shared" si="45"/>
        <v>151</v>
      </c>
      <c r="B155" s="516">
        <v>46161</v>
      </c>
      <c r="C155" s="898" t="s">
        <v>264</v>
      </c>
      <c r="D155" s="898" t="s">
        <v>440</v>
      </c>
      <c r="E155" s="898" t="s">
        <v>436</v>
      </c>
      <c r="F155" s="924" t="s">
        <v>558</v>
      </c>
      <c r="G155" s="924"/>
      <c r="H155" s="924"/>
      <c r="I155" s="226" t="s">
        <v>554</v>
      </c>
      <c r="J155" s="919" t="s">
        <v>555</v>
      </c>
      <c r="K155" s="898">
        <v>4360</v>
      </c>
      <c r="L155" s="898">
        <v>8920</v>
      </c>
      <c r="M155" s="26">
        <f t="shared" si="42"/>
        <v>4560</v>
      </c>
      <c r="N155" s="919"/>
      <c r="O155" s="919"/>
      <c r="P155" s="1007">
        <f t="shared" si="43"/>
        <v>4560</v>
      </c>
      <c r="Q155" s="990">
        <v>1063.9135000000001</v>
      </c>
      <c r="R155" s="990">
        <f t="shared" si="46"/>
        <v>4851445.5600000005</v>
      </c>
      <c r="S155" s="985" t="s">
        <v>5</v>
      </c>
      <c r="T155" s="332"/>
    </row>
    <row r="156" spans="1:20" s="388" customFormat="1" ht="22.5" customHeight="1">
      <c r="A156" s="618">
        <f t="shared" si="45"/>
        <v>152</v>
      </c>
      <c r="B156" s="516">
        <v>46161</v>
      </c>
      <c r="C156" s="898" t="s">
        <v>264</v>
      </c>
      <c r="D156" s="898" t="s">
        <v>440</v>
      </c>
      <c r="E156" s="898" t="s">
        <v>436</v>
      </c>
      <c r="F156" s="924" t="s">
        <v>559</v>
      </c>
      <c r="G156" s="924"/>
      <c r="H156" s="924"/>
      <c r="I156" s="226" t="s">
        <v>554</v>
      </c>
      <c r="J156" s="919" t="s">
        <v>555</v>
      </c>
      <c r="K156" s="898">
        <v>2180</v>
      </c>
      <c r="L156" s="898">
        <v>3800</v>
      </c>
      <c r="M156" s="26">
        <f t="shared" si="42"/>
        <v>1620</v>
      </c>
      <c r="N156" s="919"/>
      <c r="O156" s="919"/>
      <c r="P156" s="996">
        <f t="shared" si="43"/>
        <v>1620</v>
      </c>
      <c r="Q156" s="997">
        <v>1063.9135000000001</v>
      </c>
      <c r="R156" s="997">
        <f t="shared" si="46"/>
        <v>1723539.87</v>
      </c>
      <c r="S156" s="986" t="s">
        <v>5</v>
      </c>
      <c r="T156" s="332"/>
    </row>
    <row r="157" spans="1:20" s="388" customFormat="1" ht="22.5" customHeight="1">
      <c r="A157" s="612">
        <f t="shared" si="45"/>
        <v>153</v>
      </c>
      <c r="B157" s="928">
        <v>46162</v>
      </c>
      <c r="C157" s="925" t="s">
        <v>314</v>
      </c>
      <c r="D157" s="928" t="s">
        <v>440</v>
      </c>
      <c r="E157" s="138" t="s">
        <v>263</v>
      </c>
      <c r="F157" s="932" t="s">
        <v>172</v>
      </c>
      <c r="G157" s="932" t="s">
        <v>291</v>
      </c>
      <c r="H157" s="932" t="s">
        <v>292</v>
      </c>
      <c r="I157" s="894" t="s">
        <v>112</v>
      </c>
      <c r="J157" s="932" t="s">
        <v>271</v>
      </c>
      <c r="K157" s="925">
        <v>14090</v>
      </c>
      <c r="L157" s="925">
        <v>20150</v>
      </c>
      <c r="M157" s="249">
        <f t="shared" si="42"/>
        <v>6060</v>
      </c>
      <c r="N157" s="320">
        <v>5600</v>
      </c>
      <c r="O157" s="320"/>
      <c r="P157" s="320">
        <v>5600</v>
      </c>
      <c r="Q157" s="137">
        <v>500</v>
      </c>
      <c r="R157" s="137">
        <f>Q157*P157</f>
        <v>2800000</v>
      </c>
      <c r="S157" s="894" t="s">
        <v>5</v>
      </c>
      <c r="T157" s="332"/>
    </row>
    <row r="158" spans="1:20" s="388" customFormat="1" ht="22.5" customHeight="1">
      <c r="A158" s="617">
        <f t="shared" si="45"/>
        <v>154</v>
      </c>
      <c r="B158" s="920">
        <v>46162</v>
      </c>
      <c r="C158" s="926" t="s">
        <v>314</v>
      </c>
      <c r="D158" s="920" t="s">
        <v>440</v>
      </c>
      <c r="E158" s="128" t="s">
        <v>263</v>
      </c>
      <c r="F158" s="924" t="s">
        <v>172</v>
      </c>
      <c r="G158" s="924" t="s">
        <v>291</v>
      </c>
      <c r="H158" s="924" t="s">
        <v>292</v>
      </c>
      <c r="I158" s="895" t="s">
        <v>112</v>
      </c>
      <c r="J158" s="924" t="s">
        <v>119</v>
      </c>
      <c r="K158" s="926"/>
      <c r="L158" s="926"/>
      <c r="M158" s="250"/>
      <c r="N158" s="902">
        <v>410</v>
      </c>
      <c r="O158" s="902"/>
      <c r="P158" s="902">
        <v>410</v>
      </c>
      <c r="Q158" s="922">
        <v>465</v>
      </c>
      <c r="R158" s="922">
        <f t="shared" ref="R158:R165" si="47">Q158*P158</f>
        <v>190650</v>
      </c>
      <c r="S158" s="895" t="s">
        <v>5</v>
      </c>
      <c r="T158" s="332"/>
    </row>
    <row r="159" spans="1:20" s="388" customFormat="1" ht="22.5" customHeight="1">
      <c r="A159" s="617">
        <f t="shared" si="45"/>
        <v>155</v>
      </c>
      <c r="B159" s="920">
        <v>46162</v>
      </c>
      <c r="C159" s="926" t="s">
        <v>264</v>
      </c>
      <c r="D159" s="920" t="s">
        <v>440</v>
      </c>
      <c r="E159" s="128" t="s">
        <v>261</v>
      </c>
      <c r="F159" s="924" t="s">
        <v>323</v>
      </c>
      <c r="G159" s="924"/>
      <c r="H159" s="924"/>
      <c r="I159" s="895" t="s">
        <v>112</v>
      </c>
      <c r="J159" s="924" t="s">
        <v>272</v>
      </c>
      <c r="K159" s="926">
        <v>18520</v>
      </c>
      <c r="L159" s="926">
        <v>43540</v>
      </c>
      <c r="M159" s="250">
        <f t="shared" si="42"/>
        <v>25020</v>
      </c>
      <c r="N159" s="902"/>
      <c r="O159" s="902"/>
      <c r="P159" s="902">
        <f>M159</f>
        <v>25020</v>
      </c>
      <c r="Q159" s="922">
        <v>500</v>
      </c>
      <c r="R159" s="922">
        <f t="shared" si="47"/>
        <v>12510000</v>
      </c>
      <c r="S159" s="895" t="s">
        <v>5</v>
      </c>
      <c r="T159" s="332"/>
    </row>
    <row r="160" spans="1:20" s="388" customFormat="1" ht="22.5" customHeight="1">
      <c r="A160" s="617">
        <f t="shared" si="45"/>
        <v>156</v>
      </c>
      <c r="B160" s="920">
        <v>46162</v>
      </c>
      <c r="C160" s="926" t="s">
        <v>264</v>
      </c>
      <c r="D160" s="920" t="s">
        <v>440</v>
      </c>
      <c r="E160" s="128" t="s">
        <v>261</v>
      </c>
      <c r="F160" s="924" t="s">
        <v>152</v>
      </c>
      <c r="G160" s="924" t="s">
        <v>537</v>
      </c>
      <c r="H160" s="924" t="s">
        <v>538</v>
      </c>
      <c r="I160" s="895" t="s">
        <v>112</v>
      </c>
      <c r="J160" s="924" t="s">
        <v>110</v>
      </c>
      <c r="K160" s="926">
        <v>18400</v>
      </c>
      <c r="L160" s="926">
        <v>41460</v>
      </c>
      <c r="M160" s="250">
        <f t="shared" si="42"/>
        <v>23060</v>
      </c>
      <c r="N160" s="902"/>
      <c r="O160" s="902"/>
      <c r="P160" s="902">
        <f t="shared" ref="P160:P161" si="48">M160</f>
        <v>23060</v>
      </c>
      <c r="Q160" s="922">
        <v>480</v>
      </c>
      <c r="R160" s="922">
        <f t="shared" si="47"/>
        <v>11068800</v>
      </c>
      <c r="S160" s="895" t="s">
        <v>5</v>
      </c>
      <c r="T160" s="332"/>
    </row>
    <row r="161" spans="1:20" s="388" customFormat="1" ht="22.5" customHeight="1">
      <c r="A161" s="618">
        <f t="shared" si="45"/>
        <v>157</v>
      </c>
      <c r="B161" s="929">
        <v>46162</v>
      </c>
      <c r="C161" s="202" t="s">
        <v>264</v>
      </c>
      <c r="D161" s="929" t="s">
        <v>440</v>
      </c>
      <c r="E161" s="129" t="s">
        <v>261</v>
      </c>
      <c r="F161" s="933" t="s">
        <v>326</v>
      </c>
      <c r="G161" s="933"/>
      <c r="H161" s="933"/>
      <c r="I161" s="913" t="s">
        <v>112</v>
      </c>
      <c r="J161" s="933" t="s">
        <v>110</v>
      </c>
      <c r="K161" s="202">
        <v>18100</v>
      </c>
      <c r="L161" s="202">
        <v>43180</v>
      </c>
      <c r="M161" s="257">
        <f t="shared" si="42"/>
        <v>25080</v>
      </c>
      <c r="N161" s="918"/>
      <c r="O161" s="918"/>
      <c r="P161" s="918">
        <f t="shared" si="48"/>
        <v>25080</v>
      </c>
      <c r="Q161" s="923">
        <v>480</v>
      </c>
      <c r="R161" s="923">
        <f t="shared" si="47"/>
        <v>12038400</v>
      </c>
      <c r="S161" s="913" t="s">
        <v>5</v>
      </c>
      <c r="T161" s="332"/>
    </row>
    <row r="162" spans="1:20" s="388" customFormat="1" ht="22.5" customHeight="1">
      <c r="A162" s="612">
        <f t="shared" si="45"/>
        <v>158</v>
      </c>
      <c r="B162" s="1010">
        <v>46163</v>
      </c>
      <c r="C162" s="1008" t="s">
        <v>264</v>
      </c>
      <c r="D162" s="1010" t="s">
        <v>262</v>
      </c>
      <c r="E162" s="138" t="s">
        <v>263</v>
      </c>
      <c r="F162" s="1012" t="s">
        <v>172</v>
      </c>
      <c r="G162" s="1012" t="s">
        <v>291</v>
      </c>
      <c r="H162" s="1012" t="s">
        <v>292</v>
      </c>
      <c r="I162" s="984" t="s">
        <v>54</v>
      </c>
      <c r="J162" s="1012" t="s">
        <v>110</v>
      </c>
      <c r="K162" s="1008">
        <v>14590</v>
      </c>
      <c r="L162" s="1008">
        <v>27080</v>
      </c>
      <c r="M162" s="249">
        <v>12490</v>
      </c>
      <c r="N162" s="320">
        <v>12400</v>
      </c>
      <c r="O162" s="320"/>
      <c r="P162" s="320">
        <v>12490</v>
      </c>
      <c r="Q162" s="137">
        <v>480</v>
      </c>
      <c r="R162" s="137">
        <f t="shared" si="47"/>
        <v>5995200</v>
      </c>
      <c r="S162" s="984" t="s">
        <v>5</v>
      </c>
      <c r="T162" s="332"/>
    </row>
    <row r="163" spans="1:20" s="388" customFormat="1" ht="22.5" customHeight="1">
      <c r="A163" s="617">
        <f t="shared" si="45"/>
        <v>159</v>
      </c>
      <c r="B163" s="1001">
        <v>46163</v>
      </c>
      <c r="C163" s="1009" t="s">
        <v>264</v>
      </c>
      <c r="D163" s="1001" t="s">
        <v>262</v>
      </c>
      <c r="E163" s="128" t="s">
        <v>263</v>
      </c>
      <c r="F163" s="1005" t="s">
        <v>172</v>
      </c>
      <c r="G163" s="1005" t="s">
        <v>291</v>
      </c>
      <c r="H163" s="1005" t="s">
        <v>292</v>
      </c>
      <c r="I163" s="985" t="s">
        <v>54</v>
      </c>
      <c r="J163" s="1005" t="s">
        <v>110</v>
      </c>
      <c r="K163" s="1009">
        <v>14590</v>
      </c>
      <c r="L163" s="1009">
        <v>25360</v>
      </c>
      <c r="M163" s="250">
        <v>10770</v>
      </c>
      <c r="N163" s="992">
        <v>10770</v>
      </c>
      <c r="O163" s="992"/>
      <c r="P163" s="992">
        <v>10770</v>
      </c>
      <c r="Q163" s="1003">
        <v>480</v>
      </c>
      <c r="R163" s="1003">
        <f t="shared" si="47"/>
        <v>5169600</v>
      </c>
      <c r="S163" s="985" t="s">
        <v>5</v>
      </c>
      <c r="T163" s="332"/>
    </row>
    <row r="164" spans="1:20" s="388" customFormat="1" ht="22.5" customHeight="1">
      <c r="A164" s="617">
        <f t="shared" si="45"/>
        <v>160</v>
      </c>
      <c r="B164" s="1001">
        <v>46163</v>
      </c>
      <c r="C164" s="1009" t="s">
        <v>264</v>
      </c>
      <c r="D164" s="1001" t="s">
        <v>440</v>
      </c>
      <c r="E164" s="128" t="s">
        <v>261</v>
      </c>
      <c r="F164" s="1005" t="s">
        <v>117</v>
      </c>
      <c r="G164" s="1005" t="s">
        <v>329</v>
      </c>
      <c r="H164" s="1005" t="s">
        <v>330</v>
      </c>
      <c r="I164" s="985" t="s">
        <v>112</v>
      </c>
      <c r="J164" s="1005" t="s">
        <v>561</v>
      </c>
      <c r="K164" s="1009">
        <v>18940</v>
      </c>
      <c r="L164" s="1009">
        <v>43480</v>
      </c>
      <c r="M164" s="250">
        <v>24540</v>
      </c>
      <c r="N164" s="992">
        <v>24640</v>
      </c>
      <c r="O164" s="992"/>
      <c r="P164" s="992">
        <v>24640</v>
      </c>
      <c r="Q164" s="1003">
        <v>380</v>
      </c>
      <c r="R164" s="1003">
        <f t="shared" si="47"/>
        <v>9363200</v>
      </c>
      <c r="S164" s="985" t="s">
        <v>5</v>
      </c>
      <c r="T164" s="332"/>
    </row>
    <row r="165" spans="1:20" s="388" customFormat="1" ht="22.5" customHeight="1">
      <c r="A165" s="617">
        <f t="shared" ref="A165:A180" si="49">ROW()-4</f>
        <v>161</v>
      </c>
      <c r="B165" s="1001">
        <v>46163</v>
      </c>
      <c r="C165" s="1009" t="s">
        <v>264</v>
      </c>
      <c r="D165" s="1001" t="s">
        <v>440</v>
      </c>
      <c r="E165" s="128" t="s">
        <v>261</v>
      </c>
      <c r="F165" s="1005" t="s">
        <v>138</v>
      </c>
      <c r="G165" s="1005" t="s">
        <v>258</v>
      </c>
      <c r="H165" s="1005" t="s">
        <v>259</v>
      </c>
      <c r="I165" s="985" t="s">
        <v>112</v>
      </c>
      <c r="J165" s="1005" t="s">
        <v>561</v>
      </c>
      <c r="K165" s="1009">
        <v>19340</v>
      </c>
      <c r="L165" s="1009">
        <v>42260</v>
      </c>
      <c r="M165" s="250">
        <v>22920</v>
      </c>
      <c r="N165" s="992">
        <v>23530</v>
      </c>
      <c r="O165" s="992"/>
      <c r="P165" s="992">
        <v>23530</v>
      </c>
      <c r="Q165" s="1003">
        <v>380</v>
      </c>
      <c r="R165" s="1003">
        <f t="shared" si="47"/>
        <v>8941400</v>
      </c>
      <c r="S165" s="985" t="s">
        <v>5</v>
      </c>
      <c r="T165" s="332"/>
    </row>
    <row r="166" spans="1:20" s="388" customFormat="1" ht="22.5" customHeight="1">
      <c r="A166" s="617">
        <f t="shared" si="49"/>
        <v>162</v>
      </c>
      <c r="B166" s="998">
        <v>46163</v>
      </c>
      <c r="C166" s="988" t="s">
        <v>264</v>
      </c>
      <c r="D166" s="988" t="s">
        <v>440</v>
      </c>
      <c r="E166" s="988" t="s">
        <v>436</v>
      </c>
      <c r="F166" s="1005" t="s">
        <v>559</v>
      </c>
      <c r="G166" s="1005"/>
      <c r="H166" s="1005"/>
      <c r="I166" s="226" t="s">
        <v>554</v>
      </c>
      <c r="J166" s="1007" t="s">
        <v>555</v>
      </c>
      <c r="K166" s="988">
        <v>2180</v>
      </c>
      <c r="L166" s="988">
        <v>4440</v>
      </c>
      <c r="M166" s="26">
        <f t="shared" si="42"/>
        <v>2260</v>
      </c>
      <c r="N166" s="1007"/>
      <c r="O166" s="1007"/>
      <c r="P166" s="1007">
        <f t="shared" ref="P166:P168" si="50">M166</f>
        <v>2260</v>
      </c>
      <c r="Q166" s="990">
        <v>1063.9135000000001</v>
      </c>
      <c r="R166" s="990">
        <f t="shared" ref="R166:R168" si="51">P166*Q166</f>
        <v>2404444.5100000002</v>
      </c>
      <c r="S166" s="985" t="s">
        <v>5</v>
      </c>
      <c r="T166" s="332"/>
    </row>
    <row r="167" spans="1:20" s="388" customFormat="1" ht="22.5" customHeight="1">
      <c r="A167" s="617">
        <f t="shared" si="49"/>
        <v>163</v>
      </c>
      <c r="B167" s="998">
        <v>46163</v>
      </c>
      <c r="C167" s="988" t="s">
        <v>264</v>
      </c>
      <c r="D167" s="988" t="s">
        <v>440</v>
      </c>
      <c r="E167" s="988" t="s">
        <v>274</v>
      </c>
      <c r="F167" s="1005" t="s">
        <v>558</v>
      </c>
      <c r="G167" s="1005"/>
      <c r="H167" s="1005"/>
      <c r="I167" s="226" t="s">
        <v>554</v>
      </c>
      <c r="J167" s="1007" t="s">
        <v>555</v>
      </c>
      <c r="K167" s="988">
        <v>4260</v>
      </c>
      <c r="L167" s="988">
        <v>9820</v>
      </c>
      <c r="M167" s="26">
        <f t="shared" si="42"/>
        <v>5560</v>
      </c>
      <c r="N167" s="1007"/>
      <c r="O167" s="1007"/>
      <c r="P167" s="1007">
        <f t="shared" si="50"/>
        <v>5560</v>
      </c>
      <c r="Q167" s="990">
        <v>1063.9135000000001</v>
      </c>
      <c r="R167" s="990">
        <f t="shared" si="51"/>
        <v>5915359.0600000005</v>
      </c>
      <c r="S167" s="985" t="s">
        <v>5</v>
      </c>
      <c r="T167" s="332"/>
    </row>
    <row r="168" spans="1:20" s="388" customFormat="1" ht="22.5" customHeight="1">
      <c r="A168" s="618">
        <f t="shared" si="49"/>
        <v>164</v>
      </c>
      <c r="B168" s="998">
        <v>46163</v>
      </c>
      <c r="C168" s="988" t="s">
        <v>264</v>
      </c>
      <c r="D168" s="988" t="s">
        <v>440</v>
      </c>
      <c r="E168" s="988" t="s">
        <v>274</v>
      </c>
      <c r="F168" s="1005" t="s">
        <v>553</v>
      </c>
      <c r="G168" s="1005"/>
      <c r="H168" s="1005"/>
      <c r="I168" s="226" t="s">
        <v>554</v>
      </c>
      <c r="J168" s="1007" t="s">
        <v>555</v>
      </c>
      <c r="K168" s="988">
        <v>3960</v>
      </c>
      <c r="L168" s="988">
        <v>8440</v>
      </c>
      <c r="M168" s="26">
        <f t="shared" si="42"/>
        <v>4480</v>
      </c>
      <c r="N168" s="1007"/>
      <c r="O168" s="1007"/>
      <c r="P168" s="1007">
        <f t="shared" si="50"/>
        <v>4480</v>
      </c>
      <c r="Q168" s="990">
        <v>1063.9135000000001</v>
      </c>
      <c r="R168" s="990">
        <f t="shared" si="51"/>
        <v>4766332.4800000004</v>
      </c>
      <c r="S168" s="985" t="s">
        <v>5</v>
      </c>
      <c r="T168" s="332"/>
    </row>
    <row r="169" spans="1:20" s="388" customFormat="1" ht="22.5" customHeight="1">
      <c r="A169" s="613">
        <f t="shared" si="49"/>
        <v>165</v>
      </c>
      <c r="B169" s="1038">
        <v>46164</v>
      </c>
      <c r="C169" s="1036" t="s">
        <v>264</v>
      </c>
      <c r="D169" s="1038" t="s">
        <v>262</v>
      </c>
      <c r="E169" s="138" t="s">
        <v>436</v>
      </c>
      <c r="F169" s="1039" t="s">
        <v>437</v>
      </c>
      <c r="G169" s="1039" t="s">
        <v>289</v>
      </c>
      <c r="H169" s="1039" t="s">
        <v>290</v>
      </c>
      <c r="I169" s="1019" t="s">
        <v>112</v>
      </c>
      <c r="J169" s="1039" t="s">
        <v>563</v>
      </c>
      <c r="K169" s="1036">
        <v>2140</v>
      </c>
      <c r="L169" s="1036">
        <v>3590</v>
      </c>
      <c r="M169" s="249">
        <f t="shared" si="42"/>
        <v>1450</v>
      </c>
      <c r="N169" s="320">
        <v>1440</v>
      </c>
      <c r="O169" s="320"/>
      <c r="P169" s="320">
        <f>M169</f>
        <v>1450</v>
      </c>
      <c r="Q169" s="137">
        <v>150</v>
      </c>
      <c r="R169" s="137">
        <f t="shared" ref="R169:R174" si="52">Q169*P169</f>
        <v>217500</v>
      </c>
      <c r="S169" s="1019" t="s">
        <v>5</v>
      </c>
      <c r="T169" s="332"/>
    </row>
    <row r="170" spans="1:20" s="388" customFormat="1" ht="22.5" customHeight="1">
      <c r="A170" s="615">
        <f t="shared" si="49"/>
        <v>166</v>
      </c>
      <c r="B170" s="1034">
        <v>46164</v>
      </c>
      <c r="C170" s="1037" t="s">
        <v>578</v>
      </c>
      <c r="D170" s="1034" t="s">
        <v>440</v>
      </c>
      <c r="E170" s="128" t="s">
        <v>263</v>
      </c>
      <c r="F170" s="1035" t="s">
        <v>172</v>
      </c>
      <c r="G170" s="1035" t="s">
        <v>291</v>
      </c>
      <c r="H170" s="1035" t="s">
        <v>292</v>
      </c>
      <c r="I170" s="1020" t="s">
        <v>112</v>
      </c>
      <c r="J170" s="1035" t="s">
        <v>272</v>
      </c>
      <c r="K170" s="1037">
        <v>16830</v>
      </c>
      <c r="L170" s="1037">
        <v>19250</v>
      </c>
      <c r="M170" s="250">
        <f t="shared" si="42"/>
        <v>2420</v>
      </c>
      <c r="N170" s="1055">
        <v>2420</v>
      </c>
      <c r="O170" s="1055"/>
      <c r="P170" s="1055">
        <f t="shared" ref="P170:P173" si="53">M170</f>
        <v>2420</v>
      </c>
      <c r="Q170" s="1060">
        <v>480</v>
      </c>
      <c r="R170" s="1060">
        <f t="shared" si="52"/>
        <v>1161600</v>
      </c>
      <c r="S170" s="1020" t="s">
        <v>5</v>
      </c>
      <c r="T170" s="332"/>
    </row>
    <row r="171" spans="1:20" s="388" customFormat="1" ht="22.5" customHeight="1">
      <c r="A171" s="615">
        <f t="shared" si="49"/>
        <v>167</v>
      </c>
      <c r="B171" s="1034">
        <v>46164</v>
      </c>
      <c r="C171" s="1037" t="s">
        <v>578</v>
      </c>
      <c r="D171" s="1034" t="s">
        <v>440</v>
      </c>
      <c r="E171" s="128" t="s">
        <v>263</v>
      </c>
      <c r="F171" s="1035" t="s">
        <v>172</v>
      </c>
      <c r="G171" s="1035" t="s">
        <v>291</v>
      </c>
      <c r="H171" s="1035" t="s">
        <v>292</v>
      </c>
      <c r="I171" s="1020" t="s">
        <v>112</v>
      </c>
      <c r="J171" s="1035" t="s">
        <v>119</v>
      </c>
      <c r="K171" s="1037">
        <v>14010</v>
      </c>
      <c r="L171" s="1037">
        <v>16830</v>
      </c>
      <c r="M171" s="250">
        <f t="shared" si="42"/>
        <v>2820</v>
      </c>
      <c r="N171" s="1055">
        <v>2820</v>
      </c>
      <c r="O171" s="1055"/>
      <c r="P171" s="1055">
        <f t="shared" si="53"/>
        <v>2820</v>
      </c>
      <c r="Q171" s="1060">
        <v>465</v>
      </c>
      <c r="R171" s="1060">
        <f t="shared" si="52"/>
        <v>1311300</v>
      </c>
      <c r="S171" s="1020" t="s">
        <v>5</v>
      </c>
      <c r="T171" s="332"/>
    </row>
    <row r="172" spans="1:20" s="388" customFormat="1" ht="22.5" customHeight="1">
      <c r="A172" s="615">
        <f t="shared" si="49"/>
        <v>168</v>
      </c>
      <c r="B172" s="1034">
        <v>46164</v>
      </c>
      <c r="C172" s="1037" t="s">
        <v>522</v>
      </c>
      <c r="D172" s="1034" t="s">
        <v>262</v>
      </c>
      <c r="E172" s="128" t="s">
        <v>263</v>
      </c>
      <c r="F172" s="1035" t="s">
        <v>172</v>
      </c>
      <c r="G172" s="1035" t="s">
        <v>291</v>
      </c>
      <c r="H172" s="1035" t="s">
        <v>292</v>
      </c>
      <c r="I172" s="1020" t="s">
        <v>112</v>
      </c>
      <c r="J172" s="1035" t="s">
        <v>119</v>
      </c>
      <c r="K172" s="1037">
        <v>14110</v>
      </c>
      <c r="L172" s="1037">
        <v>16590</v>
      </c>
      <c r="M172" s="250">
        <f t="shared" si="42"/>
        <v>2480</v>
      </c>
      <c r="N172" s="1055">
        <v>2480</v>
      </c>
      <c r="O172" s="1055"/>
      <c r="P172" s="1055">
        <f t="shared" si="53"/>
        <v>2480</v>
      </c>
      <c r="Q172" s="1060">
        <v>465</v>
      </c>
      <c r="R172" s="1060">
        <f t="shared" si="52"/>
        <v>1153200</v>
      </c>
      <c r="S172" s="1020" t="s">
        <v>5</v>
      </c>
      <c r="T172" s="332"/>
    </row>
    <row r="173" spans="1:20" s="388" customFormat="1" ht="22.5" customHeight="1">
      <c r="A173" s="615">
        <f t="shared" si="49"/>
        <v>169</v>
      </c>
      <c r="B173" s="1034">
        <v>46164</v>
      </c>
      <c r="C173" s="1037" t="s">
        <v>241</v>
      </c>
      <c r="D173" s="1034" t="s">
        <v>440</v>
      </c>
      <c r="E173" s="128" t="s">
        <v>261</v>
      </c>
      <c r="F173" s="1035" t="s">
        <v>159</v>
      </c>
      <c r="G173" s="1035" t="s">
        <v>573</v>
      </c>
      <c r="H173" s="1035" t="s">
        <v>574</v>
      </c>
      <c r="I173" s="1020" t="s">
        <v>112</v>
      </c>
      <c r="J173" s="1035" t="s">
        <v>110</v>
      </c>
      <c r="K173" s="1037">
        <v>18420</v>
      </c>
      <c r="L173" s="1037">
        <v>42920</v>
      </c>
      <c r="M173" s="250">
        <f t="shared" si="42"/>
        <v>24500</v>
      </c>
      <c r="N173" s="1055">
        <v>24320</v>
      </c>
      <c r="O173" s="1055"/>
      <c r="P173" s="1055">
        <f t="shared" si="53"/>
        <v>24500</v>
      </c>
      <c r="Q173" s="1060">
        <v>480</v>
      </c>
      <c r="R173" s="1060">
        <f t="shared" si="52"/>
        <v>11760000</v>
      </c>
      <c r="S173" s="1020" t="s">
        <v>5</v>
      </c>
      <c r="T173" s="332"/>
    </row>
    <row r="174" spans="1:20" s="388" customFormat="1" ht="22.5" customHeight="1">
      <c r="A174" s="615">
        <f t="shared" si="49"/>
        <v>170</v>
      </c>
      <c r="B174" s="1034">
        <v>46164</v>
      </c>
      <c r="C174" s="1037" t="s">
        <v>264</v>
      </c>
      <c r="D174" s="1034" t="s">
        <v>440</v>
      </c>
      <c r="E174" s="128" t="s">
        <v>261</v>
      </c>
      <c r="F174" s="1035" t="s">
        <v>117</v>
      </c>
      <c r="G174" s="1035" t="s">
        <v>329</v>
      </c>
      <c r="H174" s="1035" t="s">
        <v>330</v>
      </c>
      <c r="I174" s="1020" t="s">
        <v>112</v>
      </c>
      <c r="J174" s="1035" t="s">
        <v>561</v>
      </c>
      <c r="K174" s="1037">
        <v>18960</v>
      </c>
      <c r="L174" s="1037">
        <v>43460</v>
      </c>
      <c r="M174" s="250">
        <f t="shared" si="42"/>
        <v>24500</v>
      </c>
      <c r="N174" s="1055">
        <v>24390</v>
      </c>
      <c r="O174" s="1055">
        <v>300</v>
      </c>
      <c r="P174" s="1055">
        <f>M174-O174</f>
        <v>24200</v>
      </c>
      <c r="Q174" s="1060">
        <v>480</v>
      </c>
      <c r="R174" s="1060">
        <f t="shared" si="52"/>
        <v>11616000</v>
      </c>
      <c r="S174" s="1020" t="s">
        <v>5</v>
      </c>
      <c r="T174" s="332"/>
    </row>
    <row r="175" spans="1:20" s="388" customFormat="1" ht="22.5" customHeight="1">
      <c r="A175" s="618">
        <f t="shared" si="49"/>
        <v>171</v>
      </c>
      <c r="B175" s="1031">
        <v>46164</v>
      </c>
      <c r="C175" s="1032" t="s">
        <v>264</v>
      </c>
      <c r="D175" s="1032" t="s">
        <v>262</v>
      </c>
      <c r="E175" s="1031" t="s">
        <v>263</v>
      </c>
      <c r="F175" s="1031" t="s">
        <v>172</v>
      </c>
      <c r="G175" s="1031" t="s">
        <v>291</v>
      </c>
      <c r="H175" s="1031" t="s">
        <v>292</v>
      </c>
      <c r="I175" s="481" t="s">
        <v>75</v>
      </c>
      <c r="J175" s="1028" t="s">
        <v>119</v>
      </c>
      <c r="K175" s="1017">
        <v>14090</v>
      </c>
      <c r="L175" s="1017">
        <v>19390</v>
      </c>
      <c r="M175" s="157">
        <v>5300</v>
      </c>
      <c r="N175" s="1041">
        <v>5280</v>
      </c>
      <c r="O175" s="1042"/>
      <c r="P175" s="1041">
        <f>N175</f>
        <v>5280</v>
      </c>
      <c r="Q175" s="1018">
        <v>460</v>
      </c>
      <c r="R175" s="1018">
        <f>Q175*P175</f>
        <v>2428800</v>
      </c>
      <c r="S175" s="1022" t="s">
        <v>5</v>
      </c>
      <c r="T175" s="332"/>
    </row>
    <row r="176" spans="1:20" s="388" customFormat="1" ht="22.5" customHeight="1">
      <c r="A176" s="613">
        <f t="shared" si="49"/>
        <v>172</v>
      </c>
      <c r="B176" s="1179">
        <v>46164</v>
      </c>
      <c r="C176" s="1193" t="s">
        <v>264</v>
      </c>
      <c r="D176" s="1193" t="s">
        <v>440</v>
      </c>
      <c r="E176" s="1179" t="s">
        <v>239</v>
      </c>
      <c r="F176" s="1179" t="s">
        <v>235</v>
      </c>
      <c r="G176" s="1179" t="s">
        <v>257</v>
      </c>
      <c r="H176" s="1179" t="s">
        <v>279</v>
      </c>
      <c r="I176" s="501" t="s">
        <v>37</v>
      </c>
      <c r="J176" s="1174" t="s">
        <v>579</v>
      </c>
      <c r="K176" s="1166">
        <v>20720</v>
      </c>
      <c r="L176" s="1166">
        <v>33160</v>
      </c>
      <c r="M176" s="23">
        <v>12440</v>
      </c>
      <c r="N176" s="934">
        <f>12440-1260-740</f>
        <v>10440</v>
      </c>
      <c r="O176" s="935">
        <v>9</v>
      </c>
      <c r="P176" s="934">
        <f>N176-O176</f>
        <v>10431</v>
      </c>
      <c r="Q176" s="1175">
        <v>1500</v>
      </c>
      <c r="R176" s="1175">
        <f>Q176*P176</f>
        <v>15646500</v>
      </c>
      <c r="S176" s="1159" t="s">
        <v>5</v>
      </c>
      <c r="T176" s="332"/>
    </row>
    <row r="177" spans="1:20" s="388" customFormat="1" ht="22.5" customHeight="1">
      <c r="A177" s="613">
        <f>ROW()-4</f>
        <v>173</v>
      </c>
      <c r="B177" s="1178">
        <v>46164</v>
      </c>
      <c r="C177" s="1182" t="s">
        <v>264</v>
      </c>
      <c r="D177" s="1182" t="s">
        <v>440</v>
      </c>
      <c r="E177" s="1178" t="s">
        <v>239</v>
      </c>
      <c r="F177" s="1178" t="s">
        <v>235</v>
      </c>
      <c r="G177" s="1178" t="s">
        <v>257</v>
      </c>
      <c r="H177" s="1178" t="s">
        <v>279</v>
      </c>
      <c r="I177" s="226" t="s">
        <v>37</v>
      </c>
      <c r="J177" s="1190" t="s">
        <v>92</v>
      </c>
      <c r="K177" s="1167"/>
      <c r="L177" s="1167"/>
      <c r="M177" s="26"/>
      <c r="N177" s="936">
        <v>1260</v>
      </c>
      <c r="O177" s="937"/>
      <c r="P177" s="936">
        <f>N177</f>
        <v>1260</v>
      </c>
      <c r="Q177" s="1169">
        <v>200</v>
      </c>
      <c r="R177" s="1169">
        <f t="shared" ref="R177:R178" si="54">Q177*P177</f>
        <v>252000</v>
      </c>
      <c r="S177" s="1160" t="s">
        <v>5</v>
      </c>
      <c r="T177" s="332"/>
    </row>
    <row r="178" spans="1:20" s="388" customFormat="1" ht="22.5" customHeight="1">
      <c r="A178" s="613">
        <f>ROW()-4</f>
        <v>174</v>
      </c>
      <c r="B178" s="1178">
        <v>46164</v>
      </c>
      <c r="C178" s="1182" t="s">
        <v>264</v>
      </c>
      <c r="D178" s="1182" t="s">
        <v>440</v>
      </c>
      <c r="E178" s="1178" t="s">
        <v>239</v>
      </c>
      <c r="F178" s="1178" t="s">
        <v>235</v>
      </c>
      <c r="G178" s="1178" t="s">
        <v>257</v>
      </c>
      <c r="H178" s="1178" t="s">
        <v>279</v>
      </c>
      <c r="I178" s="226" t="s">
        <v>37</v>
      </c>
      <c r="J178" s="1190" t="s">
        <v>60</v>
      </c>
      <c r="K178" s="1167"/>
      <c r="L178" s="1167"/>
      <c r="M178" s="26"/>
      <c r="N178" s="936">
        <v>740</v>
      </c>
      <c r="O178" s="937"/>
      <c r="P178" s="936">
        <f>N178</f>
        <v>740</v>
      </c>
      <c r="Q178" s="1169">
        <v>250</v>
      </c>
      <c r="R178" s="1169">
        <f t="shared" si="54"/>
        <v>185000</v>
      </c>
      <c r="S178" s="1160" t="s">
        <v>5</v>
      </c>
      <c r="T178" s="332"/>
    </row>
    <row r="179" spans="1:20" s="388" customFormat="1" ht="22.5" customHeight="1">
      <c r="A179" s="617">
        <f t="shared" si="49"/>
        <v>175</v>
      </c>
      <c r="B179" s="1129">
        <v>46164</v>
      </c>
      <c r="C179" s="1136" t="s">
        <v>264</v>
      </c>
      <c r="D179" s="1136" t="s">
        <v>262</v>
      </c>
      <c r="E179" s="1129" t="s">
        <v>263</v>
      </c>
      <c r="F179" s="1129" t="s">
        <v>172</v>
      </c>
      <c r="G179" s="1129" t="s">
        <v>291</v>
      </c>
      <c r="H179" s="1129" t="s">
        <v>292</v>
      </c>
      <c r="I179" s="226" t="s">
        <v>37</v>
      </c>
      <c r="J179" s="1140" t="s">
        <v>564</v>
      </c>
      <c r="K179" s="1119">
        <v>14090</v>
      </c>
      <c r="L179" s="1119">
        <v>16810</v>
      </c>
      <c r="M179" s="26">
        <v>2720</v>
      </c>
      <c r="N179" s="936">
        <f>2690-2240</f>
        <v>450</v>
      </c>
      <c r="O179" s="937"/>
      <c r="P179" s="936">
        <f>N179</f>
        <v>450</v>
      </c>
      <c r="Q179" s="1122">
        <v>4500</v>
      </c>
      <c r="R179" s="1122">
        <f>표2[[#This Row],[단가(원)]]*표2[[#This Row],[정산 중량(kg)]]</f>
        <v>2025000</v>
      </c>
      <c r="S179" s="1124" t="s">
        <v>5</v>
      </c>
      <c r="T179" s="332"/>
    </row>
    <row r="180" spans="1:20" s="388" customFormat="1" ht="22.5" customHeight="1">
      <c r="A180" s="617">
        <f t="shared" si="49"/>
        <v>176</v>
      </c>
      <c r="B180" s="1129">
        <v>46164</v>
      </c>
      <c r="C180" s="1136" t="s">
        <v>264</v>
      </c>
      <c r="D180" s="1136" t="s">
        <v>262</v>
      </c>
      <c r="E180" s="1129" t="s">
        <v>263</v>
      </c>
      <c r="F180" s="1129" t="s">
        <v>172</v>
      </c>
      <c r="G180" s="1129" t="s">
        <v>291</v>
      </c>
      <c r="H180" s="1129" t="s">
        <v>292</v>
      </c>
      <c r="I180" s="226" t="s">
        <v>37</v>
      </c>
      <c r="J180" s="1140" t="s">
        <v>35</v>
      </c>
      <c r="K180" s="1119"/>
      <c r="L180" s="1119"/>
      <c r="M180" s="26"/>
      <c r="N180" s="936">
        <v>2240</v>
      </c>
      <c r="O180" s="937"/>
      <c r="P180" s="936">
        <f>N180</f>
        <v>2240</v>
      </c>
      <c r="Q180" s="1122">
        <v>1920</v>
      </c>
      <c r="R180" s="1122">
        <f>표2[[#This Row],[단가(원)]]*표2[[#This Row],[정산 중량(kg)]]</f>
        <v>4300800</v>
      </c>
      <c r="S180" s="1124" t="s">
        <v>5</v>
      </c>
      <c r="T180" s="332"/>
    </row>
    <row r="181" spans="1:20" s="388" customFormat="1" ht="22.5" customHeight="1">
      <c r="A181" s="618">
        <f>ROW()-4</f>
        <v>177</v>
      </c>
      <c r="B181" s="1130">
        <v>46164</v>
      </c>
      <c r="C181" s="1142" t="s">
        <v>264</v>
      </c>
      <c r="D181" s="1142" t="s">
        <v>440</v>
      </c>
      <c r="E181" s="1130" t="s">
        <v>436</v>
      </c>
      <c r="F181" s="1130" t="s">
        <v>581</v>
      </c>
      <c r="G181" s="1130" t="s">
        <v>289</v>
      </c>
      <c r="H181" s="1130" t="s">
        <v>290</v>
      </c>
      <c r="I181" s="502" t="s">
        <v>37</v>
      </c>
      <c r="J181" s="1127" t="s">
        <v>582</v>
      </c>
      <c r="K181" s="1120">
        <v>2150</v>
      </c>
      <c r="L181" s="1120">
        <v>3820</v>
      </c>
      <c r="M181" s="28">
        <v>1670</v>
      </c>
      <c r="N181" s="941">
        <v>1660</v>
      </c>
      <c r="O181" s="942"/>
      <c r="P181" s="941">
        <v>1660</v>
      </c>
      <c r="Q181" s="1128">
        <v>1920</v>
      </c>
      <c r="R181" s="1128">
        <f>표2[[#This Row],[단가(원)]]*표2[[#This Row],[정산 중량(kg)]]</f>
        <v>3187200</v>
      </c>
      <c r="S181" s="1118" t="s">
        <v>5</v>
      </c>
      <c r="T181" s="332"/>
    </row>
    <row r="182" spans="1:20" s="388" customFormat="1" ht="22.5" customHeight="1">
      <c r="A182" s="612">
        <f t="shared" ref="A182:A197" si="55">ROW()-4</f>
        <v>178</v>
      </c>
      <c r="B182" s="1059">
        <v>46167</v>
      </c>
      <c r="C182" s="1061" t="s">
        <v>314</v>
      </c>
      <c r="D182" s="1061" t="s">
        <v>262</v>
      </c>
      <c r="E182" s="1059" t="s">
        <v>263</v>
      </c>
      <c r="F182" s="1059" t="s">
        <v>70</v>
      </c>
      <c r="G182" s="1059" t="s">
        <v>281</v>
      </c>
      <c r="H182" s="1059" t="s">
        <v>282</v>
      </c>
      <c r="I182" s="501" t="s">
        <v>76</v>
      </c>
      <c r="J182" s="1057" t="s">
        <v>119</v>
      </c>
      <c r="K182" s="1054">
        <v>13490</v>
      </c>
      <c r="L182" s="1054">
        <v>18960</v>
      </c>
      <c r="M182" s="23">
        <f>L182-K182</f>
        <v>5470</v>
      </c>
      <c r="N182" s="934">
        <v>5450</v>
      </c>
      <c r="O182" s="935"/>
      <c r="P182" s="934">
        <f>N182</f>
        <v>5450</v>
      </c>
      <c r="Q182" s="1058">
        <v>460</v>
      </c>
      <c r="R182" s="1058">
        <f>Q182*P182</f>
        <v>2507000</v>
      </c>
      <c r="S182" s="1056" t="s">
        <v>5</v>
      </c>
      <c r="T182" s="332"/>
    </row>
    <row r="183" spans="1:20" s="388" customFormat="1" ht="22.5" customHeight="1">
      <c r="A183" s="615">
        <f t="shared" si="55"/>
        <v>179</v>
      </c>
      <c r="B183" s="1132">
        <v>46167</v>
      </c>
      <c r="C183" s="675" t="s">
        <v>264</v>
      </c>
      <c r="D183" s="1132" t="s">
        <v>262</v>
      </c>
      <c r="E183" s="127" t="s">
        <v>263</v>
      </c>
      <c r="F183" s="1134" t="s">
        <v>334</v>
      </c>
      <c r="G183" s="1134" t="s">
        <v>281</v>
      </c>
      <c r="H183" s="1134" t="s">
        <v>282</v>
      </c>
      <c r="I183" s="1126" t="s">
        <v>112</v>
      </c>
      <c r="J183" s="1134" t="s">
        <v>107</v>
      </c>
      <c r="K183" s="675">
        <v>21470</v>
      </c>
      <c r="L183" s="675">
        <v>36550</v>
      </c>
      <c r="M183" s="251">
        <f t="shared" ref="M183" si="56">L183-K183</f>
        <v>15080</v>
      </c>
      <c r="N183" s="1138">
        <v>15120</v>
      </c>
      <c r="O183" s="1138"/>
      <c r="P183" s="1138">
        <v>15080</v>
      </c>
      <c r="Q183" s="271">
        <v>480</v>
      </c>
      <c r="R183" s="271">
        <f t="shared" ref="R183" si="57">Q183*P183</f>
        <v>7238400</v>
      </c>
      <c r="S183" s="1126" t="s">
        <v>5</v>
      </c>
      <c r="T183" s="332"/>
    </row>
    <row r="184" spans="1:20" s="388" customFormat="1" ht="22.5" customHeight="1">
      <c r="A184" s="617">
        <f t="shared" si="55"/>
        <v>180</v>
      </c>
      <c r="B184" s="1129">
        <v>46167</v>
      </c>
      <c r="C184" s="1136" t="s">
        <v>314</v>
      </c>
      <c r="D184" s="1136" t="s">
        <v>262</v>
      </c>
      <c r="E184" s="1129" t="s">
        <v>263</v>
      </c>
      <c r="F184" s="1129" t="s">
        <v>334</v>
      </c>
      <c r="G184" s="1129" t="s">
        <v>289</v>
      </c>
      <c r="H184" s="1129" t="s">
        <v>290</v>
      </c>
      <c r="I184" s="226" t="s">
        <v>37</v>
      </c>
      <c r="J184" s="1140" t="s">
        <v>123</v>
      </c>
      <c r="K184" s="1119">
        <v>21010</v>
      </c>
      <c r="L184" s="1119">
        <v>25100</v>
      </c>
      <c r="M184" s="26">
        <f>L184-K184</f>
        <v>4090</v>
      </c>
      <c r="N184" s="936">
        <v>4040</v>
      </c>
      <c r="O184" s="937"/>
      <c r="P184" s="936">
        <f>N184</f>
        <v>4040</v>
      </c>
      <c r="Q184" s="1122">
        <v>1930</v>
      </c>
      <c r="R184" s="1122">
        <f>Q184*P184</f>
        <v>7797200</v>
      </c>
      <c r="S184" s="1124" t="s">
        <v>5</v>
      </c>
      <c r="T184" s="332"/>
    </row>
    <row r="185" spans="1:20" s="388" customFormat="1" ht="22.5" customHeight="1">
      <c r="A185" s="617">
        <f t="shared" si="55"/>
        <v>181</v>
      </c>
      <c r="B185" s="1129">
        <v>46167</v>
      </c>
      <c r="C185" s="1136" t="s">
        <v>314</v>
      </c>
      <c r="D185" s="1136" t="s">
        <v>262</v>
      </c>
      <c r="E185" s="1129" t="s">
        <v>239</v>
      </c>
      <c r="F185" s="1129" t="s">
        <v>235</v>
      </c>
      <c r="G185" s="1129" t="s">
        <v>289</v>
      </c>
      <c r="H185" s="1129" t="s">
        <v>290</v>
      </c>
      <c r="I185" s="226" t="s">
        <v>37</v>
      </c>
      <c r="J185" s="1140" t="s">
        <v>123</v>
      </c>
      <c r="K185" s="1119">
        <v>20950</v>
      </c>
      <c r="L185" s="1119">
        <v>25100</v>
      </c>
      <c r="M185" s="26">
        <f>L185-K185</f>
        <v>4150</v>
      </c>
      <c r="N185" s="936">
        <f>4090-140</f>
        <v>3950</v>
      </c>
      <c r="O185" s="937"/>
      <c r="P185" s="936">
        <f>N185</f>
        <v>3950</v>
      </c>
      <c r="Q185" s="1122">
        <v>1930</v>
      </c>
      <c r="R185" s="1122">
        <f>Q185*P185</f>
        <v>7623500</v>
      </c>
      <c r="S185" s="1124" t="s">
        <v>5</v>
      </c>
      <c r="T185" s="332"/>
    </row>
    <row r="186" spans="1:20" s="388" customFormat="1" ht="22.5" customHeight="1">
      <c r="A186" s="618">
        <f>ROW()-4</f>
        <v>182</v>
      </c>
      <c r="B186" s="1130">
        <v>46167</v>
      </c>
      <c r="C186" s="1142" t="s">
        <v>314</v>
      </c>
      <c r="D186" s="1142" t="s">
        <v>262</v>
      </c>
      <c r="E186" s="1130" t="s">
        <v>239</v>
      </c>
      <c r="F186" s="1130" t="s">
        <v>235</v>
      </c>
      <c r="G186" s="1130" t="s">
        <v>289</v>
      </c>
      <c r="H186" s="1130" t="s">
        <v>290</v>
      </c>
      <c r="I186" s="502" t="s">
        <v>37</v>
      </c>
      <c r="J186" s="1127" t="s">
        <v>92</v>
      </c>
      <c r="K186" s="1120"/>
      <c r="L186" s="1120"/>
      <c r="M186" s="28"/>
      <c r="N186" s="941">
        <v>140</v>
      </c>
      <c r="O186" s="942"/>
      <c r="P186" s="941">
        <f>N186</f>
        <v>140</v>
      </c>
      <c r="Q186" s="1128">
        <v>250</v>
      </c>
      <c r="R186" s="1128">
        <f>Q186*P186</f>
        <v>35000</v>
      </c>
      <c r="S186" s="1118" t="s">
        <v>5</v>
      </c>
      <c r="T186" s="332"/>
    </row>
    <row r="187" spans="1:20" s="388" customFormat="1" ht="22.5" customHeight="1">
      <c r="A187" s="612">
        <f t="shared" si="55"/>
        <v>183</v>
      </c>
      <c r="B187" s="518">
        <v>46168</v>
      </c>
      <c r="C187" s="1091" t="s">
        <v>34</v>
      </c>
      <c r="D187" s="1091" t="s">
        <v>17</v>
      </c>
      <c r="E187" s="1091" t="s">
        <v>182</v>
      </c>
      <c r="F187" s="1115" t="s">
        <v>584</v>
      </c>
      <c r="G187" s="1115" t="s">
        <v>585</v>
      </c>
      <c r="H187" s="1115" t="s">
        <v>586</v>
      </c>
      <c r="I187" s="501" t="s">
        <v>216</v>
      </c>
      <c r="J187" s="1097" t="s">
        <v>593</v>
      </c>
      <c r="K187" s="1091">
        <v>3960</v>
      </c>
      <c r="L187" s="1091">
        <v>6010</v>
      </c>
      <c r="M187" s="23">
        <f>L187-K187</f>
        <v>2050</v>
      </c>
      <c r="N187" s="1097"/>
      <c r="O187" s="1097"/>
      <c r="P187" s="1097">
        <f>M187</f>
        <v>2050</v>
      </c>
      <c r="Q187" s="1099"/>
      <c r="R187" s="1099">
        <v>200000</v>
      </c>
      <c r="S187" s="1094" t="s">
        <v>5</v>
      </c>
      <c r="T187" s="332"/>
    </row>
    <row r="188" spans="1:20" s="388" customFormat="1" ht="22.5" customHeight="1">
      <c r="A188" s="617">
        <f t="shared" si="55"/>
        <v>184</v>
      </c>
      <c r="B188" s="1102">
        <v>46168</v>
      </c>
      <c r="C188" s="1104" t="s">
        <v>314</v>
      </c>
      <c r="D188" s="1104" t="s">
        <v>262</v>
      </c>
      <c r="E188" s="1102" t="s">
        <v>263</v>
      </c>
      <c r="F188" s="1102" t="s">
        <v>70</v>
      </c>
      <c r="G188" s="1102" t="s">
        <v>291</v>
      </c>
      <c r="H188" s="1102" t="s">
        <v>292</v>
      </c>
      <c r="I188" s="226" t="s">
        <v>75</v>
      </c>
      <c r="J188" s="1110" t="s">
        <v>119</v>
      </c>
      <c r="K188" s="1089">
        <v>13600</v>
      </c>
      <c r="L188" s="1089">
        <v>15240</v>
      </c>
      <c r="M188" s="26">
        <f>L188-K188</f>
        <v>1640</v>
      </c>
      <c r="N188" s="936">
        <v>1610</v>
      </c>
      <c r="O188" s="937"/>
      <c r="P188" s="936">
        <f>N188</f>
        <v>1610</v>
      </c>
      <c r="Q188" s="1093">
        <v>460</v>
      </c>
      <c r="R188" s="1093">
        <f>Q188*P188</f>
        <v>740600</v>
      </c>
      <c r="S188" s="1095" t="s">
        <v>5</v>
      </c>
      <c r="T188" s="332"/>
    </row>
    <row r="189" spans="1:20" s="388" customFormat="1" ht="22.5" customHeight="1">
      <c r="A189" s="617">
        <f>ROW()-4</f>
        <v>185</v>
      </c>
      <c r="B189" s="1102">
        <v>46168</v>
      </c>
      <c r="C189" s="1104" t="s">
        <v>314</v>
      </c>
      <c r="D189" s="1104"/>
      <c r="E189" s="1102"/>
      <c r="F189" s="1102"/>
      <c r="G189" s="1102"/>
      <c r="H189" s="1102"/>
      <c r="I189" s="226" t="s">
        <v>75</v>
      </c>
      <c r="J189" s="1110" t="s">
        <v>597</v>
      </c>
      <c r="K189" s="1089"/>
      <c r="L189" s="1089"/>
      <c r="M189" s="26"/>
      <c r="N189" s="936"/>
      <c r="O189" s="937">
        <v>40</v>
      </c>
      <c r="P189" s="936"/>
      <c r="Q189" s="1093">
        <v>-550</v>
      </c>
      <c r="R189" s="1093">
        <f>표2[[#This Row],[감량(kg)]]*표2[[#This Row],[단가(원)]]</f>
        <v>-22000</v>
      </c>
      <c r="S189" s="1095" t="s">
        <v>180</v>
      </c>
      <c r="T189" s="332"/>
    </row>
    <row r="190" spans="1:20" s="388" customFormat="1" ht="22.5" customHeight="1">
      <c r="A190" s="617">
        <f>ROW()-4</f>
        <v>186</v>
      </c>
      <c r="B190" s="1102">
        <v>46168</v>
      </c>
      <c r="C190" s="1104" t="s">
        <v>314</v>
      </c>
      <c r="D190" s="1104"/>
      <c r="E190" s="1102"/>
      <c r="F190" s="1102"/>
      <c r="G190" s="1102"/>
      <c r="H190" s="1102"/>
      <c r="I190" s="226" t="s">
        <v>75</v>
      </c>
      <c r="J190" s="1110" t="s">
        <v>598</v>
      </c>
      <c r="K190" s="1089"/>
      <c r="L190" s="1089"/>
      <c r="M190" s="26"/>
      <c r="N190" s="936"/>
      <c r="O190" s="937">
        <v>5</v>
      </c>
      <c r="P190" s="936"/>
      <c r="Q190" s="1093">
        <v>-10000</v>
      </c>
      <c r="R190" s="1093">
        <f>표2[[#This Row],[감량(kg)]]*표2[[#This Row],[단가(원)]]</f>
        <v>-50000</v>
      </c>
      <c r="S190" s="1095" t="s">
        <v>180</v>
      </c>
      <c r="T190" s="332"/>
    </row>
    <row r="191" spans="1:20" s="388" customFormat="1" ht="22.5" customHeight="1">
      <c r="A191" s="617">
        <f t="shared" si="55"/>
        <v>187</v>
      </c>
      <c r="B191" s="1104">
        <v>46168</v>
      </c>
      <c r="C191" s="1112" t="s">
        <v>541</v>
      </c>
      <c r="D191" s="1104" t="s">
        <v>262</v>
      </c>
      <c r="E191" s="128" t="s">
        <v>263</v>
      </c>
      <c r="F191" s="1105" t="s">
        <v>334</v>
      </c>
      <c r="G191" s="1105" t="s">
        <v>281</v>
      </c>
      <c r="H191" s="1105" t="s">
        <v>282</v>
      </c>
      <c r="I191" s="1095" t="s">
        <v>112</v>
      </c>
      <c r="J191" s="1105" t="s">
        <v>110</v>
      </c>
      <c r="K191" s="1112">
        <v>21340</v>
      </c>
      <c r="L191" s="1112">
        <v>28340</v>
      </c>
      <c r="M191" s="250">
        <v>6300</v>
      </c>
      <c r="N191" s="1092">
        <v>6300</v>
      </c>
      <c r="O191" s="1092"/>
      <c r="P191" s="1092">
        <v>6300</v>
      </c>
      <c r="Q191" s="1107">
        <v>480</v>
      </c>
      <c r="R191" s="1107">
        <f t="shared" ref="R191:R194" si="58">Q191*P191</f>
        <v>3024000</v>
      </c>
      <c r="S191" s="1095" t="s">
        <v>5</v>
      </c>
      <c r="T191" s="332"/>
    </row>
    <row r="192" spans="1:20" s="388" customFormat="1" ht="22.5" customHeight="1">
      <c r="A192" s="617">
        <f t="shared" si="55"/>
        <v>188</v>
      </c>
      <c r="B192" s="1104">
        <v>46168</v>
      </c>
      <c r="C192" s="1112" t="s">
        <v>314</v>
      </c>
      <c r="D192" s="1104" t="s">
        <v>262</v>
      </c>
      <c r="E192" s="128" t="s">
        <v>263</v>
      </c>
      <c r="F192" s="1105" t="s">
        <v>334</v>
      </c>
      <c r="G192" s="1105" t="s">
        <v>281</v>
      </c>
      <c r="H192" s="1105" t="s">
        <v>282</v>
      </c>
      <c r="I192" s="1095" t="s">
        <v>112</v>
      </c>
      <c r="J192" s="1105" t="s">
        <v>110</v>
      </c>
      <c r="K192" s="1112"/>
      <c r="L192" s="1112"/>
      <c r="M192" s="250">
        <v>700</v>
      </c>
      <c r="N192" s="1092">
        <v>690</v>
      </c>
      <c r="O192" s="1092"/>
      <c r="P192" s="1092">
        <v>700</v>
      </c>
      <c r="Q192" s="1107">
        <v>480</v>
      </c>
      <c r="R192" s="1107">
        <f t="shared" si="58"/>
        <v>336000</v>
      </c>
      <c r="S192" s="1095" t="s">
        <v>5</v>
      </c>
      <c r="T192" s="332"/>
    </row>
    <row r="193" spans="1:20" s="388" customFormat="1" ht="22.5" customHeight="1">
      <c r="A193" s="617">
        <f t="shared" si="55"/>
        <v>189</v>
      </c>
      <c r="B193" s="1104">
        <v>46168</v>
      </c>
      <c r="C193" s="1112" t="s">
        <v>314</v>
      </c>
      <c r="D193" s="1104" t="s">
        <v>262</v>
      </c>
      <c r="E193" s="128" t="s">
        <v>263</v>
      </c>
      <c r="F193" s="1105" t="s">
        <v>334</v>
      </c>
      <c r="G193" s="1105" t="s">
        <v>281</v>
      </c>
      <c r="H193" s="1105" t="s">
        <v>282</v>
      </c>
      <c r="I193" s="1095" t="s">
        <v>112</v>
      </c>
      <c r="J193" s="1105" t="s">
        <v>272</v>
      </c>
      <c r="K193" s="1112">
        <v>21290</v>
      </c>
      <c r="L193" s="1112">
        <v>38460</v>
      </c>
      <c r="M193" s="250">
        <v>15400</v>
      </c>
      <c r="N193" s="1092">
        <v>15400</v>
      </c>
      <c r="O193" s="1092"/>
      <c r="P193" s="1092">
        <v>15400</v>
      </c>
      <c r="Q193" s="1107">
        <v>500</v>
      </c>
      <c r="R193" s="1107">
        <f t="shared" si="58"/>
        <v>7700000</v>
      </c>
      <c r="S193" s="1095" t="s">
        <v>5</v>
      </c>
      <c r="T193" s="332"/>
    </row>
    <row r="194" spans="1:20" s="388" customFormat="1" ht="22.5" customHeight="1">
      <c r="A194" s="617">
        <f t="shared" si="55"/>
        <v>190</v>
      </c>
      <c r="B194" s="1136">
        <v>46168</v>
      </c>
      <c r="C194" s="1141" t="s">
        <v>264</v>
      </c>
      <c r="D194" s="1136" t="s">
        <v>262</v>
      </c>
      <c r="E194" s="128" t="s">
        <v>263</v>
      </c>
      <c r="F194" s="1137" t="s">
        <v>334</v>
      </c>
      <c r="G194" s="1137" t="s">
        <v>281</v>
      </c>
      <c r="H194" s="1137" t="s">
        <v>282</v>
      </c>
      <c r="I194" s="1124" t="s">
        <v>112</v>
      </c>
      <c r="J194" s="1137" t="s">
        <v>272</v>
      </c>
      <c r="K194" s="1141"/>
      <c r="L194" s="1141"/>
      <c r="M194" s="250">
        <v>1770</v>
      </c>
      <c r="N194" s="1121">
        <v>1590</v>
      </c>
      <c r="O194" s="1121"/>
      <c r="P194" s="1121">
        <v>1770</v>
      </c>
      <c r="Q194" s="1139">
        <v>500</v>
      </c>
      <c r="R194" s="1139">
        <f t="shared" si="58"/>
        <v>885000</v>
      </c>
      <c r="S194" s="1124" t="s">
        <v>5</v>
      </c>
      <c r="T194" s="332"/>
    </row>
    <row r="195" spans="1:20" s="388" customFormat="1" ht="22.5" customHeight="1">
      <c r="A195" s="617">
        <f t="shared" si="55"/>
        <v>191</v>
      </c>
      <c r="B195" s="1129">
        <v>46168</v>
      </c>
      <c r="C195" s="1136" t="s">
        <v>264</v>
      </c>
      <c r="D195" s="1136" t="s">
        <v>262</v>
      </c>
      <c r="E195" s="1129" t="s">
        <v>239</v>
      </c>
      <c r="F195" s="1129" t="s">
        <v>235</v>
      </c>
      <c r="G195" s="1129" t="s">
        <v>289</v>
      </c>
      <c r="H195" s="1129" t="s">
        <v>290</v>
      </c>
      <c r="I195" s="226" t="s">
        <v>37</v>
      </c>
      <c r="J195" s="1140" t="s">
        <v>123</v>
      </c>
      <c r="K195" s="1119">
        <v>20950</v>
      </c>
      <c r="L195" s="1119">
        <v>26320</v>
      </c>
      <c r="M195" s="26">
        <f>L195-K195-1500</f>
        <v>3870</v>
      </c>
      <c r="N195" s="936">
        <f>3720-400</f>
        <v>3320</v>
      </c>
      <c r="O195" s="937"/>
      <c r="P195" s="936">
        <f>N195</f>
        <v>3320</v>
      </c>
      <c r="Q195" s="1122">
        <v>1930</v>
      </c>
      <c r="R195" s="1122">
        <f>Q195*P195</f>
        <v>6407600</v>
      </c>
      <c r="S195" s="1124" t="s">
        <v>5</v>
      </c>
      <c r="T195" s="332"/>
    </row>
    <row r="196" spans="1:20" s="388" customFormat="1" ht="22.5" customHeight="1">
      <c r="A196" s="617">
        <f>ROW()-4</f>
        <v>192</v>
      </c>
      <c r="B196" s="1129">
        <v>46168</v>
      </c>
      <c r="C196" s="1136" t="s">
        <v>264</v>
      </c>
      <c r="D196" s="1136" t="s">
        <v>262</v>
      </c>
      <c r="E196" s="1129" t="s">
        <v>239</v>
      </c>
      <c r="F196" s="1129" t="s">
        <v>235</v>
      </c>
      <c r="G196" s="1129" t="s">
        <v>289</v>
      </c>
      <c r="H196" s="1129" t="s">
        <v>290</v>
      </c>
      <c r="I196" s="226" t="s">
        <v>37</v>
      </c>
      <c r="J196" s="1140" t="s">
        <v>92</v>
      </c>
      <c r="K196" s="1119"/>
      <c r="L196" s="1119"/>
      <c r="M196" s="26"/>
      <c r="N196" s="936">
        <v>400</v>
      </c>
      <c r="O196" s="937"/>
      <c r="P196" s="936">
        <f>N196</f>
        <v>400</v>
      </c>
      <c r="Q196" s="1122">
        <v>250</v>
      </c>
      <c r="R196" s="1122">
        <f>Q196*P196</f>
        <v>100000</v>
      </c>
      <c r="S196" s="1124" t="s">
        <v>5</v>
      </c>
      <c r="T196" s="332"/>
    </row>
    <row r="197" spans="1:20" s="388" customFormat="1" ht="22.5" customHeight="1">
      <c r="A197" s="618">
        <f t="shared" si="55"/>
        <v>193</v>
      </c>
      <c r="B197" s="1130">
        <v>46168</v>
      </c>
      <c r="C197" s="1142" t="s">
        <v>314</v>
      </c>
      <c r="D197" s="1142" t="s">
        <v>262</v>
      </c>
      <c r="E197" s="1130" t="s">
        <v>239</v>
      </c>
      <c r="F197" s="1130" t="s">
        <v>235</v>
      </c>
      <c r="G197" s="1130" t="s">
        <v>289</v>
      </c>
      <c r="H197" s="1130" t="s">
        <v>290</v>
      </c>
      <c r="I197" s="502" t="s">
        <v>37</v>
      </c>
      <c r="J197" s="1127" t="s">
        <v>123</v>
      </c>
      <c r="K197" s="1120"/>
      <c r="L197" s="1120"/>
      <c r="M197" s="28">
        <v>1500</v>
      </c>
      <c r="N197" s="941">
        <v>1500</v>
      </c>
      <c r="O197" s="942"/>
      <c r="P197" s="941">
        <f>N197</f>
        <v>1500</v>
      </c>
      <c r="Q197" s="1128">
        <v>1930</v>
      </c>
      <c r="R197" s="1128">
        <f>Q197*P197</f>
        <v>2895000</v>
      </c>
      <c r="S197" s="1118" t="s">
        <v>5</v>
      </c>
      <c r="T197" s="332"/>
    </row>
    <row r="198" spans="1:20" s="388" customFormat="1" ht="22.5" customHeight="1">
      <c r="A198" s="1158">
        <f t="shared" si="45"/>
        <v>194</v>
      </c>
      <c r="B198" s="1133">
        <v>46169</v>
      </c>
      <c r="C198" s="677" t="s">
        <v>264</v>
      </c>
      <c r="D198" s="1133" t="s">
        <v>262</v>
      </c>
      <c r="E198" s="153" t="s">
        <v>263</v>
      </c>
      <c r="F198" s="1135" t="s">
        <v>601</v>
      </c>
      <c r="G198" s="1135" t="s">
        <v>281</v>
      </c>
      <c r="H198" s="1135" t="s">
        <v>282</v>
      </c>
      <c r="I198" s="1125" t="s">
        <v>112</v>
      </c>
      <c r="J198" s="1135" t="s">
        <v>217</v>
      </c>
      <c r="K198" s="677">
        <v>12270</v>
      </c>
      <c r="L198" s="677">
        <v>32620</v>
      </c>
      <c r="M198" s="296">
        <f>L198-K198</f>
        <v>20350</v>
      </c>
      <c r="N198" s="1123">
        <v>20210</v>
      </c>
      <c r="O198" s="1123"/>
      <c r="P198" s="1123">
        <f>표2[[#This Row],[실중량(kg)]]</f>
        <v>20350</v>
      </c>
      <c r="Q198" s="270">
        <v>460</v>
      </c>
      <c r="R198" s="270">
        <f t="shared" ref="R198:R206" si="59">Q198*P198</f>
        <v>9361000</v>
      </c>
      <c r="S198" s="1125" t="s">
        <v>5</v>
      </c>
      <c r="T198" s="332"/>
    </row>
    <row r="199" spans="1:20" s="388" customFormat="1" ht="22.5" customHeight="1">
      <c r="A199" s="612">
        <f t="shared" ref="A199:A209" si="60">ROW()-4</f>
        <v>195</v>
      </c>
      <c r="B199" s="1154">
        <v>46170</v>
      </c>
      <c r="C199" s="1152" t="s">
        <v>264</v>
      </c>
      <c r="D199" s="1154" t="s">
        <v>262</v>
      </c>
      <c r="E199" s="138" t="s">
        <v>263</v>
      </c>
      <c r="F199" s="1156" t="s">
        <v>334</v>
      </c>
      <c r="G199" s="1156" t="s">
        <v>281</v>
      </c>
      <c r="H199" s="1156" t="s">
        <v>282</v>
      </c>
      <c r="I199" s="1143" t="s">
        <v>112</v>
      </c>
      <c r="J199" s="1156" t="s">
        <v>272</v>
      </c>
      <c r="K199" s="1152">
        <v>21290</v>
      </c>
      <c r="L199" s="1152">
        <v>48330</v>
      </c>
      <c r="M199" s="249">
        <f t="shared" ref="M199:M206" si="61">L199-K199</f>
        <v>27040</v>
      </c>
      <c r="N199" s="320">
        <v>26590</v>
      </c>
      <c r="O199" s="320"/>
      <c r="P199" s="320">
        <f>M199</f>
        <v>27040</v>
      </c>
      <c r="Q199" s="137">
        <v>500</v>
      </c>
      <c r="R199" s="137">
        <f t="shared" si="59"/>
        <v>13520000</v>
      </c>
      <c r="S199" s="1143" t="s">
        <v>5</v>
      </c>
      <c r="T199" s="332"/>
    </row>
    <row r="200" spans="1:20" s="388" customFormat="1" ht="22.5" customHeight="1">
      <c r="A200" s="617">
        <f t="shared" si="60"/>
        <v>196</v>
      </c>
      <c r="B200" s="1147">
        <v>46170</v>
      </c>
      <c r="C200" s="1153" t="s">
        <v>305</v>
      </c>
      <c r="D200" s="1147" t="s">
        <v>440</v>
      </c>
      <c r="E200" s="128" t="s">
        <v>261</v>
      </c>
      <c r="F200" s="1151" t="s">
        <v>608</v>
      </c>
      <c r="G200" s="1151"/>
      <c r="H200" s="1151"/>
      <c r="I200" s="1144" t="s">
        <v>112</v>
      </c>
      <c r="J200" s="1151" t="s">
        <v>132</v>
      </c>
      <c r="K200" s="1153">
        <v>18760</v>
      </c>
      <c r="L200" s="1153">
        <v>37650</v>
      </c>
      <c r="M200" s="250">
        <f t="shared" si="61"/>
        <v>18890</v>
      </c>
      <c r="N200" s="1146">
        <v>18870</v>
      </c>
      <c r="O200" s="1146"/>
      <c r="P200" s="1146">
        <f t="shared" ref="P200:P206" si="62">M200</f>
        <v>18890</v>
      </c>
      <c r="Q200" s="1149">
        <v>480</v>
      </c>
      <c r="R200" s="1149">
        <f t="shared" si="59"/>
        <v>9067200</v>
      </c>
      <c r="S200" s="1144" t="s">
        <v>5</v>
      </c>
      <c r="T200" s="332"/>
    </row>
    <row r="201" spans="1:20" s="388" customFormat="1" ht="22.5" customHeight="1">
      <c r="A201" s="617">
        <f t="shared" si="60"/>
        <v>197</v>
      </c>
      <c r="B201" s="1147">
        <v>46170</v>
      </c>
      <c r="C201" s="1153" t="s">
        <v>305</v>
      </c>
      <c r="D201" s="1147" t="s">
        <v>440</v>
      </c>
      <c r="E201" s="128" t="s">
        <v>261</v>
      </c>
      <c r="F201" s="1151" t="s">
        <v>146</v>
      </c>
      <c r="G201" s="1151" t="s">
        <v>609</v>
      </c>
      <c r="H201" s="1151" t="s">
        <v>610</v>
      </c>
      <c r="I201" s="1144" t="s">
        <v>112</v>
      </c>
      <c r="J201" s="1151" t="s">
        <v>271</v>
      </c>
      <c r="K201" s="1153">
        <v>17780</v>
      </c>
      <c r="L201" s="1153">
        <v>30830</v>
      </c>
      <c r="M201" s="250">
        <f t="shared" si="61"/>
        <v>13050</v>
      </c>
      <c r="N201" s="1146">
        <v>13070</v>
      </c>
      <c r="O201" s="1146">
        <v>500</v>
      </c>
      <c r="P201" s="1146">
        <f>M201-O201</f>
        <v>12550</v>
      </c>
      <c r="Q201" s="1149">
        <v>495</v>
      </c>
      <c r="R201" s="1149">
        <f t="shared" si="59"/>
        <v>6212250</v>
      </c>
      <c r="S201" s="1144" t="s">
        <v>5</v>
      </c>
      <c r="T201" s="332"/>
    </row>
    <row r="202" spans="1:20" s="388" customFormat="1" ht="22.5" customHeight="1">
      <c r="A202" s="617">
        <f t="shared" si="60"/>
        <v>198</v>
      </c>
      <c r="B202" s="1147">
        <v>46170</v>
      </c>
      <c r="C202" s="1153" t="s">
        <v>305</v>
      </c>
      <c r="D202" s="1147" t="s">
        <v>440</v>
      </c>
      <c r="E202" s="128" t="s">
        <v>261</v>
      </c>
      <c r="F202" s="1151" t="s">
        <v>178</v>
      </c>
      <c r="G202" s="1151" t="s">
        <v>611</v>
      </c>
      <c r="H202" s="1151" t="s">
        <v>612</v>
      </c>
      <c r="I202" s="1144" t="s">
        <v>112</v>
      </c>
      <c r="J202" s="1151" t="s">
        <v>271</v>
      </c>
      <c r="K202" s="1153">
        <v>18050</v>
      </c>
      <c r="L202" s="1153">
        <v>28620</v>
      </c>
      <c r="M202" s="250">
        <f t="shared" si="61"/>
        <v>10570</v>
      </c>
      <c r="N202" s="1146">
        <v>10440</v>
      </c>
      <c r="O202" s="1146"/>
      <c r="P202" s="1146">
        <f t="shared" si="62"/>
        <v>10570</v>
      </c>
      <c r="Q202" s="1149">
        <v>495</v>
      </c>
      <c r="R202" s="1149">
        <f t="shared" si="59"/>
        <v>5232150</v>
      </c>
      <c r="S202" s="1144" t="s">
        <v>5</v>
      </c>
      <c r="T202" s="332"/>
    </row>
    <row r="203" spans="1:20" s="388" customFormat="1" ht="22.5" customHeight="1">
      <c r="A203" s="617">
        <f t="shared" si="60"/>
        <v>199</v>
      </c>
      <c r="B203" s="1147">
        <v>46170</v>
      </c>
      <c r="C203" s="1153" t="s">
        <v>305</v>
      </c>
      <c r="D203" s="1147" t="s">
        <v>440</v>
      </c>
      <c r="E203" s="128" t="s">
        <v>261</v>
      </c>
      <c r="F203" s="1151" t="s">
        <v>117</v>
      </c>
      <c r="G203" s="1151" t="s">
        <v>329</v>
      </c>
      <c r="H203" s="1151" t="s">
        <v>330</v>
      </c>
      <c r="I203" s="1144" t="s">
        <v>112</v>
      </c>
      <c r="J203" s="1151" t="s">
        <v>271</v>
      </c>
      <c r="K203" s="1153">
        <v>18780</v>
      </c>
      <c r="L203" s="1153">
        <v>30820</v>
      </c>
      <c r="M203" s="250">
        <f t="shared" si="61"/>
        <v>12040</v>
      </c>
      <c r="N203" s="1146">
        <v>11930</v>
      </c>
      <c r="O203" s="1146"/>
      <c r="P203" s="1146">
        <f t="shared" si="62"/>
        <v>12040</v>
      </c>
      <c r="Q203" s="1149">
        <v>495</v>
      </c>
      <c r="R203" s="1149">
        <f t="shared" si="59"/>
        <v>5959800</v>
      </c>
      <c r="S203" s="1144" t="s">
        <v>5</v>
      </c>
      <c r="T203" s="332"/>
    </row>
    <row r="204" spans="1:20" s="388" customFormat="1" ht="22.5" customHeight="1">
      <c r="A204" s="617">
        <f t="shared" si="60"/>
        <v>200</v>
      </c>
      <c r="B204" s="1147">
        <v>46170</v>
      </c>
      <c r="C204" s="1153" t="s">
        <v>305</v>
      </c>
      <c r="D204" s="1147" t="s">
        <v>440</v>
      </c>
      <c r="E204" s="128" t="s">
        <v>261</v>
      </c>
      <c r="F204" s="1151" t="s">
        <v>116</v>
      </c>
      <c r="G204" s="1151" t="s">
        <v>319</v>
      </c>
      <c r="H204" s="1151" t="s">
        <v>320</v>
      </c>
      <c r="I204" s="1144" t="s">
        <v>112</v>
      </c>
      <c r="J204" s="1151" t="s">
        <v>271</v>
      </c>
      <c r="K204" s="1153">
        <v>18800</v>
      </c>
      <c r="L204" s="1153">
        <v>29070</v>
      </c>
      <c r="M204" s="250">
        <f t="shared" si="61"/>
        <v>10270</v>
      </c>
      <c r="N204" s="1146">
        <v>10200</v>
      </c>
      <c r="O204" s="1146"/>
      <c r="P204" s="1146">
        <f t="shared" si="62"/>
        <v>10270</v>
      </c>
      <c r="Q204" s="1149">
        <v>495</v>
      </c>
      <c r="R204" s="1149">
        <f t="shared" si="59"/>
        <v>5083650</v>
      </c>
      <c r="S204" s="1144" t="s">
        <v>5</v>
      </c>
      <c r="T204" s="332"/>
    </row>
    <row r="205" spans="1:20" s="388" customFormat="1" ht="22.5" customHeight="1">
      <c r="A205" s="617">
        <f t="shared" si="60"/>
        <v>201</v>
      </c>
      <c r="B205" s="1147">
        <v>46170</v>
      </c>
      <c r="C205" s="1153" t="s">
        <v>305</v>
      </c>
      <c r="D205" s="1147" t="s">
        <v>440</v>
      </c>
      <c r="E205" s="128" t="s">
        <v>263</v>
      </c>
      <c r="F205" s="1151" t="s">
        <v>172</v>
      </c>
      <c r="G205" s="1151" t="s">
        <v>291</v>
      </c>
      <c r="H205" s="1151" t="s">
        <v>292</v>
      </c>
      <c r="I205" s="1144" t="s">
        <v>112</v>
      </c>
      <c r="J205" s="1151" t="s">
        <v>119</v>
      </c>
      <c r="K205" s="1153">
        <v>13960</v>
      </c>
      <c r="L205" s="1153">
        <v>16320</v>
      </c>
      <c r="M205" s="250">
        <f t="shared" si="61"/>
        <v>2360</v>
      </c>
      <c r="N205" s="1146">
        <v>2360</v>
      </c>
      <c r="O205" s="1146"/>
      <c r="P205" s="1146">
        <f t="shared" si="62"/>
        <v>2360</v>
      </c>
      <c r="Q205" s="1149">
        <v>465</v>
      </c>
      <c r="R205" s="1149">
        <f t="shared" si="59"/>
        <v>1097400</v>
      </c>
      <c r="S205" s="1144" t="s">
        <v>5</v>
      </c>
      <c r="T205" s="332"/>
    </row>
    <row r="206" spans="1:20" s="388" customFormat="1" ht="22.5" customHeight="1">
      <c r="A206" s="618">
        <f t="shared" si="60"/>
        <v>202</v>
      </c>
      <c r="B206" s="1155">
        <v>46170</v>
      </c>
      <c r="C206" s="202" t="s">
        <v>264</v>
      </c>
      <c r="D206" s="1155" t="s">
        <v>262</v>
      </c>
      <c r="E206" s="129" t="s">
        <v>263</v>
      </c>
      <c r="F206" s="1157" t="s">
        <v>172</v>
      </c>
      <c r="G206" s="1157" t="s">
        <v>291</v>
      </c>
      <c r="H206" s="1157" t="s">
        <v>292</v>
      </c>
      <c r="I206" s="1145" t="s">
        <v>112</v>
      </c>
      <c r="J206" s="1157" t="s">
        <v>194</v>
      </c>
      <c r="K206" s="202">
        <v>14080</v>
      </c>
      <c r="L206" s="202">
        <v>31400</v>
      </c>
      <c r="M206" s="257">
        <f t="shared" si="61"/>
        <v>17320</v>
      </c>
      <c r="N206" s="1148">
        <v>17120</v>
      </c>
      <c r="O206" s="1148"/>
      <c r="P206" s="1148">
        <f t="shared" si="62"/>
        <v>17320</v>
      </c>
      <c r="Q206" s="1150">
        <v>500</v>
      </c>
      <c r="R206" s="1150">
        <f t="shared" si="59"/>
        <v>8660000</v>
      </c>
      <c r="S206" s="1145" t="s">
        <v>5</v>
      </c>
      <c r="T206" s="332"/>
    </row>
    <row r="207" spans="1:20" s="388" customFormat="1" ht="22.5" customHeight="1">
      <c r="A207" s="542">
        <f>ROW()-4</f>
        <v>203</v>
      </c>
      <c r="B207" s="1179">
        <v>46171</v>
      </c>
      <c r="C207" s="1193" t="s">
        <v>305</v>
      </c>
      <c r="D207" s="1193" t="s">
        <v>262</v>
      </c>
      <c r="E207" s="1179" t="s">
        <v>263</v>
      </c>
      <c r="F207" s="1179" t="s">
        <v>172</v>
      </c>
      <c r="G207" s="1179" t="s">
        <v>291</v>
      </c>
      <c r="H207" s="1179" t="s">
        <v>292</v>
      </c>
      <c r="I207" s="501" t="s">
        <v>75</v>
      </c>
      <c r="J207" s="1174" t="s">
        <v>246</v>
      </c>
      <c r="K207" s="1166"/>
      <c r="L207" s="1166"/>
      <c r="M207" s="23">
        <v>1100</v>
      </c>
      <c r="N207" s="934">
        <v>1100</v>
      </c>
      <c r="O207" s="935"/>
      <c r="P207" s="934">
        <f>N207</f>
        <v>1100</v>
      </c>
      <c r="Q207" s="1175">
        <v>460</v>
      </c>
      <c r="R207" s="1175">
        <f>Q207*P207</f>
        <v>506000</v>
      </c>
      <c r="S207" s="1159" t="s">
        <v>5</v>
      </c>
      <c r="T207" s="332"/>
    </row>
    <row r="208" spans="1:20" s="388" customFormat="1" ht="22.5" customHeight="1">
      <c r="A208" s="538">
        <f>ROW()-4</f>
        <v>204</v>
      </c>
      <c r="B208" s="1178">
        <v>46171</v>
      </c>
      <c r="C208" s="1182" t="s">
        <v>264</v>
      </c>
      <c r="D208" s="1182" t="s">
        <v>262</v>
      </c>
      <c r="E208" s="1178" t="s">
        <v>263</v>
      </c>
      <c r="F208" s="1178" t="s">
        <v>172</v>
      </c>
      <c r="G208" s="1178" t="s">
        <v>291</v>
      </c>
      <c r="H208" s="1178" t="s">
        <v>292</v>
      </c>
      <c r="I208" s="226" t="s">
        <v>75</v>
      </c>
      <c r="J208" s="1190" t="s">
        <v>246</v>
      </c>
      <c r="K208" s="1167">
        <v>14370</v>
      </c>
      <c r="L208" s="1167">
        <v>21460</v>
      </c>
      <c r="M208" s="26">
        <f>L208-K208-1100</f>
        <v>5990</v>
      </c>
      <c r="N208" s="936">
        <v>5990</v>
      </c>
      <c r="O208" s="937"/>
      <c r="P208" s="936">
        <f>N208</f>
        <v>5990</v>
      </c>
      <c r="Q208" s="1169">
        <v>460</v>
      </c>
      <c r="R208" s="1169">
        <f t="shared" ref="R208" si="63">Q208*P208</f>
        <v>2755400</v>
      </c>
      <c r="S208" s="1160" t="s">
        <v>5</v>
      </c>
      <c r="T208" s="332"/>
    </row>
    <row r="209" spans="1:20" s="388" customFormat="1" ht="22.5" customHeight="1">
      <c r="A209" s="541">
        <f t="shared" si="60"/>
        <v>205</v>
      </c>
      <c r="B209" s="1180">
        <v>46171</v>
      </c>
      <c r="C209" s="1194" t="s">
        <v>305</v>
      </c>
      <c r="D209" s="1194" t="s">
        <v>6</v>
      </c>
      <c r="E209" s="1180" t="s">
        <v>46</v>
      </c>
      <c r="F209" s="1180" t="s">
        <v>53</v>
      </c>
      <c r="G209" s="1180"/>
      <c r="H209" s="1180"/>
      <c r="I209" s="502" t="s">
        <v>76</v>
      </c>
      <c r="J209" s="1176" t="s">
        <v>246</v>
      </c>
      <c r="K209" s="1168">
        <v>15020</v>
      </c>
      <c r="L209" s="1168">
        <v>17950</v>
      </c>
      <c r="M209" s="28">
        <f>L209-K209</f>
        <v>2930</v>
      </c>
      <c r="N209" s="941">
        <v>2880</v>
      </c>
      <c r="O209" s="942"/>
      <c r="P209" s="941">
        <v>2930</v>
      </c>
      <c r="Q209" s="1177">
        <v>460</v>
      </c>
      <c r="R209" s="1177">
        <f>Q209*P209</f>
        <v>1347800</v>
      </c>
      <c r="S209" s="1161" t="s">
        <v>5</v>
      </c>
      <c r="T209" s="332"/>
    </row>
    <row r="210" spans="1:20" s="388" customFormat="1" ht="22.5" customHeight="1">
      <c r="A210" s="542">
        <f t="shared" ref="A210:A216" si="64">ROW()-4</f>
        <v>206</v>
      </c>
      <c r="B210" s="518">
        <v>46172</v>
      </c>
      <c r="C210" s="1166" t="s">
        <v>264</v>
      </c>
      <c r="D210" s="1166" t="s">
        <v>17</v>
      </c>
      <c r="E210" s="1166" t="s">
        <v>182</v>
      </c>
      <c r="F210" s="1195" t="s">
        <v>623</v>
      </c>
      <c r="G210" s="1195" t="s">
        <v>624</v>
      </c>
      <c r="H210" s="1195" t="s">
        <v>625</v>
      </c>
      <c r="I210" s="501" t="s">
        <v>627</v>
      </c>
      <c r="J210" s="1174" t="s">
        <v>207</v>
      </c>
      <c r="K210" s="1166">
        <v>9710</v>
      </c>
      <c r="L210" s="1166">
        <v>13610</v>
      </c>
      <c r="M210" s="23">
        <f>L210-K210</f>
        <v>3900</v>
      </c>
      <c r="N210" s="1174"/>
      <c r="O210" s="1174"/>
      <c r="P210" s="1174">
        <f>M210</f>
        <v>3900</v>
      </c>
      <c r="Q210" s="1175">
        <v>0</v>
      </c>
      <c r="R210" s="1175">
        <f>P210*Q210</f>
        <v>0</v>
      </c>
      <c r="S210" s="1159" t="s">
        <v>5</v>
      </c>
      <c r="T210" s="332"/>
    </row>
    <row r="211" spans="1:20" s="388" customFormat="1" ht="22.5" customHeight="1">
      <c r="A211" s="538">
        <f t="shared" si="64"/>
        <v>207</v>
      </c>
      <c r="B211" s="516">
        <v>46172</v>
      </c>
      <c r="C211" s="1167" t="s">
        <v>264</v>
      </c>
      <c r="D211" s="1167" t="s">
        <v>17</v>
      </c>
      <c r="E211" s="1167" t="s">
        <v>182</v>
      </c>
      <c r="F211" s="1186" t="s">
        <v>66</v>
      </c>
      <c r="G211" s="1186" t="s">
        <v>628</v>
      </c>
      <c r="H211" s="1186" t="s">
        <v>629</v>
      </c>
      <c r="I211" s="226" t="s">
        <v>626</v>
      </c>
      <c r="J211" s="1190" t="s">
        <v>446</v>
      </c>
      <c r="K211" s="1167">
        <v>9360</v>
      </c>
      <c r="L211" s="1167">
        <v>13250</v>
      </c>
      <c r="M211" s="26">
        <f>L211-K211</f>
        <v>3890</v>
      </c>
      <c r="N211" s="1190"/>
      <c r="O211" s="1190"/>
      <c r="P211" s="1190">
        <f>M211</f>
        <v>3890</v>
      </c>
      <c r="Q211" s="1169">
        <v>0</v>
      </c>
      <c r="R211" s="1169">
        <f>P211*Q211</f>
        <v>0</v>
      </c>
      <c r="S211" s="1160" t="s">
        <v>5</v>
      </c>
      <c r="T211" s="332"/>
    </row>
    <row r="212" spans="1:20" s="388" customFormat="1" ht="22.5" customHeight="1">
      <c r="A212" s="538">
        <f t="shared" si="64"/>
        <v>208</v>
      </c>
      <c r="B212" s="1182">
        <v>46172</v>
      </c>
      <c r="C212" s="1192" t="s">
        <v>264</v>
      </c>
      <c r="D212" s="1182" t="s">
        <v>262</v>
      </c>
      <c r="E212" s="128" t="s">
        <v>263</v>
      </c>
      <c r="F212" s="1186" t="s">
        <v>334</v>
      </c>
      <c r="G212" s="1186" t="s">
        <v>281</v>
      </c>
      <c r="H212" s="1186" t="s">
        <v>493</v>
      </c>
      <c r="I212" s="1160" t="s">
        <v>112</v>
      </c>
      <c r="J212" s="1186" t="s">
        <v>272</v>
      </c>
      <c r="K212" s="1192">
        <v>21320</v>
      </c>
      <c r="L212" s="1192">
        <v>53910</v>
      </c>
      <c r="M212" s="250">
        <f t="shared" ref="M212:M214" si="65">L212-K212</f>
        <v>32590</v>
      </c>
      <c r="N212" s="1172"/>
      <c r="O212" s="1172"/>
      <c r="P212" s="1172">
        <f>M212</f>
        <v>32590</v>
      </c>
      <c r="Q212" s="1184">
        <v>510</v>
      </c>
      <c r="R212" s="1184">
        <f t="shared" ref="R212:R219" si="66">Q212*P212</f>
        <v>16620900</v>
      </c>
      <c r="S212" s="1160" t="s">
        <v>5</v>
      </c>
      <c r="T212" s="332"/>
    </row>
    <row r="213" spans="1:20" s="388" customFormat="1" ht="22.5" customHeight="1">
      <c r="A213" s="538">
        <f t="shared" si="64"/>
        <v>209</v>
      </c>
      <c r="B213" s="1182">
        <v>46172</v>
      </c>
      <c r="C213" s="1192" t="s">
        <v>264</v>
      </c>
      <c r="D213" s="1182" t="s">
        <v>262</v>
      </c>
      <c r="E213" s="128" t="s">
        <v>239</v>
      </c>
      <c r="F213" s="1186" t="s">
        <v>235</v>
      </c>
      <c r="G213" s="1186" t="s">
        <v>289</v>
      </c>
      <c r="H213" s="1186" t="s">
        <v>290</v>
      </c>
      <c r="I213" s="1160" t="s">
        <v>112</v>
      </c>
      <c r="J213" s="1186" t="s">
        <v>272</v>
      </c>
      <c r="K213" s="1192">
        <v>19410</v>
      </c>
      <c r="L213" s="1192">
        <v>48390</v>
      </c>
      <c r="M213" s="250">
        <f t="shared" si="65"/>
        <v>28980</v>
      </c>
      <c r="N213" s="1172"/>
      <c r="O213" s="1172"/>
      <c r="P213" s="1172">
        <f>M213</f>
        <v>28980</v>
      </c>
      <c r="Q213" s="1184">
        <v>500</v>
      </c>
      <c r="R213" s="1184">
        <f t="shared" si="66"/>
        <v>14490000</v>
      </c>
      <c r="S213" s="1160" t="s">
        <v>5</v>
      </c>
      <c r="T213" s="332"/>
    </row>
    <row r="214" spans="1:20" s="388" customFormat="1" ht="22.5" customHeight="1">
      <c r="A214" s="541">
        <f t="shared" si="64"/>
        <v>210</v>
      </c>
      <c r="B214" s="1194">
        <v>46172</v>
      </c>
      <c r="C214" s="202" t="s">
        <v>264</v>
      </c>
      <c r="D214" s="1194" t="s">
        <v>262</v>
      </c>
      <c r="E214" s="129" t="s">
        <v>263</v>
      </c>
      <c r="F214" s="1196" t="s">
        <v>172</v>
      </c>
      <c r="G214" s="1196" t="s">
        <v>291</v>
      </c>
      <c r="H214" s="1196" t="s">
        <v>292</v>
      </c>
      <c r="I214" s="1161" t="s">
        <v>112</v>
      </c>
      <c r="J214" s="1196" t="s">
        <v>272</v>
      </c>
      <c r="K214" s="202">
        <v>14400</v>
      </c>
      <c r="L214" s="202">
        <v>21890</v>
      </c>
      <c r="M214" s="257">
        <f t="shared" si="65"/>
        <v>7490</v>
      </c>
      <c r="N214" s="1183"/>
      <c r="O214" s="1183"/>
      <c r="P214" s="1183">
        <f>M214</f>
        <v>7490</v>
      </c>
      <c r="Q214" s="1185">
        <v>520</v>
      </c>
      <c r="R214" s="1185">
        <f t="shared" si="66"/>
        <v>3894800</v>
      </c>
      <c r="S214" s="1161" t="s">
        <v>5</v>
      </c>
      <c r="T214" s="332"/>
    </row>
    <row r="215" spans="1:20" s="388" customFormat="1" ht="22.5" customHeight="1">
      <c r="A215" s="612">
        <f t="shared" si="64"/>
        <v>211</v>
      </c>
      <c r="B215" s="1340">
        <v>46174</v>
      </c>
      <c r="C215" s="1354" t="s">
        <v>264</v>
      </c>
      <c r="D215" s="1354" t="s">
        <v>262</v>
      </c>
      <c r="E215" s="1340" t="s">
        <v>263</v>
      </c>
      <c r="F215" s="1340" t="s">
        <v>70</v>
      </c>
      <c r="G215" s="1340" t="s">
        <v>291</v>
      </c>
      <c r="H215" s="1340" t="s">
        <v>292</v>
      </c>
      <c r="I215" s="501" t="s">
        <v>37</v>
      </c>
      <c r="J215" s="1335" t="s">
        <v>123</v>
      </c>
      <c r="K215" s="1331">
        <v>13600</v>
      </c>
      <c r="L215" s="1331">
        <v>14810</v>
      </c>
      <c r="M215" s="23">
        <f>(L215-K215)/2</f>
        <v>605</v>
      </c>
      <c r="N215" s="934">
        <f>1220/2</f>
        <v>610</v>
      </c>
      <c r="O215" s="935">
        <v>3</v>
      </c>
      <c r="P215" s="934">
        <f>N215-O215</f>
        <v>607</v>
      </c>
      <c r="Q215" s="1337">
        <v>2030</v>
      </c>
      <c r="R215" s="1337">
        <f t="shared" si="66"/>
        <v>1232210</v>
      </c>
      <c r="S215" s="1233" t="s">
        <v>5</v>
      </c>
      <c r="T215" s="332"/>
    </row>
    <row r="216" spans="1:20" s="388" customFormat="1" ht="22.5" customHeight="1">
      <c r="A216" s="617">
        <f t="shared" si="64"/>
        <v>212</v>
      </c>
      <c r="B216" s="1341">
        <v>46174</v>
      </c>
      <c r="C216" s="1346" t="s">
        <v>314</v>
      </c>
      <c r="D216" s="1346" t="s">
        <v>262</v>
      </c>
      <c r="E216" s="1341" t="s">
        <v>263</v>
      </c>
      <c r="F216" s="1341" t="s">
        <v>70</v>
      </c>
      <c r="G216" s="1341" t="s">
        <v>291</v>
      </c>
      <c r="H216" s="1341" t="s">
        <v>292</v>
      </c>
      <c r="I216" s="226" t="s">
        <v>37</v>
      </c>
      <c r="J216" s="1351" t="s">
        <v>123</v>
      </c>
      <c r="K216" s="1329"/>
      <c r="L216" s="1329"/>
      <c r="M216" s="26">
        <f>(L215-K215)/2</f>
        <v>605</v>
      </c>
      <c r="N216" s="936">
        <f>(1220/2)-210</f>
        <v>400</v>
      </c>
      <c r="O216" s="937">
        <v>3</v>
      </c>
      <c r="P216" s="936">
        <f>N216-O216</f>
        <v>397</v>
      </c>
      <c r="Q216" s="1332">
        <v>2030</v>
      </c>
      <c r="R216" s="1332">
        <f t="shared" si="66"/>
        <v>805910</v>
      </c>
      <c r="S216" s="1231" t="s">
        <v>5</v>
      </c>
      <c r="T216" s="332"/>
    </row>
    <row r="217" spans="1:20" s="388" customFormat="1" ht="22.5" customHeight="1">
      <c r="A217" s="617">
        <f>ROW()-4</f>
        <v>213</v>
      </c>
      <c r="B217" s="1341">
        <v>46174</v>
      </c>
      <c r="C217" s="1346" t="s">
        <v>314</v>
      </c>
      <c r="D217" s="1346" t="s">
        <v>262</v>
      </c>
      <c r="E217" s="1341" t="s">
        <v>263</v>
      </c>
      <c r="F217" s="1341" t="s">
        <v>70</v>
      </c>
      <c r="G217" s="1341" t="s">
        <v>291</v>
      </c>
      <c r="H217" s="1341" t="s">
        <v>292</v>
      </c>
      <c r="I217" s="226" t="s">
        <v>37</v>
      </c>
      <c r="J217" s="1351" t="s">
        <v>60</v>
      </c>
      <c r="K217" s="1329"/>
      <c r="L217" s="1329"/>
      <c r="M217" s="26"/>
      <c r="N217" s="936">
        <v>210</v>
      </c>
      <c r="O217" s="937"/>
      <c r="P217" s="936">
        <v>210</v>
      </c>
      <c r="Q217" s="1332">
        <v>250</v>
      </c>
      <c r="R217" s="1332">
        <f>Q217*P217</f>
        <v>52500</v>
      </c>
      <c r="S217" s="1327" t="s">
        <v>5</v>
      </c>
      <c r="T217" s="332"/>
    </row>
    <row r="218" spans="1:20" s="388" customFormat="1" ht="22.5" customHeight="1">
      <c r="A218" s="782">
        <f t="shared" ref="A218:A224" si="67">ROW()-4</f>
        <v>214</v>
      </c>
      <c r="B218" s="1342">
        <v>46174</v>
      </c>
      <c r="C218" s="1328" t="s">
        <v>264</v>
      </c>
      <c r="D218" s="1342" t="s">
        <v>17</v>
      </c>
      <c r="E218" s="1342" t="s">
        <v>247</v>
      </c>
      <c r="F218" s="1342" t="s">
        <v>108</v>
      </c>
      <c r="G218" s="1342" t="s">
        <v>251</v>
      </c>
      <c r="H218" s="1342"/>
      <c r="I218" s="83" t="s">
        <v>67</v>
      </c>
      <c r="J218" s="1344" t="s">
        <v>109</v>
      </c>
      <c r="K218" s="1328">
        <v>13230</v>
      </c>
      <c r="L218" s="1328">
        <v>15460</v>
      </c>
      <c r="M218" s="462">
        <f>(L218-K218)*0.7</f>
        <v>1561</v>
      </c>
      <c r="N218" s="1344">
        <v>1561</v>
      </c>
      <c r="O218" s="1344">
        <v>10</v>
      </c>
      <c r="P218" s="1344">
        <f>N218-O218</f>
        <v>1551</v>
      </c>
      <c r="Q218" s="1328">
        <v>3900</v>
      </c>
      <c r="R218" s="1350">
        <f t="shared" si="66"/>
        <v>6048900</v>
      </c>
      <c r="S218" s="1325" t="s">
        <v>5</v>
      </c>
      <c r="T218" s="332"/>
    </row>
    <row r="219" spans="1:20" s="388" customFormat="1" ht="22.5" customHeight="1">
      <c r="A219" s="617">
        <f t="shared" si="67"/>
        <v>215</v>
      </c>
      <c r="B219" s="1244">
        <v>46174</v>
      </c>
      <c r="C219" s="1234" t="s">
        <v>314</v>
      </c>
      <c r="D219" s="1244" t="s">
        <v>17</v>
      </c>
      <c r="E219" s="1244" t="s">
        <v>247</v>
      </c>
      <c r="F219" s="1244" t="s">
        <v>108</v>
      </c>
      <c r="G219" s="1244" t="s">
        <v>251</v>
      </c>
      <c r="H219" s="1244"/>
      <c r="I219" s="226" t="s">
        <v>67</v>
      </c>
      <c r="J219" s="1253" t="s">
        <v>109</v>
      </c>
      <c r="K219" s="1234"/>
      <c r="L219" s="1234"/>
      <c r="M219" s="26">
        <f>(L218-K218)*0.3</f>
        <v>669</v>
      </c>
      <c r="N219" s="1253">
        <v>669</v>
      </c>
      <c r="O219" s="1253"/>
      <c r="P219" s="1253">
        <f>N219-O219</f>
        <v>669</v>
      </c>
      <c r="Q219" s="1234">
        <v>3900</v>
      </c>
      <c r="R219" s="1238">
        <f t="shared" si="66"/>
        <v>2609100</v>
      </c>
      <c r="S219" s="1231" t="s">
        <v>5</v>
      </c>
      <c r="T219" s="332"/>
    </row>
    <row r="220" spans="1:20" s="388" customFormat="1" ht="22.5" customHeight="1">
      <c r="A220" s="617">
        <f t="shared" si="67"/>
        <v>216</v>
      </c>
      <c r="B220" s="1244">
        <v>46174</v>
      </c>
      <c r="C220" s="1234" t="s">
        <v>264</v>
      </c>
      <c r="D220" s="1234" t="s">
        <v>262</v>
      </c>
      <c r="E220" s="1234" t="s">
        <v>263</v>
      </c>
      <c r="F220" s="1248" t="s">
        <v>228</v>
      </c>
      <c r="G220" s="1248"/>
      <c r="H220" s="1248"/>
      <c r="I220" s="226" t="s">
        <v>229</v>
      </c>
      <c r="J220" s="1253" t="s">
        <v>43</v>
      </c>
      <c r="K220" s="1234">
        <v>13390</v>
      </c>
      <c r="L220" s="1234">
        <v>15740</v>
      </c>
      <c r="M220" s="26">
        <f>L220-K220</f>
        <v>2350</v>
      </c>
      <c r="N220" s="1253"/>
      <c r="O220" s="1253"/>
      <c r="P220" s="1253">
        <f>M220</f>
        <v>2350</v>
      </c>
      <c r="Q220" s="1238">
        <v>19950</v>
      </c>
      <c r="R220" s="1238">
        <f>P220*Q220</f>
        <v>46882500</v>
      </c>
      <c r="S220" s="1231" t="s">
        <v>5</v>
      </c>
      <c r="T220" s="332"/>
    </row>
    <row r="221" spans="1:20" s="388" customFormat="1" ht="22.5" customHeight="1">
      <c r="A221" s="617">
        <f t="shared" si="67"/>
        <v>217</v>
      </c>
      <c r="B221" s="1247">
        <v>46174</v>
      </c>
      <c r="C221" s="1255" t="s">
        <v>264</v>
      </c>
      <c r="D221" s="1247" t="s">
        <v>17</v>
      </c>
      <c r="E221" s="128" t="s">
        <v>46</v>
      </c>
      <c r="F221" s="1248" t="s">
        <v>172</v>
      </c>
      <c r="G221" s="1248" t="s">
        <v>291</v>
      </c>
      <c r="H221" s="1248" t="s">
        <v>292</v>
      </c>
      <c r="I221" s="1231" t="s">
        <v>112</v>
      </c>
      <c r="J221" s="1248" t="s">
        <v>272</v>
      </c>
      <c r="K221" s="1255">
        <v>14480</v>
      </c>
      <c r="L221" s="1255">
        <v>20910</v>
      </c>
      <c r="M221" s="250">
        <f>L221-K221</f>
        <v>6430</v>
      </c>
      <c r="N221" s="1237">
        <v>6430</v>
      </c>
      <c r="O221" s="1237"/>
      <c r="P221" s="1237">
        <f>M221</f>
        <v>6430</v>
      </c>
      <c r="Q221" s="1250">
        <v>510</v>
      </c>
      <c r="R221" s="1250">
        <f>Q221*P221</f>
        <v>3279300</v>
      </c>
      <c r="S221" s="1231" t="s">
        <v>5</v>
      </c>
      <c r="T221" s="332"/>
    </row>
    <row r="222" spans="1:20" s="388" customFormat="1" ht="22.5" customHeight="1">
      <c r="A222" s="617">
        <f t="shared" si="67"/>
        <v>218</v>
      </c>
      <c r="B222" s="1247">
        <v>46174</v>
      </c>
      <c r="C222" s="1255" t="s">
        <v>305</v>
      </c>
      <c r="D222" s="1247" t="s">
        <v>440</v>
      </c>
      <c r="E222" s="128" t="s">
        <v>261</v>
      </c>
      <c r="F222" s="1248" t="s">
        <v>183</v>
      </c>
      <c r="G222" s="1248" t="s">
        <v>638</v>
      </c>
      <c r="H222" s="1248" t="s">
        <v>639</v>
      </c>
      <c r="I222" s="1231" t="s">
        <v>112</v>
      </c>
      <c r="J222" s="1248" t="s">
        <v>132</v>
      </c>
      <c r="K222" s="1255">
        <v>18510</v>
      </c>
      <c r="L222" s="1255">
        <v>36790</v>
      </c>
      <c r="M222" s="250">
        <f t="shared" ref="M222:M224" si="68">L222-K222</f>
        <v>18280</v>
      </c>
      <c r="N222" s="1237">
        <v>18200</v>
      </c>
      <c r="O222" s="1237"/>
      <c r="P222" s="1237">
        <f t="shared" ref="P222:P224" si="69">M222</f>
        <v>18280</v>
      </c>
      <c r="Q222" s="1250">
        <v>480</v>
      </c>
      <c r="R222" s="1250">
        <f t="shared" ref="R222:R224" si="70">Q222*P222</f>
        <v>8774400</v>
      </c>
      <c r="S222" s="1231" t="s">
        <v>5</v>
      </c>
      <c r="T222" s="332"/>
    </row>
    <row r="223" spans="1:20" s="388" customFormat="1" ht="22.5" customHeight="1">
      <c r="A223" s="618">
        <f t="shared" si="67"/>
        <v>219</v>
      </c>
      <c r="B223" s="1269">
        <v>46174</v>
      </c>
      <c r="C223" s="202" t="s">
        <v>305</v>
      </c>
      <c r="D223" s="1269" t="s">
        <v>440</v>
      </c>
      <c r="E223" s="129" t="s">
        <v>261</v>
      </c>
      <c r="F223" s="1270" t="s">
        <v>183</v>
      </c>
      <c r="G223" s="1270" t="s">
        <v>638</v>
      </c>
      <c r="H223" s="1270" t="s">
        <v>639</v>
      </c>
      <c r="I223" s="1261" t="s">
        <v>112</v>
      </c>
      <c r="J223" s="1270" t="s">
        <v>110</v>
      </c>
      <c r="K223" s="202">
        <v>18770</v>
      </c>
      <c r="L223" s="202">
        <v>36360</v>
      </c>
      <c r="M223" s="257">
        <f t="shared" si="68"/>
        <v>17590</v>
      </c>
      <c r="N223" s="1267"/>
      <c r="O223" s="1267"/>
      <c r="P223" s="1267">
        <f t="shared" si="69"/>
        <v>17590</v>
      </c>
      <c r="Q223" s="1268">
        <v>490</v>
      </c>
      <c r="R223" s="1268">
        <f t="shared" si="70"/>
        <v>8619100</v>
      </c>
      <c r="S223" s="1261" t="s">
        <v>5</v>
      </c>
      <c r="T223" s="332"/>
    </row>
    <row r="224" spans="1:20" s="388" customFormat="1" ht="22.5" customHeight="1">
      <c r="A224" s="612">
        <f t="shared" si="67"/>
        <v>220</v>
      </c>
      <c r="B224" s="1354">
        <v>46174</v>
      </c>
      <c r="C224" s="1352" t="s">
        <v>305</v>
      </c>
      <c r="D224" s="1354" t="s">
        <v>440</v>
      </c>
      <c r="E224" s="138" t="s">
        <v>263</v>
      </c>
      <c r="F224" s="1358" t="s">
        <v>334</v>
      </c>
      <c r="G224" s="1358" t="s">
        <v>281</v>
      </c>
      <c r="H224" s="1358" t="s">
        <v>282</v>
      </c>
      <c r="I224" s="1326" t="s">
        <v>76</v>
      </c>
      <c r="J224" s="1358" t="s">
        <v>119</v>
      </c>
      <c r="K224" s="1352">
        <v>21220</v>
      </c>
      <c r="L224" s="1352">
        <v>24620</v>
      </c>
      <c r="M224" s="249">
        <f t="shared" si="68"/>
        <v>3400</v>
      </c>
      <c r="N224" s="320"/>
      <c r="O224" s="320"/>
      <c r="P224" s="320">
        <f t="shared" si="69"/>
        <v>3400</v>
      </c>
      <c r="Q224" s="137">
        <v>450</v>
      </c>
      <c r="R224" s="137">
        <f t="shared" si="70"/>
        <v>1530000</v>
      </c>
      <c r="S224" s="1259" t="s">
        <v>5</v>
      </c>
      <c r="T224" s="332"/>
    </row>
    <row r="225" spans="1:20" s="388" customFormat="1" ht="22.5" customHeight="1">
      <c r="A225" s="782">
        <f t="shared" ref="A225:A247" si="71">ROW()-4</f>
        <v>221</v>
      </c>
      <c r="B225" s="1342">
        <v>46175</v>
      </c>
      <c r="C225" s="1353" t="s">
        <v>264</v>
      </c>
      <c r="D225" s="1353" t="s">
        <v>262</v>
      </c>
      <c r="E225" s="1342" t="s">
        <v>263</v>
      </c>
      <c r="F225" s="1342" t="s">
        <v>172</v>
      </c>
      <c r="G225" s="1342" t="s">
        <v>291</v>
      </c>
      <c r="H225" s="1342" t="s">
        <v>292</v>
      </c>
      <c r="I225" s="83" t="s">
        <v>37</v>
      </c>
      <c r="J225" s="1344" t="s">
        <v>652</v>
      </c>
      <c r="K225" s="1328">
        <v>14400</v>
      </c>
      <c r="L225" s="1328">
        <v>14700</v>
      </c>
      <c r="M225" s="462">
        <f>L225-K225</f>
        <v>300</v>
      </c>
      <c r="N225" s="1228">
        <v>250</v>
      </c>
      <c r="O225" s="1229"/>
      <c r="P225" s="1228">
        <f>N225-O225</f>
        <v>250</v>
      </c>
      <c r="Q225" s="1350">
        <v>700</v>
      </c>
      <c r="R225" s="1350">
        <f>Q225*P225</f>
        <v>175000</v>
      </c>
      <c r="S225" s="1264" t="s">
        <v>5</v>
      </c>
      <c r="T225" s="332"/>
    </row>
    <row r="226" spans="1:20" s="388" customFormat="1" ht="22.5" customHeight="1">
      <c r="A226" s="617">
        <f t="shared" si="71"/>
        <v>222</v>
      </c>
      <c r="B226" s="1341">
        <v>46175</v>
      </c>
      <c r="C226" s="1346" t="s">
        <v>264</v>
      </c>
      <c r="D226" s="1346" t="s">
        <v>262</v>
      </c>
      <c r="E226" s="1341" t="s">
        <v>263</v>
      </c>
      <c r="F226" s="1341" t="s">
        <v>172</v>
      </c>
      <c r="G226" s="1341" t="s">
        <v>291</v>
      </c>
      <c r="H226" s="1341" t="s">
        <v>292</v>
      </c>
      <c r="I226" s="226" t="s">
        <v>37</v>
      </c>
      <c r="J226" s="1351" t="s">
        <v>653</v>
      </c>
      <c r="K226" s="1329">
        <v>14700</v>
      </c>
      <c r="L226" s="1329">
        <v>15390</v>
      </c>
      <c r="M226" s="26">
        <f t="shared" ref="M226:M228" si="72">L226-K226</f>
        <v>690</v>
      </c>
      <c r="N226" s="936">
        <v>700</v>
      </c>
      <c r="O226" s="937">
        <v>3</v>
      </c>
      <c r="P226" s="936">
        <f t="shared" ref="P226:P230" si="73">N226-O226</f>
        <v>697</v>
      </c>
      <c r="Q226" s="1332">
        <v>3900</v>
      </c>
      <c r="R226" s="1332">
        <f t="shared" ref="R226:R230" si="74">Q226*P226</f>
        <v>2718300</v>
      </c>
      <c r="S226" s="1231" t="s">
        <v>5</v>
      </c>
      <c r="T226" s="332"/>
    </row>
    <row r="227" spans="1:20" s="388" customFormat="1" ht="22.5" customHeight="1">
      <c r="A227" s="617">
        <f t="shared" si="71"/>
        <v>223</v>
      </c>
      <c r="B227" s="1341">
        <v>46175</v>
      </c>
      <c r="C227" s="1346" t="s">
        <v>264</v>
      </c>
      <c r="D227" s="1346" t="s">
        <v>262</v>
      </c>
      <c r="E227" s="1341" t="s">
        <v>263</v>
      </c>
      <c r="F227" s="1341" t="s">
        <v>172</v>
      </c>
      <c r="G227" s="1341" t="s">
        <v>291</v>
      </c>
      <c r="H227" s="1341" t="s">
        <v>292</v>
      </c>
      <c r="I227" s="226" t="s">
        <v>37</v>
      </c>
      <c r="J227" s="1351" t="s">
        <v>564</v>
      </c>
      <c r="K227" s="1329">
        <v>15390</v>
      </c>
      <c r="L227" s="1329">
        <v>15700</v>
      </c>
      <c r="M227" s="26">
        <f t="shared" si="72"/>
        <v>310</v>
      </c>
      <c r="N227" s="936">
        <v>304</v>
      </c>
      <c r="O227" s="937">
        <v>3</v>
      </c>
      <c r="P227" s="936">
        <f t="shared" si="73"/>
        <v>301</v>
      </c>
      <c r="Q227" s="1332">
        <v>5100</v>
      </c>
      <c r="R227" s="1332">
        <f t="shared" si="74"/>
        <v>1535100</v>
      </c>
      <c r="S227" s="1231" t="s">
        <v>5</v>
      </c>
      <c r="T227" s="332"/>
    </row>
    <row r="228" spans="1:20" s="388" customFormat="1" ht="22.5" customHeight="1">
      <c r="A228" s="617">
        <f t="shared" si="71"/>
        <v>224</v>
      </c>
      <c r="B228" s="1341">
        <v>46175</v>
      </c>
      <c r="C228" s="1346" t="s">
        <v>264</v>
      </c>
      <c r="D228" s="1346" t="s">
        <v>262</v>
      </c>
      <c r="E228" s="1341" t="s">
        <v>263</v>
      </c>
      <c r="F228" s="1341" t="s">
        <v>172</v>
      </c>
      <c r="G228" s="1341" t="s">
        <v>291</v>
      </c>
      <c r="H228" s="1341" t="s">
        <v>292</v>
      </c>
      <c r="I228" s="226" t="s">
        <v>37</v>
      </c>
      <c r="J228" s="1351" t="s">
        <v>654</v>
      </c>
      <c r="K228" s="1329">
        <v>15700</v>
      </c>
      <c r="L228" s="1329">
        <v>16070</v>
      </c>
      <c r="M228" s="26">
        <f t="shared" si="72"/>
        <v>370</v>
      </c>
      <c r="N228" s="936">
        <v>406</v>
      </c>
      <c r="O228" s="937">
        <v>3</v>
      </c>
      <c r="P228" s="936">
        <f t="shared" si="73"/>
        <v>403</v>
      </c>
      <c r="Q228" s="1332">
        <v>5000</v>
      </c>
      <c r="R228" s="1332">
        <f t="shared" si="74"/>
        <v>2015000</v>
      </c>
      <c r="S228" s="1231" t="s">
        <v>5</v>
      </c>
      <c r="T228" s="332"/>
    </row>
    <row r="229" spans="1:20" s="388" customFormat="1" ht="22.5" customHeight="1">
      <c r="A229" s="617">
        <f t="shared" si="71"/>
        <v>225</v>
      </c>
      <c r="B229" s="1341">
        <v>46175</v>
      </c>
      <c r="C229" s="1346" t="s">
        <v>264</v>
      </c>
      <c r="D229" s="1346" t="s">
        <v>262</v>
      </c>
      <c r="E229" s="1341" t="s">
        <v>263</v>
      </c>
      <c r="F229" s="1341" t="s">
        <v>172</v>
      </c>
      <c r="G229" s="1341" t="s">
        <v>291</v>
      </c>
      <c r="H229" s="1341" t="s">
        <v>292</v>
      </c>
      <c r="I229" s="226" t="s">
        <v>37</v>
      </c>
      <c r="J229" s="1351" t="s">
        <v>655</v>
      </c>
      <c r="K229" s="1329">
        <v>16070</v>
      </c>
      <c r="L229" s="1329">
        <v>16130</v>
      </c>
      <c r="M229" s="26">
        <f>L229-K229-34</f>
        <v>26</v>
      </c>
      <c r="N229" s="936">
        <v>26</v>
      </c>
      <c r="O229" s="937"/>
      <c r="P229" s="936">
        <f t="shared" si="73"/>
        <v>26</v>
      </c>
      <c r="Q229" s="1332">
        <f>50000*0.8</f>
        <v>40000</v>
      </c>
      <c r="R229" s="1332">
        <f t="shared" si="74"/>
        <v>1040000</v>
      </c>
      <c r="S229" s="1231" t="s">
        <v>5</v>
      </c>
      <c r="T229" s="332"/>
    </row>
    <row r="230" spans="1:20" s="388" customFormat="1" ht="22.5" customHeight="1">
      <c r="A230" s="618">
        <f t="shared" si="71"/>
        <v>226</v>
      </c>
      <c r="B230" s="1343">
        <v>46175</v>
      </c>
      <c r="C230" s="1355" t="s">
        <v>264</v>
      </c>
      <c r="D230" s="1355" t="s">
        <v>262</v>
      </c>
      <c r="E230" s="1343" t="s">
        <v>263</v>
      </c>
      <c r="F230" s="1343" t="s">
        <v>172</v>
      </c>
      <c r="G230" s="1343" t="s">
        <v>291</v>
      </c>
      <c r="H230" s="1343" t="s">
        <v>292</v>
      </c>
      <c r="I230" s="502" t="s">
        <v>37</v>
      </c>
      <c r="J230" s="1336" t="s">
        <v>654</v>
      </c>
      <c r="K230" s="1330"/>
      <c r="L230" s="1330"/>
      <c r="M230" s="28">
        <v>34</v>
      </c>
      <c r="N230" s="941"/>
      <c r="O230" s="942"/>
      <c r="P230" s="941">
        <f t="shared" si="73"/>
        <v>0</v>
      </c>
      <c r="Q230" s="1338"/>
      <c r="R230" s="1338">
        <f t="shared" si="74"/>
        <v>0</v>
      </c>
      <c r="S230" s="1232" t="s">
        <v>5</v>
      </c>
      <c r="T230" s="332"/>
    </row>
    <row r="231" spans="1:20" s="388" customFormat="1" ht="22.5" customHeight="1">
      <c r="A231" s="612">
        <f t="shared" si="71"/>
        <v>227</v>
      </c>
      <c r="B231" s="1243">
        <v>46175</v>
      </c>
      <c r="C231" s="1236" t="s">
        <v>264</v>
      </c>
      <c r="D231" s="1243" t="s">
        <v>262</v>
      </c>
      <c r="E231" s="1243" t="s">
        <v>263</v>
      </c>
      <c r="F231" s="1243" t="s">
        <v>164</v>
      </c>
      <c r="G231" s="1243" t="s">
        <v>111</v>
      </c>
      <c r="H231" s="1243"/>
      <c r="I231" s="501" t="s">
        <v>111</v>
      </c>
      <c r="J231" s="1239" t="s">
        <v>43</v>
      </c>
      <c r="K231" s="1236">
        <v>12950</v>
      </c>
      <c r="L231" s="1236">
        <v>15370</v>
      </c>
      <c r="M231" s="23">
        <f>L231-K231</f>
        <v>2420</v>
      </c>
      <c r="N231" s="1239">
        <v>2420</v>
      </c>
      <c r="O231" s="1239">
        <v>6</v>
      </c>
      <c r="P231" s="320">
        <f>M231-O231</f>
        <v>2414</v>
      </c>
      <c r="Q231" s="137">
        <v>20100</v>
      </c>
      <c r="R231" s="137">
        <f>Q231*P231</f>
        <v>48521400</v>
      </c>
      <c r="S231" s="1233" t="s">
        <v>5</v>
      </c>
      <c r="T231" s="332"/>
    </row>
    <row r="232" spans="1:20" s="388" customFormat="1" ht="22.5" customHeight="1">
      <c r="A232" s="617">
        <f t="shared" si="71"/>
        <v>228</v>
      </c>
      <c r="B232" s="1244">
        <v>46175</v>
      </c>
      <c r="C232" s="1234" t="s">
        <v>264</v>
      </c>
      <c r="D232" s="1244" t="s">
        <v>262</v>
      </c>
      <c r="E232" s="1244" t="s">
        <v>263</v>
      </c>
      <c r="F232" s="1244" t="s">
        <v>164</v>
      </c>
      <c r="G232" s="1244" t="s">
        <v>111</v>
      </c>
      <c r="H232" s="1244"/>
      <c r="I232" s="226" t="s">
        <v>111</v>
      </c>
      <c r="J232" s="1253" t="s">
        <v>415</v>
      </c>
      <c r="K232" s="1234">
        <v>15370</v>
      </c>
      <c r="L232" s="1234">
        <v>16130</v>
      </c>
      <c r="M232" s="26">
        <f>L232-K232-60</f>
        <v>700</v>
      </c>
      <c r="N232" s="1253">
        <v>750</v>
      </c>
      <c r="O232" s="1253">
        <v>3</v>
      </c>
      <c r="P232" s="1237">
        <f>M232-O232</f>
        <v>697</v>
      </c>
      <c r="Q232" s="1250">
        <v>19700</v>
      </c>
      <c r="R232" s="1250">
        <f t="shared" ref="R232:R246" si="75">Q232*P232</f>
        <v>13730900</v>
      </c>
      <c r="S232" s="1231" t="s">
        <v>5</v>
      </c>
      <c r="T232" s="332"/>
    </row>
    <row r="233" spans="1:20" s="388" customFormat="1" ht="22.5" customHeight="1">
      <c r="A233" s="617">
        <f t="shared" si="71"/>
        <v>229</v>
      </c>
      <c r="B233" s="1244">
        <v>46175</v>
      </c>
      <c r="C233" s="1234" t="s">
        <v>264</v>
      </c>
      <c r="D233" s="1244" t="s">
        <v>262</v>
      </c>
      <c r="E233" s="1244" t="s">
        <v>263</v>
      </c>
      <c r="F233" s="1244" t="s">
        <v>164</v>
      </c>
      <c r="G233" s="1244" t="s">
        <v>111</v>
      </c>
      <c r="H233" s="1244"/>
      <c r="I233" s="226" t="s">
        <v>111</v>
      </c>
      <c r="J233" s="1253" t="s">
        <v>44</v>
      </c>
      <c r="K233" s="1234">
        <v>16130</v>
      </c>
      <c r="L233" s="1234">
        <v>18970</v>
      </c>
      <c r="M233" s="26">
        <f>L233-K233+60</f>
        <v>2900</v>
      </c>
      <c r="N233" s="1253">
        <v>2840</v>
      </c>
      <c r="O233" s="1253">
        <v>27</v>
      </c>
      <c r="P233" s="1237">
        <f>M233-O233</f>
        <v>2873</v>
      </c>
      <c r="Q233" s="1250">
        <v>19300</v>
      </c>
      <c r="R233" s="1250">
        <f t="shared" si="75"/>
        <v>55448900</v>
      </c>
      <c r="S233" s="1231" t="s">
        <v>5</v>
      </c>
      <c r="T233" s="332"/>
    </row>
    <row r="234" spans="1:20" s="388" customFormat="1" ht="22.5" customHeight="1">
      <c r="A234" s="617">
        <f t="shared" si="71"/>
        <v>230</v>
      </c>
      <c r="B234" s="1244">
        <v>46175</v>
      </c>
      <c r="C234" s="1234" t="s">
        <v>264</v>
      </c>
      <c r="D234" s="1244" t="s">
        <v>262</v>
      </c>
      <c r="E234" s="1244" t="s">
        <v>263</v>
      </c>
      <c r="F234" s="1244" t="s">
        <v>164</v>
      </c>
      <c r="G234" s="1244" t="s">
        <v>111</v>
      </c>
      <c r="H234" s="1244"/>
      <c r="I234" s="226" t="s">
        <v>111</v>
      </c>
      <c r="J234" s="1253" t="s">
        <v>40</v>
      </c>
      <c r="K234" s="1234">
        <v>18970</v>
      </c>
      <c r="L234" s="1234">
        <v>20930</v>
      </c>
      <c r="M234" s="26">
        <f t="shared" ref="M234:M243" si="76">L234-K234</f>
        <v>1960</v>
      </c>
      <c r="N234" s="1253">
        <v>1950</v>
      </c>
      <c r="O234" s="1253">
        <v>15</v>
      </c>
      <c r="P234" s="1237">
        <f t="shared" ref="P234:P243" si="77">M234-O234</f>
        <v>1945</v>
      </c>
      <c r="Q234" s="1250">
        <v>6400</v>
      </c>
      <c r="R234" s="1250">
        <f t="shared" si="75"/>
        <v>12448000</v>
      </c>
      <c r="S234" s="1231" t="s">
        <v>5</v>
      </c>
      <c r="T234" s="332"/>
    </row>
    <row r="235" spans="1:20" s="388" customFormat="1" ht="22.5" customHeight="1">
      <c r="A235" s="618">
        <f t="shared" si="71"/>
        <v>231</v>
      </c>
      <c r="B235" s="1245">
        <v>46175</v>
      </c>
      <c r="C235" s="1235" t="s">
        <v>264</v>
      </c>
      <c r="D235" s="1245" t="s">
        <v>262</v>
      </c>
      <c r="E235" s="1245" t="s">
        <v>263</v>
      </c>
      <c r="F235" s="1245" t="s">
        <v>164</v>
      </c>
      <c r="G235" s="1245" t="s">
        <v>111</v>
      </c>
      <c r="H235" s="1245"/>
      <c r="I235" s="502" t="s">
        <v>111</v>
      </c>
      <c r="J235" s="1240" t="s">
        <v>645</v>
      </c>
      <c r="K235" s="1235">
        <v>20930</v>
      </c>
      <c r="L235" s="1235">
        <v>22810</v>
      </c>
      <c r="M235" s="28">
        <f t="shared" si="76"/>
        <v>1880</v>
      </c>
      <c r="N235" s="1240">
        <v>1880</v>
      </c>
      <c r="O235" s="1240">
        <v>6</v>
      </c>
      <c r="P235" s="1249">
        <f t="shared" si="77"/>
        <v>1874</v>
      </c>
      <c r="Q235" s="1251">
        <v>9600</v>
      </c>
      <c r="R235" s="1251">
        <f t="shared" si="75"/>
        <v>17990400</v>
      </c>
      <c r="S235" s="1232" t="s">
        <v>5</v>
      </c>
      <c r="T235" s="332"/>
    </row>
    <row r="236" spans="1:20" s="388" customFormat="1" ht="22.5" customHeight="1">
      <c r="A236" s="782">
        <f t="shared" si="71"/>
        <v>232</v>
      </c>
      <c r="B236" s="1266">
        <v>46176</v>
      </c>
      <c r="C236" s="1263" t="s">
        <v>264</v>
      </c>
      <c r="D236" s="1266" t="s">
        <v>262</v>
      </c>
      <c r="E236" s="1266" t="s">
        <v>263</v>
      </c>
      <c r="F236" s="1266" t="s">
        <v>164</v>
      </c>
      <c r="G236" s="1266" t="s">
        <v>111</v>
      </c>
      <c r="H236" s="1266"/>
      <c r="I236" s="83" t="s">
        <v>111</v>
      </c>
      <c r="J236" s="1298" t="s">
        <v>44</v>
      </c>
      <c r="K236" s="1263">
        <v>12920</v>
      </c>
      <c r="L236" s="1263">
        <v>24130</v>
      </c>
      <c r="M236" s="462">
        <f t="shared" si="76"/>
        <v>11210</v>
      </c>
      <c r="N236" s="1289">
        <v>11210</v>
      </c>
      <c r="O236" s="1289">
        <v>3</v>
      </c>
      <c r="P236" s="1291">
        <f t="shared" si="77"/>
        <v>11207</v>
      </c>
      <c r="Q236" s="1293">
        <v>19000</v>
      </c>
      <c r="R236" s="1293">
        <f t="shared" si="75"/>
        <v>212933000</v>
      </c>
      <c r="S236" s="1264" t="s">
        <v>5</v>
      </c>
      <c r="T236" s="332"/>
    </row>
    <row r="237" spans="1:20" s="388" customFormat="1" ht="22.5" customHeight="1">
      <c r="A237" s="617">
        <f t="shared" si="71"/>
        <v>233</v>
      </c>
      <c r="B237" s="1265">
        <v>46176</v>
      </c>
      <c r="C237" s="1262" t="s">
        <v>264</v>
      </c>
      <c r="D237" s="1265" t="s">
        <v>262</v>
      </c>
      <c r="E237" s="1265" t="s">
        <v>263</v>
      </c>
      <c r="F237" s="1265" t="s">
        <v>164</v>
      </c>
      <c r="G237" s="1265" t="s">
        <v>111</v>
      </c>
      <c r="H237" s="1265"/>
      <c r="I237" s="226" t="s">
        <v>111</v>
      </c>
      <c r="J237" s="1299" t="s">
        <v>44</v>
      </c>
      <c r="K237" s="1262">
        <v>24130</v>
      </c>
      <c r="L237" s="1262">
        <v>24180</v>
      </c>
      <c r="M237" s="26">
        <f t="shared" si="76"/>
        <v>50</v>
      </c>
      <c r="N237" s="1297">
        <v>50</v>
      </c>
      <c r="O237" s="1297">
        <v>3</v>
      </c>
      <c r="P237" s="1282">
        <f t="shared" si="77"/>
        <v>47</v>
      </c>
      <c r="Q237" s="1294">
        <v>19000</v>
      </c>
      <c r="R237" s="1294">
        <f t="shared" si="75"/>
        <v>893000</v>
      </c>
      <c r="S237" s="1260" t="s">
        <v>5</v>
      </c>
      <c r="T237" s="332"/>
    </row>
    <row r="238" spans="1:20" s="388" customFormat="1" ht="22.5" customHeight="1">
      <c r="A238" s="617">
        <f t="shared" si="71"/>
        <v>234</v>
      </c>
      <c r="B238" s="1265">
        <v>46176</v>
      </c>
      <c r="C238" s="1262" t="s">
        <v>264</v>
      </c>
      <c r="D238" s="1265" t="s">
        <v>262</v>
      </c>
      <c r="E238" s="1265" t="s">
        <v>274</v>
      </c>
      <c r="F238" s="1265" t="s">
        <v>646</v>
      </c>
      <c r="G238" s="1265"/>
      <c r="H238" s="1265"/>
      <c r="I238" s="226" t="s">
        <v>111</v>
      </c>
      <c r="J238" s="1299" t="s">
        <v>647</v>
      </c>
      <c r="K238" s="1262">
        <v>15720</v>
      </c>
      <c r="L238" s="1262">
        <v>29570</v>
      </c>
      <c r="M238" s="26">
        <f t="shared" si="76"/>
        <v>13850</v>
      </c>
      <c r="N238" s="1297">
        <v>13850</v>
      </c>
      <c r="O238" s="1282">
        <v>500</v>
      </c>
      <c r="P238" s="1282">
        <f t="shared" si="77"/>
        <v>13350</v>
      </c>
      <c r="Q238" s="1294">
        <v>3700</v>
      </c>
      <c r="R238" s="1294">
        <f t="shared" si="75"/>
        <v>49395000</v>
      </c>
      <c r="S238" s="1260" t="s">
        <v>5</v>
      </c>
      <c r="T238" s="332"/>
    </row>
    <row r="239" spans="1:20" s="388" customFormat="1" ht="22.5" customHeight="1">
      <c r="A239" s="617">
        <f t="shared" si="71"/>
        <v>235</v>
      </c>
      <c r="B239" s="1265">
        <v>46176</v>
      </c>
      <c r="C239" s="1262" t="s">
        <v>522</v>
      </c>
      <c r="D239" s="1265" t="s">
        <v>262</v>
      </c>
      <c r="E239" s="1265" t="s">
        <v>274</v>
      </c>
      <c r="F239" s="1265" t="s">
        <v>646</v>
      </c>
      <c r="G239" s="1265"/>
      <c r="H239" s="1265"/>
      <c r="I239" s="226" t="s">
        <v>111</v>
      </c>
      <c r="J239" s="1299" t="s">
        <v>676</v>
      </c>
      <c r="K239" s="1262">
        <v>29570</v>
      </c>
      <c r="L239" s="1262">
        <v>33220</v>
      </c>
      <c r="M239" s="26">
        <f>L239-K239-200</f>
        <v>3450</v>
      </c>
      <c r="N239" s="1297">
        <v>3450</v>
      </c>
      <c r="O239" s="1297">
        <v>3</v>
      </c>
      <c r="P239" s="1282">
        <f>M239-O239</f>
        <v>3447</v>
      </c>
      <c r="Q239" s="1294">
        <v>3700</v>
      </c>
      <c r="R239" s="1294">
        <f t="shared" si="75"/>
        <v>12753900</v>
      </c>
      <c r="S239" s="1260" t="s">
        <v>5</v>
      </c>
      <c r="T239" s="332"/>
    </row>
    <row r="240" spans="1:20" s="388" customFormat="1" ht="22.5" customHeight="1">
      <c r="A240" s="617">
        <f t="shared" si="71"/>
        <v>236</v>
      </c>
      <c r="B240" s="1265">
        <v>46176</v>
      </c>
      <c r="C240" s="1262" t="s">
        <v>264</v>
      </c>
      <c r="D240" s="1265" t="s">
        <v>262</v>
      </c>
      <c r="E240" s="1265" t="s">
        <v>274</v>
      </c>
      <c r="F240" s="1265" t="s">
        <v>646</v>
      </c>
      <c r="G240" s="1265"/>
      <c r="H240" s="1265"/>
      <c r="I240" s="226" t="s">
        <v>111</v>
      </c>
      <c r="J240" s="1299" t="s">
        <v>676</v>
      </c>
      <c r="K240" s="1262"/>
      <c r="L240" s="1262"/>
      <c r="M240" s="26">
        <v>200</v>
      </c>
      <c r="N240" s="1297">
        <v>200</v>
      </c>
      <c r="O240" s="1297"/>
      <c r="P240" s="1282">
        <f t="shared" si="77"/>
        <v>200</v>
      </c>
      <c r="Q240" s="1294">
        <v>3700</v>
      </c>
      <c r="R240" s="1294">
        <f t="shared" si="75"/>
        <v>740000</v>
      </c>
      <c r="S240" s="1260" t="s">
        <v>5</v>
      </c>
      <c r="T240" s="332"/>
    </row>
    <row r="241" spans="1:20" s="388" customFormat="1" ht="22.5" customHeight="1">
      <c r="A241" s="617">
        <f t="shared" si="71"/>
        <v>237</v>
      </c>
      <c r="B241" s="1265">
        <v>46176</v>
      </c>
      <c r="C241" s="1262" t="s">
        <v>264</v>
      </c>
      <c r="D241" s="1265" t="s">
        <v>262</v>
      </c>
      <c r="E241" s="1265" t="s">
        <v>274</v>
      </c>
      <c r="F241" s="1265" t="s">
        <v>646</v>
      </c>
      <c r="G241" s="1265"/>
      <c r="H241" s="1265"/>
      <c r="I241" s="226" t="s">
        <v>111</v>
      </c>
      <c r="J241" s="1299" t="s">
        <v>561</v>
      </c>
      <c r="K241" s="1262">
        <v>33220</v>
      </c>
      <c r="L241" s="1262">
        <v>36920</v>
      </c>
      <c r="M241" s="26">
        <f t="shared" si="76"/>
        <v>3700</v>
      </c>
      <c r="N241" s="1297">
        <v>3700</v>
      </c>
      <c r="O241" s="1297">
        <v>24</v>
      </c>
      <c r="P241" s="1282">
        <f t="shared" si="77"/>
        <v>3676</v>
      </c>
      <c r="Q241" s="1294">
        <v>1250</v>
      </c>
      <c r="R241" s="1294">
        <f t="shared" si="75"/>
        <v>4595000</v>
      </c>
      <c r="S241" s="1260" t="s">
        <v>5</v>
      </c>
      <c r="T241" s="332"/>
    </row>
    <row r="242" spans="1:20" s="388" customFormat="1" ht="22.5" customHeight="1">
      <c r="A242" s="617">
        <f t="shared" si="71"/>
        <v>238</v>
      </c>
      <c r="B242" s="1265">
        <v>46176</v>
      </c>
      <c r="C242" s="1262" t="s">
        <v>264</v>
      </c>
      <c r="D242" s="1265" t="s">
        <v>262</v>
      </c>
      <c r="E242" s="1265" t="s">
        <v>263</v>
      </c>
      <c r="F242" s="1265" t="s">
        <v>38</v>
      </c>
      <c r="G242" s="1265" t="s">
        <v>111</v>
      </c>
      <c r="H242" s="1265"/>
      <c r="I242" s="226" t="s">
        <v>111</v>
      </c>
      <c r="J242" s="1299" t="s">
        <v>561</v>
      </c>
      <c r="K242" s="1262">
        <v>12670</v>
      </c>
      <c r="L242" s="1262">
        <v>14420</v>
      </c>
      <c r="M242" s="26">
        <f t="shared" si="76"/>
        <v>1750</v>
      </c>
      <c r="N242" s="1297">
        <v>1750</v>
      </c>
      <c r="O242" s="1297">
        <v>3</v>
      </c>
      <c r="P242" s="1282">
        <f t="shared" si="77"/>
        <v>1747</v>
      </c>
      <c r="Q242" s="1294">
        <v>1250</v>
      </c>
      <c r="R242" s="1294">
        <f t="shared" si="75"/>
        <v>2183750</v>
      </c>
      <c r="S242" s="1260" t="s">
        <v>5</v>
      </c>
      <c r="T242" s="332"/>
    </row>
    <row r="243" spans="1:20" s="388" customFormat="1" ht="22.5" customHeight="1">
      <c r="A243" s="618">
        <f t="shared" si="71"/>
        <v>239</v>
      </c>
      <c r="B243" s="1265">
        <v>46176</v>
      </c>
      <c r="C243" s="1262" t="s">
        <v>264</v>
      </c>
      <c r="D243" s="1265" t="s">
        <v>262</v>
      </c>
      <c r="E243" s="1265" t="s">
        <v>263</v>
      </c>
      <c r="F243" s="1265" t="s">
        <v>38</v>
      </c>
      <c r="G243" s="1265" t="s">
        <v>111</v>
      </c>
      <c r="H243" s="1265"/>
      <c r="I243" s="226" t="s">
        <v>111</v>
      </c>
      <c r="J243" s="1299" t="s">
        <v>199</v>
      </c>
      <c r="K243" s="1262">
        <v>14420</v>
      </c>
      <c r="L243" s="1262">
        <v>19780</v>
      </c>
      <c r="M243" s="26">
        <f t="shared" si="76"/>
        <v>5360</v>
      </c>
      <c r="N243" s="1297">
        <v>5360</v>
      </c>
      <c r="O243" s="1297">
        <v>30</v>
      </c>
      <c r="P243" s="1282">
        <f t="shared" si="77"/>
        <v>5330</v>
      </c>
      <c r="Q243" s="1294">
        <v>11500</v>
      </c>
      <c r="R243" s="1294">
        <f t="shared" si="75"/>
        <v>61295000</v>
      </c>
      <c r="S243" s="1260" t="s">
        <v>5</v>
      </c>
      <c r="T243" s="332"/>
    </row>
    <row r="244" spans="1:20" s="388" customFormat="1" ht="22.5" customHeight="1">
      <c r="A244" s="612">
        <f>ROW()-4</f>
        <v>240</v>
      </c>
      <c r="B244" s="1340">
        <v>46177</v>
      </c>
      <c r="C244" s="1354" t="s">
        <v>314</v>
      </c>
      <c r="D244" s="1354" t="s">
        <v>440</v>
      </c>
      <c r="E244" s="1340" t="s">
        <v>263</v>
      </c>
      <c r="F244" s="1340" t="s">
        <v>334</v>
      </c>
      <c r="G244" s="1340" t="s">
        <v>281</v>
      </c>
      <c r="H244" s="1340" t="s">
        <v>282</v>
      </c>
      <c r="I244" s="501" t="s">
        <v>37</v>
      </c>
      <c r="J244" s="1335" t="s">
        <v>663</v>
      </c>
      <c r="K244" s="1331">
        <v>21280</v>
      </c>
      <c r="L244" s="1331">
        <v>23840</v>
      </c>
      <c r="M244" s="23">
        <f>L244-K244-180</f>
        <v>2380</v>
      </c>
      <c r="N244" s="934">
        <f>2540-180</f>
        <v>2360</v>
      </c>
      <c r="O244" s="935"/>
      <c r="P244" s="934">
        <f>N244</f>
        <v>2360</v>
      </c>
      <c r="Q244" s="1337">
        <v>1930</v>
      </c>
      <c r="R244" s="1337">
        <f t="shared" si="75"/>
        <v>4554800</v>
      </c>
      <c r="S244" s="1301" t="s">
        <v>5</v>
      </c>
      <c r="T244" s="332"/>
    </row>
    <row r="245" spans="1:20" s="388" customFormat="1" ht="22.5" customHeight="1">
      <c r="A245" s="617">
        <f>ROW()-4</f>
        <v>241</v>
      </c>
      <c r="B245" s="1345">
        <v>46177</v>
      </c>
      <c r="C245" s="1347" t="s">
        <v>264</v>
      </c>
      <c r="D245" s="1347" t="s">
        <v>262</v>
      </c>
      <c r="E245" s="1345" t="s">
        <v>274</v>
      </c>
      <c r="F245" s="1345" t="s">
        <v>334</v>
      </c>
      <c r="G245" s="1345" t="s">
        <v>281</v>
      </c>
      <c r="H245" s="1345" t="s">
        <v>282</v>
      </c>
      <c r="I245" s="84" t="s">
        <v>37</v>
      </c>
      <c r="J245" s="1339" t="s">
        <v>663</v>
      </c>
      <c r="K245" s="1333"/>
      <c r="L245" s="1333"/>
      <c r="M245" s="58">
        <v>180</v>
      </c>
      <c r="N245" s="1359">
        <v>180</v>
      </c>
      <c r="O245" s="1360"/>
      <c r="P245" s="1359">
        <f>N245</f>
        <v>180</v>
      </c>
      <c r="Q245" s="1334">
        <v>1930</v>
      </c>
      <c r="R245" s="1334">
        <f t="shared" si="75"/>
        <v>347400</v>
      </c>
      <c r="S245" s="1302" t="s">
        <v>5</v>
      </c>
      <c r="T245" s="332"/>
    </row>
    <row r="246" spans="1:20" s="388" customFormat="1" ht="22.5" customHeight="1">
      <c r="A246" s="617">
        <f>ROW()-4</f>
        <v>242</v>
      </c>
      <c r="B246" s="1341">
        <v>46177</v>
      </c>
      <c r="C246" s="1346" t="s">
        <v>314</v>
      </c>
      <c r="D246" s="1346" t="s">
        <v>262</v>
      </c>
      <c r="E246" s="1341" t="s">
        <v>182</v>
      </c>
      <c r="F246" s="1341" t="s">
        <v>664</v>
      </c>
      <c r="G246" s="1341" t="s">
        <v>665</v>
      </c>
      <c r="H246" s="1341" t="s">
        <v>666</v>
      </c>
      <c r="I246" s="226" t="s">
        <v>37</v>
      </c>
      <c r="J246" s="1351" t="s">
        <v>663</v>
      </c>
      <c r="K246" s="1329">
        <v>8890</v>
      </c>
      <c r="L246" s="1329">
        <v>11270</v>
      </c>
      <c r="M246" s="26">
        <f>L246-K246</f>
        <v>2380</v>
      </c>
      <c r="N246" s="936">
        <v>2370</v>
      </c>
      <c r="O246" s="937"/>
      <c r="P246" s="936">
        <f>N246</f>
        <v>2370</v>
      </c>
      <c r="Q246" s="1332">
        <v>1930</v>
      </c>
      <c r="R246" s="1332">
        <f t="shared" si="75"/>
        <v>4574100</v>
      </c>
      <c r="S246" s="1327" t="s">
        <v>5</v>
      </c>
      <c r="T246" s="332"/>
    </row>
    <row r="247" spans="1:20" s="388" customFormat="1" ht="22.5" customHeight="1">
      <c r="A247" s="782">
        <f t="shared" si="71"/>
        <v>243</v>
      </c>
      <c r="B247" s="1353">
        <v>46177</v>
      </c>
      <c r="C247" s="1357" t="s">
        <v>305</v>
      </c>
      <c r="D247" s="1353" t="s">
        <v>440</v>
      </c>
      <c r="E247" s="126" t="s">
        <v>261</v>
      </c>
      <c r="F247" s="1356" t="s">
        <v>138</v>
      </c>
      <c r="G247" s="1356" t="s">
        <v>258</v>
      </c>
      <c r="H247" s="1356" t="s">
        <v>259</v>
      </c>
      <c r="I247" s="1325" t="s">
        <v>112</v>
      </c>
      <c r="J247" s="1356" t="s">
        <v>132</v>
      </c>
      <c r="K247" s="1357">
        <v>18570</v>
      </c>
      <c r="L247" s="1357">
        <v>39780</v>
      </c>
      <c r="M247" s="253">
        <f t="shared" ref="M247" si="78">L247-K247</f>
        <v>21210</v>
      </c>
      <c r="N247" s="1348"/>
      <c r="O247" s="1348"/>
      <c r="P247" s="1348">
        <f t="shared" ref="P247:P254" si="79">M247</f>
        <v>21210</v>
      </c>
      <c r="Q247" s="1349">
        <v>480</v>
      </c>
      <c r="R247" s="1349">
        <f>Q247*P247</f>
        <v>10180800</v>
      </c>
      <c r="S247" s="1325" t="s">
        <v>5</v>
      </c>
      <c r="T247" s="332"/>
    </row>
    <row r="248" spans="1:20" s="388" customFormat="1" ht="22.5" customHeight="1">
      <c r="A248" s="615">
        <f t="shared" ref="A248:A264" si="80">ROW()-4</f>
        <v>244</v>
      </c>
      <c r="B248" s="1384">
        <v>46177</v>
      </c>
      <c r="C248" s="675" t="s">
        <v>305</v>
      </c>
      <c r="D248" s="1384" t="s">
        <v>440</v>
      </c>
      <c r="E248" s="127" t="s">
        <v>263</v>
      </c>
      <c r="F248" s="1385" t="s">
        <v>334</v>
      </c>
      <c r="G248" s="1385" t="s">
        <v>254</v>
      </c>
      <c r="H248" s="1385" t="s">
        <v>668</v>
      </c>
      <c r="I248" s="1379" t="s">
        <v>75</v>
      </c>
      <c r="J248" s="1385" t="s">
        <v>71</v>
      </c>
      <c r="K248" s="675">
        <v>21100</v>
      </c>
      <c r="L248" s="675">
        <v>26580</v>
      </c>
      <c r="M248" s="251">
        <f>L248-K248-240</f>
        <v>5240</v>
      </c>
      <c r="N248" s="1386">
        <v>5240</v>
      </c>
      <c r="O248" s="1386"/>
      <c r="P248" s="1386">
        <f t="shared" si="79"/>
        <v>5240</v>
      </c>
      <c r="Q248" s="271">
        <v>460</v>
      </c>
      <c r="R248" s="271">
        <f t="shared" ref="R248:R254" si="81">Q248*P248</f>
        <v>2410400</v>
      </c>
      <c r="S248" s="1379" t="s">
        <v>5</v>
      </c>
      <c r="T248" s="332"/>
    </row>
    <row r="249" spans="1:20" s="388" customFormat="1" ht="22.5" customHeight="1">
      <c r="A249" s="612">
        <f t="shared" si="80"/>
        <v>245</v>
      </c>
      <c r="B249" s="1410">
        <v>46182</v>
      </c>
      <c r="C249" s="1408" t="s">
        <v>305</v>
      </c>
      <c r="D249" s="1410" t="s">
        <v>440</v>
      </c>
      <c r="E249" s="138" t="s">
        <v>224</v>
      </c>
      <c r="F249" s="1411" t="s">
        <v>326</v>
      </c>
      <c r="G249" s="1411"/>
      <c r="H249" s="1411"/>
      <c r="I249" s="1389" t="s">
        <v>112</v>
      </c>
      <c r="J249" s="1411" t="s">
        <v>132</v>
      </c>
      <c r="K249" s="1408">
        <v>18130</v>
      </c>
      <c r="L249" s="1408">
        <v>37530</v>
      </c>
      <c r="M249" s="249">
        <f t="shared" ref="M249:M263" si="82">L249-K249</f>
        <v>19400</v>
      </c>
      <c r="N249" s="320">
        <v>19390</v>
      </c>
      <c r="O249" s="320"/>
      <c r="P249" s="320">
        <f t="shared" si="79"/>
        <v>19400</v>
      </c>
      <c r="Q249" s="137">
        <v>490</v>
      </c>
      <c r="R249" s="137">
        <f t="shared" si="81"/>
        <v>9506000</v>
      </c>
      <c r="S249" s="1389" t="s">
        <v>5</v>
      </c>
      <c r="T249" s="332"/>
    </row>
    <row r="250" spans="1:20" s="388" customFormat="1" ht="22.5" customHeight="1">
      <c r="A250" s="618">
        <f t="shared" si="80"/>
        <v>246</v>
      </c>
      <c r="B250" s="1405">
        <v>46182</v>
      </c>
      <c r="C250" s="1409" t="s">
        <v>305</v>
      </c>
      <c r="D250" s="1405" t="s">
        <v>440</v>
      </c>
      <c r="E250" s="128" t="s">
        <v>224</v>
      </c>
      <c r="F250" s="1407" t="s">
        <v>441</v>
      </c>
      <c r="G250" s="1407"/>
      <c r="H250" s="1407"/>
      <c r="I250" s="1390" t="s">
        <v>112</v>
      </c>
      <c r="J250" s="1407" t="s">
        <v>132</v>
      </c>
      <c r="K250" s="1409">
        <v>18530</v>
      </c>
      <c r="L250" s="1409">
        <v>37930</v>
      </c>
      <c r="M250" s="250">
        <f t="shared" si="82"/>
        <v>19400</v>
      </c>
      <c r="N250" s="1396">
        <v>19370</v>
      </c>
      <c r="O250" s="1396"/>
      <c r="P250" s="1396">
        <f t="shared" si="79"/>
        <v>19400</v>
      </c>
      <c r="Q250" s="1406">
        <v>490</v>
      </c>
      <c r="R250" s="1406">
        <f t="shared" si="81"/>
        <v>9506000</v>
      </c>
      <c r="S250" s="1390" t="s">
        <v>5</v>
      </c>
      <c r="T250" s="332"/>
    </row>
    <row r="251" spans="1:20" s="388" customFormat="1" ht="22.5" customHeight="1">
      <c r="A251" s="612">
        <f>ROW()-4</f>
        <v>247</v>
      </c>
      <c r="B251" s="1440">
        <v>46183</v>
      </c>
      <c r="C251" s="1442" t="s">
        <v>685</v>
      </c>
      <c r="D251" s="1433" t="s">
        <v>17</v>
      </c>
      <c r="E251" s="1433" t="s">
        <v>686</v>
      </c>
      <c r="F251" s="1443" t="s">
        <v>687</v>
      </c>
      <c r="G251" s="1443"/>
      <c r="H251" s="1443"/>
      <c r="I251" s="501" t="s">
        <v>688</v>
      </c>
      <c r="J251" s="1436" t="s">
        <v>689</v>
      </c>
      <c r="K251" s="1433">
        <v>1150</v>
      </c>
      <c r="L251" s="1433">
        <v>1210</v>
      </c>
      <c r="M251" s="23">
        <f t="shared" si="82"/>
        <v>60</v>
      </c>
      <c r="N251" s="1436"/>
      <c r="O251" s="1436"/>
      <c r="P251" s="1436">
        <f t="shared" si="79"/>
        <v>60</v>
      </c>
      <c r="Q251" s="1438"/>
      <c r="R251" s="1438">
        <f>P251*Q251</f>
        <v>0</v>
      </c>
      <c r="S251" s="1434" t="s">
        <v>5</v>
      </c>
      <c r="T251" s="332"/>
    </row>
    <row r="252" spans="1:20" s="388" customFormat="1" ht="22.5" customHeight="1">
      <c r="A252" s="618">
        <f>ROW()-4</f>
        <v>248</v>
      </c>
      <c r="B252" s="1441">
        <v>46183</v>
      </c>
      <c r="C252" s="1432" t="s">
        <v>231</v>
      </c>
      <c r="D252" s="1432" t="s">
        <v>691</v>
      </c>
      <c r="E252" s="1432" t="s">
        <v>87</v>
      </c>
      <c r="F252" s="1444" t="s">
        <v>310</v>
      </c>
      <c r="G252" s="1444" t="s">
        <v>693</v>
      </c>
      <c r="H252" s="1444" t="s">
        <v>694</v>
      </c>
      <c r="I252" s="502" t="s">
        <v>692</v>
      </c>
      <c r="J252" s="1437" t="s">
        <v>695</v>
      </c>
      <c r="K252" s="1432">
        <v>1960</v>
      </c>
      <c r="L252" s="1432">
        <v>3130</v>
      </c>
      <c r="M252" s="28">
        <f t="shared" si="82"/>
        <v>1170</v>
      </c>
      <c r="N252" s="1437"/>
      <c r="O252" s="1437"/>
      <c r="P252" s="1437">
        <f t="shared" si="79"/>
        <v>1170</v>
      </c>
      <c r="Q252" s="1439">
        <v>1500</v>
      </c>
      <c r="R252" s="1439">
        <f>P252*Q252</f>
        <v>1755000</v>
      </c>
      <c r="S252" s="1435" t="s">
        <v>5</v>
      </c>
      <c r="T252" s="332"/>
    </row>
    <row r="253" spans="1:20" s="388" customFormat="1" ht="22.5" customHeight="1">
      <c r="A253" s="782">
        <f t="shared" si="80"/>
        <v>249</v>
      </c>
      <c r="B253" s="1486">
        <v>46184</v>
      </c>
      <c r="C253" s="1490" t="s">
        <v>305</v>
      </c>
      <c r="D253" s="1486" t="s">
        <v>440</v>
      </c>
      <c r="E253" s="126" t="s">
        <v>74</v>
      </c>
      <c r="F253" s="1489" t="s">
        <v>158</v>
      </c>
      <c r="G253" s="1489" t="s">
        <v>442</v>
      </c>
      <c r="H253" s="1489" t="s">
        <v>443</v>
      </c>
      <c r="I253" s="1477" t="s">
        <v>112</v>
      </c>
      <c r="J253" s="1489" t="s">
        <v>132</v>
      </c>
      <c r="K253" s="1490">
        <v>18600</v>
      </c>
      <c r="L253" s="1490">
        <v>36780</v>
      </c>
      <c r="M253" s="253">
        <f t="shared" si="82"/>
        <v>18180</v>
      </c>
      <c r="N253" s="1481">
        <v>17990</v>
      </c>
      <c r="O253" s="1481"/>
      <c r="P253" s="1481">
        <f t="shared" si="79"/>
        <v>18180</v>
      </c>
      <c r="Q253" s="1483">
        <v>490</v>
      </c>
      <c r="R253" s="1483">
        <f t="shared" si="81"/>
        <v>8908200</v>
      </c>
      <c r="S253" s="1477" t="s">
        <v>5</v>
      </c>
      <c r="T253" s="332"/>
    </row>
    <row r="254" spans="1:20" s="388" customFormat="1" ht="22.5" customHeight="1">
      <c r="A254" s="541">
        <f t="shared" si="80"/>
        <v>250</v>
      </c>
      <c r="B254" s="1488">
        <v>46184</v>
      </c>
      <c r="C254" s="202" t="s">
        <v>305</v>
      </c>
      <c r="D254" s="1488" t="s">
        <v>440</v>
      </c>
      <c r="E254" s="129" t="s">
        <v>74</v>
      </c>
      <c r="F254" s="1492" t="s">
        <v>684</v>
      </c>
      <c r="G254" s="1492"/>
      <c r="H254" s="1492"/>
      <c r="I254" s="1476" t="s">
        <v>112</v>
      </c>
      <c r="J254" s="1492" t="s">
        <v>132</v>
      </c>
      <c r="K254" s="202">
        <v>18470</v>
      </c>
      <c r="L254" s="202">
        <v>42010</v>
      </c>
      <c r="M254" s="257">
        <f t="shared" si="82"/>
        <v>23540</v>
      </c>
      <c r="N254" s="1482">
        <v>23410</v>
      </c>
      <c r="O254" s="1482"/>
      <c r="P254" s="1482">
        <f t="shared" si="79"/>
        <v>23540</v>
      </c>
      <c r="Q254" s="1484">
        <v>490</v>
      </c>
      <c r="R254" s="1484">
        <f t="shared" si="81"/>
        <v>11534600</v>
      </c>
      <c r="S254" s="1476" t="s">
        <v>5</v>
      </c>
      <c r="T254" s="332"/>
    </row>
    <row r="255" spans="1:20" s="388" customFormat="1" ht="22.5" customHeight="1">
      <c r="A255" s="612">
        <f t="shared" ref="A255:A263" si="83">ROW()-4</f>
        <v>251</v>
      </c>
      <c r="B255" s="1545">
        <v>46186</v>
      </c>
      <c r="C255" s="1542" t="s">
        <v>699</v>
      </c>
      <c r="D255" s="1545" t="s">
        <v>262</v>
      </c>
      <c r="E255" s="138" t="s">
        <v>263</v>
      </c>
      <c r="F255" s="1548" t="s">
        <v>172</v>
      </c>
      <c r="G255" s="1548" t="s">
        <v>291</v>
      </c>
      <c r="H255" s="1548" t="s">
        <v>292</v>
      </c>
      <c r="I255" s="1516" t="s">
        <v>75</v>
      </c>
      <c r="J255" s="1548" t="s">
        <v>119</v>
      </c>
      <c r="K255" s="1542">
        <v>14410</v>
      </c>
      <c r="L255" s="1542">
        <v>19710</v>
      </c>
      <c r="M255" s="249">
        <f t="shared" si="82"/>
        <v>5300</v>
      </c>
      <c r="N255" s="320">
        <v>5210</v>
      </c>
      <c r="O255" s="320"/>
      <c r="P255" s="320">
        <v>5210</v>
      </c>
      <c r="Q255" s="137">
        <v>490</v>
      </c>
      <c r="R255" s="137">
        <f t="shared" ref="R255:R256" si="84">Q255*P255</f>
        <v>2552900</v>
      </c>
      <c r="S255" s="1516" t="s">
        <v>5</v>
      </c>
      <c r="T255" s="332"/>
    </row>
    <row r="256" spans="1:20" s="388" customFormat="1" ht="22.5" customHeight="1">
      <c r="A256" s="617">
        <f t="shared" si="83"/>
        <v>252</v>
      </c>
      <c r="B256" s="1536">
        <v>46186</v>
      </c>
      <c r="C256" s="1543" t="s">
        <v>305</v>
      </c>
      <c r="D256" s="1536" t="s">
        <v>262</v>
      </c>
      <c r="E256" s="128" t="s">
        <v>263</v>
      </c>
      <c r="F256" s="1540" t="s">
        <v>172</v>
      </c>
      <c r="G256" s="1540" t="s">
        <v>291</v>
      </c>
      <c r="H256" s="1540" t="s">
        <v>292</v>
      </c>
      <c r="I256" s="1517" t="s">
        <v>75</v>
      </c>
      <c r="J256" s="1540" t="s">
        <v>119</v>
      </c>
      <c r="K256" s="1543">
        <v>14450</v>
      </c>
      <c r="L256" s="1543">
        <v>15650</v>
      </c>
      <c r="M256" s="250">
        <f t="shared" si="82"/>
        <v>1200</v>
      </c>
      <c r="N256" s="1526">
        <v>1200</v>
      </c>
      <c r="O256" s="1526"/>
      <c r="P256" s="1526">
        <f>M256</f>
        <v>1200</v>
      </c>
      <c r="Q256" s="1539">
        <v>490</v>
      </c>
      <c r="R256" s="1539">
        <f t="shared" si="84"/>
        <v>588000</v>
      </c>
      <c r="S256" s="1517" t="s">
        <v>5</v>
      </c>
      <c r="T256" s="332"/>
    </row>
    <row r="257" spans="1:20" s="388" customFormat="1" ht="22.5" customHeight="1">
      <c r="A257" s="617">
        <f t="shared" si="83"/>
        <v>253</v>
      </c>
      <c r="B257" s="1536">
        <v>46186</v>
      </c>
      <c r="C257" s="1543" t="s">
        <v>264</v>
      </c>
      <c r="D257" s="1536" t="s">
        <v>262</v>
      </c>
      <c r="E257" s="128" t="s">
        <v>263</v>
      </c>
      <c r="F257" s="1540" t="s">
        <v>172</v>
      </c>
      <c r="G257" s="1540" t="s">
        <v>291</v>
      </c>
      <c r="H257" s="1540" t="s">
        <v>292</v>
      </c>
      <c r="I257" s="1517" t="s">
        <v>75</v>
      </c>
      <c r="J257" s="1540" t="s">
        <v>119</v>
      </c>
      <c r="K257" s="1543">
        <v>15650</v>
      </c>
      <c r="L257" s="1543">
        <v>18290</v>
      </c>
      <c r="M257" s="250">
        <f t="shared" si="82"/>
        <v>2640</v>
      </c>
      <c r="N257" s="1526">
        <v>2620</v>
      </c>
      <c r="O257" s="1526"/>
      <c r="P257" s="1526">
        <v>2620</v>
      </c>
      <c r="Q257" s="1539">
        <v>490</v>
      </c>
      <c r="R257" s="1539">
        <f t="shared" ref="R257" si="85">Q257*P257</f>
        <v>1283800</v>
      </c>
      <c r="S257" s="1517" t="s">
        <v>5</v>
      </c>
      <c r="T257" s="332"/>
    </row>
    <row r="258" spans="1:20" s="388" customFormat="1" ht="22.5" customHeight="1">
      <c r="A258" s="782">
        <f t="shared" si="83"/>
        <v>254</v>
      </c>
      <c r="B258" s="1544">
        <v>46186</v>
      </c>
      <c r="C258" s="1547" t="s">
        <v>102</v>
      </c>
      <c r="D258" s="1544" t="s">
        <v>262</v>
      </c>
      <c r="E258" s="126" t="s">
        <v>263</v>
      </c>
      <c r="F258" s="1546" t="s">
        <v>172</v>
      </c>
      <c r="G258" s="1546" t="s">
        <v>291</v>
      </c>
      <c r="H258" s="1546" t="s">
        <v>292</v>
      </c>
      <c r="I258" s="1519" t="s">
        <v>112</v>
      </c>
      <c r="J258" s="1546" t="s">
        <v>272</v>
      </c>
      <c r="K258" s="1547">
        <v>14450</v>
      </c>
      <c r="L258" s="1547">
        <v>19880</v>
      </c>
      <c r="M258" s="253">
        <f t="shared" si="82"/>
        <v>5430</v>
      </c>
      <c r="N258" s="1537">
        <v>5370</v>
      </c>
      <c r="O258" s="1537"/>
      <c r="P258" s="1537">
        <f>표2[[#This Row],[실중량(kg)]]</f>
        <v>5430</v>
      </c>
      <c r="Q258" s="1538">
        <v>510</v>
      </c>
      <c r="R258" s="1538">
        <f t="shared" ref="R258:R259" si="86">Q258*P258</f>
        <v>2769300</v>
      </c>
      <c r="S258" s="1519" t="s">
        <v>5</v>
      </c>
      <c r="T258" s="332"/>
    </row>
    <row r="259" spans="1:20" s="388" customFormat="1" ht="22.5" customHeight="1">
      <c r="A259" s="617">
        <f t="shared" si="83"/>
        <v>255</v>
      </c>
      <c r="B259" s="1536">
        <v>46186</v>
      </c>
      <c r="C259" s="1543" t="s">
        <v>305</v>
      </c>
      <c r="D259" s="1536" t="s">
        <v>262</v>
      </c>
      <c r="E259" s="128" t="s">
        <v>263</v>
      </c>
      <c r="F259" s="1540" t="s">
        <v>172</v>
      </c>
      <c r="G259" s="1540" t="s">
        <v>291</v>
      </c>
      <c r="H259" s="1540" t="s">
        <v>292</v>
      </c>
      <c r="I259" s="1517" t="s">
        <v>112</v>
      </c>
      <c r="J259" s="1540" t="s">
        <v>132</v>
      </c>
      <c r="K259" s="1543">
        <v>19880</v>
      </c>
      <c r="L259" s="1543">
        <v>26610</v>
      </c>
      <c r="M259" s="250">
        <f t="shared" si="82"/>
        <v>6730</v>
      </c>
      <c r="N259" s="1526">
        <v>6640</v>
      </c>
      <c r="O259" s="1526"/>
      <c r="P259" s="1526">
        <f>표2[[#This Row],[실중량(kg)]]</f>
        <v>6730</v>
      </c>
      <c r="Q259" s="1539">
        <v>490</v>
      </c>
      <c r="R259" s="1539">
        <f t="shared" si="86"/>
        <v>3297700</v>
      </c>
      <c r="S259" s="1517" t="s">
        <v>5</v>
      </c>
      <c r="T259" s="332"/>
    </row>
    <row r="260" spans="1:20" s="388" customFormat="1" ht="22.5" customHeight="1">
      <c r="A260" s="617">
        <f t="shared" si="83"/>
        <v>256</v>
      </c>
      <c r="B260" s="1536">
        <v>46186</v>
      </c>
      <c r="C260" s="1543" t="s">
        <v>305</v>
      </c>
      <c r="D260" s="1536" t="s">
        <v>262</v>
      </c>
      <c r="E260" s="128" t="s">
        <v>263</v>
      </c>
      <c r="F260" s="1540" t="s">
        <v>334</v>
      </c>
      <c r="G260" s="1540" t="s">
        <v>281</v>
      </c>
      <c r="H260" s="1540" t="s">
        <v>282</v>
      </c>
      <c r="I260" s="1517" t="s">
        <v>112</v>
      </c>
      <c r="J260" s="1540" t="s">
        <v>331</v>
      </c>
      <c r="K260" s="1543">
        <v>21150</v>
      </c>
      <c r="L260" s="1543">
        <v>22680</v>
      </c>
      <c r="M260" s="250">
        <f t="shared" si="82"/>
        <v>1530</v>
      </c>
      <c r="N260" s="1526">
        <v>1500</v>
      </c>
      <c r="O260" s="1526"/>
      <c r="P260" s="1526">
        <f>표2[[#This Row],[실중량(kg)]]</f>
        <v>1530</v>
      </c>
      <c r="Q260" s="1539">
        <v>465</v>
      </c>
      <c r="R260" s="1539">
        <f t="shared" ref="R260:R263" si="87">Q260*P260</f>
        <v>711450</v>
      </c>
      <c r="S260" s="1517" t="s">
        <v>5</v>
      </c>
      <c r="T260" s="332"/>
    </row>
    <row r="261" spans="1:20" s="388" customFormat="1" ht="22.5" customHeight="1">
      <c r="A261" s="617">
        <f t="shared" si="83"/>
        <v>257</v>
      </c>
      <c r="B261" s="1536">
        <v>46186</v>
      </c>
      <c r="C261" s="1543" t="s">
        <v>698</v>
      </c>
      <c r="D261" s="1536" t="s">
        <v>262</v>
      </c>
      <c r="E261" s="128" t="s">
        <v>263</v>
      </c>
      <c r="F261" s="1540" t="s">
        <v>334</v>
      </c>
      <c r="G261" s="1540" t="s">
        <v>281</v>
      </c>
      <c r="H261" s="1540" t="s">
        <v>282</v>
      </c>
      <c r="I261" s="1517" t="s">
        <v>112</v>
      </c>
      <c r="J261" s="1540" t="s">
        <v>272</v>
      </c>
      <c r="K261" s="1543">
        <v>21150</v>
      </c>
      <c r="L261" s="1543">
        <v>24480</v>
      </c>
      <c r="M261" s="250">
        <f t="shared" si="82"/>
        <v>3330</v>
      </c>
      <c r="N261" s="1526">
        <v>3330</v>
      </c>
      <c r="O261" s="1526"/>
      <c r="P261" s="1526">
        <f>표2[[#This Row],[실중량(kg)]]</f>
        <v>3330</v>
      </c>
      <c r="Q261" s="1539">
        <v>500</v>
      </c>
      <c r="R261" s="1539">
        <f t="shared" si="87"/>
        <v>1665000</v>
      </c>
      <c r="S261" s="1517" t="s">
        <v>5</v>
      </c>
      <c r="T261" s="332"/>
    </row>
    <row r="262" spans="1:20" s="388" customFormat="1" ht="22.5" customHeight="1">
      <c r="A262" s="617">
        <f t="shared" si="83"/>
        <v>258</v>
      </c>
      <c r="B262" s="1536">
        <v>46186</v>
      </c>
      <c r="C262" s="1543" t="s">
        <v>699</v>
      </c>
      <c r="D262" s="1536" t="s">
        <v>262</v>
      </c>
      <c r="E262" s="128" t="s">
        <v>263</v>
      </c>
      <c r="F262" s="1540" t="s">
        <v>334</v>
      </c>
      <c r="G262" s="1540" t="s">
        <v>281</v>
      </c>
      <c r="H262" s="1540" t="s">
        <v>282</v>
      </c>
      <c r="I262" s="1517" t="s">
        <v>112</v>
      </c>
      <c r="J262" s="1540" t="s">
        <v>272</v>
      </c>
      <c r="K262" s="1543">
        <v>24480</v>
      </c>
      <c r="L262" s="1543">
        <v>28930</v>
      </c>
      <c r="M262" s="250">
        <f t="shared" si="82"/>
        <v>4450</v>
      </c>
      <c r="N262" s="1526">
        <v>4450</v>
      </c>
      <c r="O262" s="1526"/>
      <c r="P262" s="1526">
        <f>표2[[#This Row],[실중량(kg)]]</f>
        <v>4450</v>
      </c>
      <c r="Q262" s="1539">
        <v>500</v>
      </c>
      <c r="R262" s="1539">
        <f t="shared" si="87"/>
        <v>2225000</v>
      </c>
      <c r="S262" s="1517" t="s">
        <v>5</v>
      </c>
      <c r="T262" s="332"/>
    </row>
    <row r="263" spans="1:20" s="388" customFormat="1" ht="22.5" customHeight="1">
      <c r="A263" s="615">
        <f t="shared" si="83"/>
        <v>259</v>
      </c>
      <c r="B263" s="1536">
        <v>46186</v>
      </c>
      <c r="C263" s="1543" t="s">
        <v>313</v>
      </c>
      <c r="D263" s="1536" t="s">
        <v>262</v>
      </c>
      <c r="E263" s="128" t="s">
        <v>263</v>
      </c>
      <c r="F263" s="1540" t="s">
        <v>334</v>
      </c>
      <c r="G263" s="1540" t="s">
        <v>281</v>
      </c>
      <c r="H263" s="1540" t="s">
        <v>282</v>
      </c>
      <c r="I263" s="1517" t="s">
        <v>112</v>
      </c>
      <c r="J263" s="1540" t="s">
        <v>272</v>
      </c>
      <c r="K263" s="1543">
        <v>28930</v>
      </c>
      <c r="L263" s="1543">
        <v>30690</v>
      </c>
      <c r="M263" s="250">
        <f t="shared" si="82"/>
        <v>1760</v>
      </c>
      <c r="N263" s="1526">
        <v>1670</v>
      </c>
      <c r="O263" s="1526"/>
      <c r="P263" s="1526">
        <f>표2[[#This Row],[실중량(kg)]]</f>
        <v>1760</v>
      </c>
      <c r="Q263" s="1539">
        <v>500</v>
      </c>
      <c r="R263" s="1539">
        <f t="shared" si="87"/>
        <v>880000</v>
      </c>
      <c r="S263" s="1517" t="s">
        <v>5</v>
      </c>
      <c r="T263" s="332"/>
    </row>
    <row r="264" spans="1:20" s="388" customFormat="1" ht="22.5" customHeight="1">
      <c r="A264" s="612">
        <f t="shared" si="80"/>
        <v>260</v>
      </c>
      <c r="B264" s="1607">
        <v>46191</v>
      </c>
      <c r="C264" s="1594" t="s">
        <v>699</v>
      </c>
      <c r="D264" s="1607" t="s">
        <v>17</v>
      </c>
      <c r="E264" s="1607" t="s">
        <v>74</v>
      </c>
      <c r="F264" s="1607" t="s">
        <v>715</v>
      </c>
      <c r="G264" s="1607" t="s">
        <v>716</v>
      </c>
      <c r="H264" s="1607" t="s">
        <v>717</v>
      </c>
      <c r="I264" s="501" t="s">
        <v>67</v>
      </c>
      <c r="J264" s="1599" t="s">
        <v>713</v>
      </c>
      <c r="K264" s="1594">
        <v>18740</v>
      </c>
      <c r="L264" s="1594">
        <v>31860</v>
      </c>
      <c r="M264" s="23">
        <f>L264-K264-1000</f>
        <v>12120</v>
      </c>
      <c r="N264" s="1599">
        <v>12120</v>
      </c>
      <c r="O264" s="1599">
        <v>28</v>
      </c>
      <c r="P264" s="1599">
        <f>N264-O264</f>
        <v>12092</v>
      </c>
      <c r="Q264" s="1594">
        <v>4400</v>
      </c>
      <c r="R264" s="1601">
        <f>P264*Q264</f>
        <v>53204800</v>
      </c>
      <c r="S264" s="1588" t="s">
        <v>5</v>
      </c>
      <c r="T264" s="332"/>
    </row>
    <row r="265" spans="1:20" s="388" customFormat="1" ht="22.5" customHeight="1">
      <c r="A265" s="617">
        <f t="shared" ref="A265:A275" si="88">ROW()-4</f>
        <v>261</v>
      </c>
      <c r="B265" s="1605">
        <v>46191</v>
      </c>
      <c r="C265" s="1595" t="s">
        <v>712</v>
      </c>
      <c r="D265" s="1605" t="s">
        <v>17</v>
      </c>
      <c r="E265" s="1605" t="s">
        <v>74</v>
      </c>
      <c r="F265" s="1605" t="s">
        <v>715</v>
      </c>
      <c r="G265" s="1605" t="s">
        <v>716</v>
      </c>
      <c r="H265" s="1605" t="s">
        <v>717</v>
      </c>
      <c r="I265" s="226" t="s">
        <v>67</v>
      </c>
      <c r="J265" s="1613" t="s">
        <v>713</v>
      </c>
      <c r="K265" s="1595"/>
      <c r="L265" s="1595"/>
      <c r="M265" s="26">
        <v>1000</v>
      </c>
      <c r="N265" s="1613">
        <v>1000</v>
      </c>
      <c r="O265" s="1613"/>
      <c r="P265" s="1613">
        <f t="shared" ref="P265:P266" si="89">N265-O265</f>
        <v>1000</v>
      </c>
      <c r="Q265" s="1595">
        <v>4400</v>
      </c>
      <c r="R265" s="1598">
        <f t="shared" ref="R265:R266" si="90">P265*Q265</f>
        <v>4400000</v>
      </c>
      <c r="S265" s="1589" t="s">
        <v>5</v>
      </c>
      <c r="T265" s="332"/>
    </row>
    <row r="266" spans="1:20" s="388" customFormat="1" ht="22.5" customHeight="1">
      <c r="A266" s="618">
        <f t="shared" si="88"/>
        <v>262</v>
      </c>
      <c r="B266" s="1608">
        <v>46191</v>
      </c>
      <c r="C266" s="1596" t="s">
        <v>34</v>
      </c>
      <c r="D266" s="1608" t="s">
        <v>17</v>
      </c>
      <c r="E266" s="1608" t="s">
        <v>74</v>
      </c>
      <c r="F266" s="1608" t="s">
        <v>715</v>
      </c>
      <c r="G266" s="1608" t="s">
        <v>716</v>
      </c>
      <c r="H266" s="1608" t="s">
        <v>717</v>
      </c>
      <c r="I266" s="502" t="s">
        <v>67</v>
      </c>
      <c r="J266" s="1603" t="s">
        <v>714</v>
      </c>
      <c r="K266" s="1596">
        <v>31850</v>
      </c>
      <c r="L266" s="1596">
        <v>34090</v>
      </c>
      <c r="M266" s="28">
        <f>L266-K266</f>
        <v>2240</v>
      </c>
      <c r="N266" s="1603">
        <v>2240</v>
      </c>
      <c r="O266" s="1603">
        <v>4</v>
      </c>
      <c r="P266" s="1603">
        <f t="shared" si="89"/>
        <v>2236</v>
      </c>
      <c r="Q266" s="1596">
        <v>3900</v>
      </c>
      <c r="R266" s="1604">
        <f t="shared" si="90"/>
        <v>8720400</v>
      </c>
      <c r="S266" s="1590" t="s">
        <v>5</v>
      </c>
      <c r="T266" s="332"/>
    </row>
    <row r="267" spans="1:20" s="388" customFormat="1" ht="22.5" customHeight="1">
      <c r="A267" s="542">
        <f t="shared" si="88"/>
        <v>263</v>
      </c>
      <c r="B267" s="1660">
        <v>46195</v>
      </c>
      <c r="C267" s="1668" t="s">
        <v>699</v>
      </c>
      <c r="D267" s="1668" t="s">
        <v>262</v>
      </c>
      <c r="E267" s="1660" t="s">
        <v>263</v>
      </c>
      <c r="F267" s="1660" t="s">
        <v>172</v>
      </c>
      <c r="G267" s="1660" t="s">
        <v>291</v>
      </c>
      <c r="H267" s="1660" t="s">
        <v>292</v>
      </c>
      <c r="I267" s="501" t="s">
        <v>37</v>
      </c>
      <c r="J267" s="1656" t="s">
        <v>123</v>
      </c>
      <c r="K267" s="1650">
        <v>14380</v>
      </c>
      <c r="L267" s="1650">
        <v>20910</v>
      </c>
      <c r="M267" s="23">
        <v>4640</v>
      </c>
      <c r="N267" s="934">
        <f>6490-390-1500-320</f>
        <v>4280</v>
      </c>
      <c r="O267" s="935">
        <v>12</v>
      </c>
      <c r="P267" s="934">
        <f>N267-O267</f>
        <v>4268</v>
      </c>
      <c r="Q267" s="1657">
        <v>2050</v>
      </c>
      <c r="R267" s="1657">
        <f>Q267*P267</f>
        <v>8749400</v>
      </c>
      <c r="S267" s="1645" t="s">
        <v>5</v>
      </c>
      <c r="T267" s="332"/>
    </row>
    <row r="268" spans="1:20" s="388" customFormat="1" ht="22.5" customHeight="1">
      <c r="A268" s="537">
        <f>ROW()-4</f>
        <v>264</v>
      </c>
      <c r="B268" s="1661">
        <v>46195</v>
      </c>
      <c r="C268" s="1664" t="s">
        <v>699</v>
      </c>
      <c r="D268" s="1664" t="s">
        <v>262</v>
      </c>
      <c r="E268" s="1661" t="s">
        <v>263</v>
      </c>
      <c r="F268" s="1661" t="s">
        <v>172</v>
      </c>
      <c r="G268" s="1661" t="s">
        <v>291</v>
      </c>
      <c r="H268" s="1661" t="s">
        <v>292</v>
      </c>
      <c r="I268" s="84" t="s">
        <v>37</v>
      </c>
      <c r="J268" s="1658" t="s">
        <v>60</v>
      </c>
      <c r="K268" s="1649"/>
      <c r="L268" s="1649"/>
      <c r="M268" s="58"/>
      <c r="N268" s="1359">
        <v>320</v>
      </c>
      <c r="O268" s="1360"/>
      <c r="P268" s="1359">
        <f>N268</f>
        <v>320</v>
      </c>
      <c r="Q268" s="1655">
        <v>250</v>
      </c>
      <c r="R268" s="1655">
        <f>Q268*P268</f>
        <v>80000</v>
      </c>
      <c r="S268" s="1646" t="s">
        <v>190</v>
      </c>
      <c r="T268" s="332"/>
    </row>
    <row r="269" spans="1:20" s="388" customFormat="1" ht="22.5" customHeight="1">
      <c r="A269" s="538">
        <f t="shared" si="88"/>
        <v>265</v>
      </c>
      <c r="B269" s="1659">
        <v>46195</v>
      </c>
      <c r="C269" s="1662" t="s">
        <v>578</v>
      </c>
      <c r="D269" s="1662" t="s">
        <v>262</v>
      </c>
      <c r="E269" s="1659" t="s">
        <v>263</v>
      </c>
      <c r="F269" s="1659" t="s">
        <v>172</v>
      </c>
      <c r="G269" s="1659" t="s">
        <v>291</v>
      </c>
      <c r="H269" s="1659" t="s">
        <v>292</v>
      </c>
      <c r="I269" s="226" t="s">
        <v>37</v>
      </c>
      <c r="J269" s="1665" t="s">
        <v>123</v>
      </c>
      <c r="K269" s="1651"/>
      <c r="L269" s="1651"/>
      <c r="M269" s="26">
        <v>390</v>
      </c>
      <c r="N269" s="936">
        <v>390</v>
      </c>
      <c r="O269" s="937"/>
      <c r="P269" s="936">
        <f>N269</f>
        <v>390</v>
      </c>
      <c r="Q269" s="1652">
        <v>2050</v>
      </c>
      <c r="R269" s="1652">
        <f>Q269*P269</f>
        <v>799500</v>
      </c>
      <c r="S269" s="1646" t="s">
        <v>190</v>
      </c>
      <c r="T269" s="332"/>
    </row>
    <row r="270" spans="1:20" s="388" customFormat="1" ht="22.5" customHeight="1">
      <c r="A270" s="538">
        <f t="shared" si="88"/>
        <v>266</v>
      </c>
      <c r="B270" s="1659">
        <v>46195</v>
      </c>
      <c r="C270" s="1662" t="s">
        <v>314</v>
      </c>
      <c r="D270" s="1662" t="s">
        <v>262</v>
      </c>
      <c r="E270" s="1659" t="s">
        <v>263</v>
      </c>
      <c r="F270" s="1659" t="s">
        <v>172</v>
      </c>
      <c r="G270" s="1659" t="s">
        <v>291</v>
      </c>
      <c r="H270" s="1659" t="s">
        <v>292</v>
      </c>
      <c r="I270" s="226" t="s">
        <v>37</v>
      </c>
      <c r="J270" s="1665" t="s">
        <v>123</v>
      </c>
      <c r="K270" s="1651"/>
      <c r="L270" s="1651"/>
      <c r="M270" s="26">
        <v>1000</v>
      </c>
      <c r="N270" s="936">
        <v>1000</v>
      </c>
      <c r="O270" s="937"/>
      <c r="P270" s="936">
        <f t="shared" ref="P270:P271" si="91">N270</f>
        <v>1000</v>
      </c>
      <c r="Q270" s="1652">
        <v>2050</v>
      </c>
      <c r="R270" s="1652">
        <f t="shared" ref="R270:R271" si="92">Q270*P270</f>
        <v>2050000</v>
      </c>
      <c r="S270" s="1646" t="s">
        <v>190</v>
      </c>
      <c r="T270" s="332"/>
    </row>
    <row r="271" spans="1:20" s="388" customFormat="1" ht="22.5" customHeight="1">
      <c r="A271" s="541">
        <f t="shared" si="88"/>
        <v>267</v>
      </c>
      <c r="B271" s="1659">
        <v>46195</v>
      </c>
      <c r="C271" s="1662" t="s">
        <v>264</v>
      </c>
      <c r="D271" s="1662" t="s">
        <v>262</v>
      </c>
      <c r="E271" s="1659" t="s">
        <v>263</v>
      </c>
      <c r="F271" s="1659" t="s">
        <v>172</v>
      </c>
      <c r="G271" s="1659" t="s">
        <v>291</v>
      </c>
      <c r="H271" s="1659" t="s">
        <v>292</v>
      </c>
      <c r="I271" s="226" t="s">
        <v>37</v>
      </c>
      <c r="J271" s="1665" t="s">
        <v>123</v>
      </c>
      <c r="K271" s="1651"/>
      <c r="L271" s="1651"/>
      <c r="M271" s="26">
        <v>500</v>
      </c>
      <c r="N271" s="936">
        <v>500</v>
      </c>
      <c r="O271" s="937"/>
      <c r="P271" s="936">
        <f t="shared" si="91"/>
        <v>500</v>
      </c>
      <c r="Q271" s="1652">
        <v>2050</v>
      </c>
      <c r="R271" s="1652">
        <f t="shared" si="92"/>
        <v>1025000</v>
      </c>
      <c r="S271" s="1646" t="s">
        <v>190</v>
      </c>
      <c r="T271" s="332"/>
    </row>
    <row r="272" spans="1:20" s="388" customFormat="1" ht="22.5" customHeight="1">
      <c r="A272" s="542">
        <f t="shared" si="88"/>
        <v>268</v>
      </c>
      <c r="B272" s="1668">
        <v>46195</v>
      </c>
      <c r="C272" s="1666" t="s">
        <v>699</v>
      </c>
      <c r="D272" s="1668" t="s">
        <v>262</v>
      </c>
      <c r="E272" s="138" t="s">
        <v>263</v>
      </c>
      <c r="F272" s="1670" t="s">
        <v>172</v>
      </c>
      <c r="G272" s="1670" t="s">
        <v>291</v>
      </c>
      <c r="H272" s="1670" t="s">
        <v>292</v>
      </c>
      <c r="I272" s="1645" t="s">
        <v>75</v>
      </c>
      <c r="J272" s="1670" t="s">
        <v>119</v>
      </c>
      <c r="K272" s="1666">
        <v>14440</v>
      </c>
      <c r="L272" s="1666">
        <v>20850</v>
      </c>
      <c r="M272" s="249">
        <f t="shared" ref="M272" si="93">L272-K272</f>
        <v>6410</v>
      </c>
      <c r="N272" s="320">
        <v>6440</v>
      </c>
      <c r="O272" s="320"/>
      <c r="P272" s="320">
        <v>6440</v>
      </c>
      <c r="Q272" s="137">
        <v>490</v>
      </c>
      <c r="R272" s="137">
        <f>P272*Q272</f>
        <v>3155600</v>
      </c>
      <c r="S272" s="1645" t="s">
        <v>5</v>
      </c>
      <c r="T272" s="332"/>
    </row>
    <row r="273" spans="1:20" s="388" customFormat="1" ht="22.5" customHeight="1">
      <c r="A273" s="541">
        <f t="shared" si="88"/>
        <v>269</v>
      </c>
      <c r="B273" s="1662">
        <v>46195</v>
      </c>
      <c r="C273" s="1667" t="s">
        <v>699</v>
      </c>
      <c r="D273" s="1664" t="s">
        <v>17</v>
      </c>
      <c r="E273" s="1671" t="s">
        <v>46</v>
      </c>
      <c r="F273" s="1663" t="s">
        <v>33</v>
      </c>
      <c r="G273" s="1663"/>
      <c r="H273" s="1663"/>
      <c r="I273" s="1648" t="s">
        <v>75</v>
      </c>
      <c r="J273" s="1663" t="s">
        <v>236</v>
      </c>
      <c r="K273" s="676">
        <v>13890</v>
      </c>
      <c r="L273" s="676">
        <v>22920</v>
      </c>
      <c r="M273" s="1643">
        <f>L273-K273</f>
        <v>9030</v>
      </c>
      <c r="N273" s="1654">
        <v>8970</v>
      </c>
      <c r="O273" s="1654"/>
      <c r="P273" s="1654">
        <f>N273</f>
        <v>8970</v>
      </c>
      <c r="Q273" s="468">
        <v>470</v>
      </c>
      <c r="R273" s="468">
        <f>Q273*P273</f>
        <v>4215900</v>
      </c>
      <c r="S273" s="1648" t="s">
        <v>5</v>
      </c>
      <c r="T273" s="332"/>
    </row>
    <row r="274" spans="1:20" s="388" customFormat="1" ht="22.5" customHeight="1">
      <c r="A274" s="540">
        <f t="shared" si="88"/>
        <v>270</v>
      </c>
      <c r="B274" s="227">
        <v>46195</v>
      </c>
      <c r="C274" s="133" t="s">
        <v>699</v>
      </c>
      <c r="D274" s="227" t="s">
        <v>262</v>
      </c>
      <c r="E274" s="132" t="s">
        <v>263</v>
      </c>
      <c r="F274" s="1669" t="s">
        <v>53</v>
      </c>
      <c r="G274" s="1669" t="s">
        <v>291</v>
      </c>
      <c r="H274" s="1669" t="s">
        <v>292</v>
      </c>
      <c r="I274" s="1647" t="s">
        <v>112</v>
      </c>
      <c r="J274" s="1669" t="s">
        <v>272</v>
      </c>
      <c r="K274" s="133">
        <v>14380</v>
      </c>
      <c r="L274" s="133">
        <v>17630</v>
      </c>
      <c r="M274" s="384">
        <f t="shared" ref="M274:M275" si="94">L274-K274</f>
        <v>3250</v>
      </c>
      <c r="N274" s="1653"/>
      <c r="O274" s="1653"/>
      <c r="P274" s="1653">
        <f t="shared" ref="P274" si="95">M274</f>
        <v>3250</v>
      </c>
      <c r="Q274" s="256">
        <v>510</v>
      </c>
      <c r="R274" s="256">
        <f t="shared" ref="R274:R275" si="96">Q274*P274</f>
        <v>1657500</v>
      </c>
      <c r="S274" s="1647" t="s">
        <v>5</v>
      </c>
      <c r="T274" s="332"/>
    </row>
    <row r="275" spans="1:20" s="388" customFormat="1" ht="22.5" customHeight="1">
      <c r="A275" s="1300">
        <f t="shared" si="88"/>
        <v>271</v>
      </c>
      <c r="B275" s="143">
        <v>46195</v>
      </c>
      <c r="C275" s="124" t="s">
        <v>344</v>
      </c>
      <c r="D275" s="143" t="s">
        <v>6</v>
      </c>
      <c r="E275" s="144" t="s">
        <v>74</v>
      </c>
      <c r="F275" s="204" t="s">
        <v>732</v>
      </c>
      <c r="G275" s="204"/>
      <c r="H275" s="204"/>
      <c r="I275" s="508" t="s">
        <v>54</v>
      </c>
      <c r="J275" s="204" t="s">
        <v>133</v>
      </c>
      <c r="K275" s="124">
        <v>18360</v>
      </c>
      <c r="L275" s="124">
        <v>36820</v>
      </c>
      <c r="M275" s="272">
        <f t="shared" si="94"/>
        <v>18460</v>
      </c>
      <c r="N275" s="145">
        <v>18460</v>
      </c>
      <c r="O275" s="145">
        <v>200</v>
      </c>
      <c r="P275" s="145">
        <f>N275-O275</f>
        <v>18260</v>
      </c>
      <c r="Q275" s="146">
        <v>490</v>
      </c>
      <c r="R275" s="146">
        <f t="shared" si="96"/>
        <v>8947400</v>
      </c>
      <c r="S275" s="508" t="s">
        <v>5</v>
      </c>
      <c r="T275" s="332"/>
    </row>
    <row r="276" spans="1:20" s="388" customFormat="1" ht="22.5" customHeight="1">
      <c r="A276" s="543">
        <f t="shared" ref="A276:A282" si="97">ROW()-4</f>
        <v>272</v>
      </c>
      <c r="B276" s="87">
        <v>46196</v>
      </c>
      <c r="C276" s="90" t="s">
        <v>34</v>
      </c>
      <c r="D276" s="90" t="s">
        <v>17</v>
      </c>
      <c r="E276" s="90" t="s">
        <v>182</v>
      </c>
      <c r="F276" s="204" t="s">
        <v>16</v>
      </c>
      <c r="G276" s="204" t="s">
        <v>736</v>
      </c>
      <c r="H276" s="204" t="s">
        <v>737</v>
      </c>
      <c r="I276" s="88" t="s">
        <v>211</v>
      </c>
      <c r="J276" s="89" t="s">
        <v>212</v>
      </c>
      <c r="K276" s="90">
        <v>8030</v>
      </c>
      <c r="L276" s="90">
        <v>9110</v>
      </c>
      <c r="M276" s="91">
        <f>L276-K276</f>
        <v>1080</v>
      </c>
      <c r="N276" s="89"/>
      <c r="O276" s="89"/>
      <c r="P276" s="89">
        <f>M276</f>
        <v>1080</v>
      </c>
      <c r="Q276" s="92">
        <v>230</v>
      </c>
      <c r="R276" s="92">
        <f t="shared" ref="R276" si="98">P276*Q276</f>
        <v>248400</v>
      </c>
      <c r="S276" s="508" t="s">
        <v>5</v>
      </c>
      <c r="T276" s="332"/>
    </row>
    <row r="277" spans="1:20" s="388" customFormat="1" ht="22.5" customHeight="1">
      <c r="A277" s="616">
        <f>ROW()-4</f>
        <v>273</v>
      </c>
      <c r="B277" s="1880">
        <v>46198</v>
      </c>
      <c r="C277" s="1857" t="s">
        <v>34</v>
      </c>
      <c r="D277" s="1880" t="s">
        <v>17</v>
      </c>
      <c r="E277" s="1880" t="s">
        <v>46</v>
      </c>
      <c r="F277" s="1880" t="s">
        <v>53</v>
      </c>
      <c r="G277" s="1880"/>
      <c r="H277" s="1880"/>
      <c r="I277" s="84" t="s">
        <v>175</v>
      </c>
      <c r="J277" s="1870" t="s">
        <v>773</v>
      </c>
      <c r="K277" s="1857">
        <v>14200</v>
      </c>
      <c r="L277" s="1857">
        <v>21550</v>
      </c>
      <c r="M277" s="58">
        <f>L277-K277</f>
        <v>7350</v>
      </c>
      <c r="N277" s="1870">
        <v>7350</v>
      </c>
      <c r="O277" s="1870">
        <v>26</v>
      </c>
      <c r="P277" s="1870">
        <f t="shared" ref="P277" si="99">N277-O277</f>
        <v>7324</v>
      </c>
      <c r="Q277" s="1857">
        <v>4300</v>
      </c>
      <c r="R277" s="1863">
        <f>Q277*P277</f>
        <v>31493200</v>
      </c>
      <c r="S277" s="1849" t="s">
        <v>5</v>
      </c>
      <c r="T277" s="332"/>
    </row>
    <row r="278" spans="1:20" s="388" customFormat="1" ht="22.5" customHeight="1">
      <c r="A278" s="612">
        <f t="shared" si="97"/>
        <v>274</v>
      </c>
      <c r="B278" s="1816">
        <v>46202</v>
      </c>
      <c r="C278" s="1814" t="s">
        <v>699</v>
      </c>
      <c r="D278" s="1816" t="s">
        <v>262</v>
      </c>
      <c r="E278" s="138" t="s">
        <v>263</v>
      </c>
      <c r="F278" s="1818" t="s">
        <v>172</v>
      </c>
      <c r="G278" s="1818" t="s">
        <v>281</v>
      </c>
      <c r="H278" s="1818" t="s">
        <v>282</v>
      </c>
      <c r="I278" s="1794" t="s">
        <v>75</v>
      </c>
      <c r="J278" s="1818" t="s">
        <v>246</v>
      </c>
      <c r="K278" s="1814">
        <v>14080</v>
      </c>
      <c r="L278" s="1814">
        <v>19900</v>
      </c>
      <c r="M278" s="249">
        <f t="shared" ref="M278:M279" si="100">L278-K278</f>
        <v>5820</v>
      </c>
      <c r="N278" s="320">
        <v>5750</v>
      </c>
      <c r="O278" s="320"/>
      <c r="P278" s="320">
        <f t="shared" ref="P278:P279" si="101">N278</f>
        <v>5750</v>
      </c>
      <c r="Q278" s="137">
        <v>490</v>
      </c>
      <c r="R278" s="137">
        <f>Q278*P278</f>
        <v>2817500</v>
      </c>
      <c r="S278" s="1794" t="s">
        <v>5</v>
      </c>
      <c r="T278" s="332"/>
    </row>
    <row r="279" spans="1:20" s="388" customFormat="1" ht="22.5" customHeight="1">
      <c r="A279" s="617">
        <f t="shared" si="97"/>
        <v>275</v>
      </c>
      <c r="B279" s="1810">
        <v>46202</v>
      </c>
      <c r="C279" s="1815" t="s">
        <v>699</v>
      </c>
      <c r="D279" s="1810" t="s">
        <v>262</v>
      </c>
      <c r="E279" s="128" t="s">
        <v>263</v>
      </c>
      <c r="F279" s="1812" t="s">
        <v>172</v>
      </c>
      <c r="G279" s="1812" t="s">
        <v>281</v>
      </c>
      <c r="H279" s="1812" t="s">
        <v>282</v>
      </c>
      <c r="I279" s="1795" t="s">
        <v>75</v>
      </c>
      <c r="J279" s="1812" t="s">
        <v>246</v>
      </c>
      <c r="K279" s="1815">
        <v>14440</v>
      </c>
      <c r="L279" s="1815">
        <v>19780</v>
      </c>
      <c r="M279" s="250">
        <f t="shared" si="100"/>
        <v>5340</v>
      </c>
      <c r="N279" s="1803">
        <v>5290</v>
      </c>
      <c r="O279" s="1803"/>
      <c r="P279" s="1803">
        <f t="shared" si="101"/>
        <v>5290</v>
      </c>
      <c r="Q279" s="1811">
        <v>490</v>
      </c>
      <c r="R279" s="1811">
        <f>Q279*P279</f>
        <v>2592100</v>
      </c>
      <c r="S279" s="1795" t="s">
        <v>5</v>
      </c>
      <c r="T279" s="332"/>
    </row>
    <row r="280" spans="1:20" s="388" customFormat="1" ht="22.5" customHeight="1">
      <c r="A280" s="617">
        <f t="shared" si="97"/>
        <v>276</v>
      </c>
      <c r="B280" s="1806">
        <v>46202</v>
      </c>
      <c r="C280" s="1810" t="s">
        <v>699</v>
      </c>
      <c r="D280" s="1810" t="s">
        <v>262</v>
      </c>
      <c r="E280" s="1806" t="s">
        <v>239</v>
      </c>
      <c r="F280" s="1806" t="s">
        <v>235</v>
      </c>
      <c r="G280" s="1806" t="s">
        <v>281</v>
      </c>
      <c r="H280" s="1806" t="s">
        <v>282</v>
      </c>
      <c r="I280" s="226" t="s">
        <v>37</v>
      </c>
      <c r="J280" s="1813" t="s">
        <v>123</v>
      </c>
      <c r="K280" s="1799">
        <v>20390</v>
      </c>
      <c r="L280" s="1799">
        <v>27080</v>
      </c>
      <c r="M280" s="26">
        <f>L280-K280-2070-170</f>
        <v>4450</v>
      </c>
      <c r="N280" s="936">
        <v>4450</v>
      </c>
      <c r="O280" s="937">
        <v>9</v>
      </c>
      <c r="P280" s="936">
        <f>N280-O280</f>
        <v>4441</v>
      </c>
      <c r="Q280" s="1801">
        <v>2050</v>
      </c>
      <c r="R280" s="1801">
        <f t="shared" ref="R280:R282" si="102">Q280*P280</f>
        <v>9104050</v>
      </c>
      <c r="S280" s="1795" t="s">
        <v>5</v>
      </c>
      <c r="T280" s="332"/>
    </row>
    <row r="281" spans="1:20" s="388" customFormat="1" ht="22.5" customHeight="1">
      <c r="A281" s="617">
        <f t="shared" si="97"/>
        <v>277</v>
      </c>
      <c r="B281" s="1806">
        <v>46202</v>
      </c>
      <c r="C281" s="1810" t="s">
        <v>245</v>
      </c>
      <c r="D281" s="1810" t="s">
        <v>262</v>
      </c>
      <c r="E281" s="1806" t="s">
        <v>239</v>
      </c>
      <c r="F281" s="1806" t="s">
        <v>235</v>
      </c>
      <c r="G281" s="1806" t="s">
        <v>281</v>
      </c>
      <c r="H281" s="1806" t="s">
        <v>282</v>
      </c>
      <c r="I281" s="226" t="s">
        <v>37</v>
      </c>
      <c r="J281" s="1813" t="s">
        <v>123</v>
      </c>
      <c r="K281" s="1799"/>
      <c r="L281" s="1799"/>
      <c r="M281" s="26">
        <v>2070</v>
      </c>
      <c r="N281" s="936">
        <v>2070</v>
      </c>
      <c r="O281" s="937"/>
      <c r="P281" s="936">
        <f>N281</f>
        <v>2070</v>
      </c>
      <c r="Q281" s="1801">
        <v>2050</v>
      </c>
      <c r="R281" s="1801">
        <f t="shared" si="102"/>
        <v>4243500</v>
      </c>
      <c r="S281" s="1795" t="s">
        <v>5</v>
      </c>
      <c r="T281" s="332"/>
    </row>
    <row r="282" spans="1:20" s="388" customFormat="1" ht="22.5" customHeight="1">
      <c r="A282" s="618">
        <f t="shared" si="97"/>
        <v>278</v>
      </c>
      <c r="B282" s="1807">
        <v>46202</v>
      </c>
      <c r="C282" s="1817" t="s">
        <v>578</v>
      </c>
      <c r="D282" s="1817" t="s">
        <v>262</v>
      </c>
      <c r="E282" s="1807" t="s">
        <v>239</v>
      </c>
      <c r="F282" s="1807" t="s">
        <v>235</v>
      </c>
      <c r="G282" s="1807" t="s">
        <v>281</v>
      </c>
      <c r="H282" s="1807" t="s">
        <v>282</v>
      </c>
      <c r="I282" s="502" t="s">
        <v>37</v>
      </c>
      <c r="J282" s="1804" t="s">
        <v>35</v>
      </c>
      <c r="K282" s="1800"/>
      <c r="L282" s="1800"/>
      <c r="M282" s="28">
        <v>170</v>
      </c>
      <c r="N282" s="941">
        <v>170</v>
      </c>
      <c r="O282" s="942"/>
      <c r="P282" s="941">
        <f>N282</f>
        <v>170</v>
      </c>
      <c r="Q282" s="1805">
        <v>2050</v>
      </c>
      <c r="R282" s="1805">
        <f t="shared" si="102"/>
        <v>348500</v>
      </c>
      <c r="S282" s="1796" t="s">
        <v>5</v>
      </c>
      <c r="T282" s="332"/>
    </row>
    <row r="283" spans="1:20" s="388" customFormat="1" ht="22.5" customHeight="1">
      <c r="A283" s="612">
        <f t="shared" ref="A283:A286" si="103">ROW()-4</f>
        <v>279</v>
      </c>
      <c r="B283" s="1829">
        <v>46203</v>
      </c>
      <c r="C283" s="1820" t="s">
        <v>712</v>
      </c>
      <c r="D283" s="1829" t="s">
        <v>262</v>
      </c>
      <c r="E283" s="1829" t="s">
        <v>274</v>
      </c>
      <c r="F283" s="1829" t="s">
        <v>759</v>
      </c>
      <c r="G283" s="1829" t="s">
        <v>760</v>
      </c>
      <c r="H283" s="1829" t="s">
        <v>761</v>
      </c>
      <c r="I283" s="501" t="s">
        <v>157</v>
      </c>
      <c r="J283" s="1826" t="s">
        <v>762</v>
      </c>
      <c r="K283" s="1820"/>
      <c r="L283" s="1820"/>
      <c r="M283" s="23">
        <v>1392</v>
      </c>
      <c r="N283" s="1826">
        <v>1392</v>
      </c>
      <c r="O283" s="1826"/>
      <c r="P283" s="1826">
        <f>N283-O283</f>
        <v>1392</v>
      </c>
      <c r="Q283" s="1820">
        <v>4500</v>
      </c>
      <c r="R283" s="1827">
        <f>P283*Q283</f>
        <v>6264000</v>
      </c>
      <c r="S283" s="1822" t="s">
        <v>5</v>
      </c>
      <c r="T283" s="332"/>
    </row>
    <row r="284" spans="1:20" s="388" customFormat="1" ht="22.5" customHeight="1">
      <c r="A284" s="617">
        <f t="shared" si="103"/>
        <v>280</v>
      </c>
      <c r="B284" s="1830">
        <v>46203</v>
      </c>
      <c r="C284" s="1819" t="s">
        <v>699</v>
      </c>
      <c r="D284" s="1830" t="s">
        <v>262</v>
      </c>
      <c r="E284" s="1830" t="s">
        <v>274</v>
      </c>
      <c r="F284" s="1830" t="s">
        <v>759</v>
      </c>
      <c r="G284" s="1830" t="s">
        <v>760</v>
      </c>
      <c r="H284" s="1830" t="s">
        <v>761</v>
      </c>
      <c r="I284" s="226" t="s">
        <v>157</v>
      </c>
      <c r="J284" s="1836" t="s">
        <v>762</v>
      </c>
      <c r="K284" s="1819">
        <v>8550</v>
      </c>
      <c r="L284" s="1819">
        <v>14280</v>
      </c>
      <c r="M284" s="26">
        <f>L284-K284-1392</f>
        <v>4338</v>
      </c>
      <c r="N284" s="1836">
        <v>4338</v>
      </c>
      <c r="O284" s="1836">
        <v>30</v>
      </c>
      <c r="P284" s="1836">
        <f t="shared" ref="P284:P285" si="104">N284-O284</f>
        <v>4308</v>
      </c>
      <c r="Q284" s="1819">
        <v>4500</v>
      </c>
      <c r="R284" s="1821">
        <f t="shared" ref="R284:R285" si="105">P284*Q284</f>
        <v>19386000</v>
      </c>
      <c r="S284" s="1823" t="s">
        <v>5</v>
      </c>
      <c r="T284" s="332"/>
    </row>
    <row r="285" spans="1:20" s="388" customFormat="1" ht="22.5" customHeight="1">
      <c r="A285" s="617">
        <f t="shared" si="103"/>
        <v>281</v>
      </c>
      <c r="B285" s="1830">
        <v>46203</v>
      </c>
      <c r="C285" s="1819" t="s">
        <v>699</v>
      </c>
      <c r="D285" s="1830" t="s">
        <v>262</v>
      </c>
      <c r="E285" s="1830" t="s">
        <v>263</v>
      </c>
      <c r="F285" s="1830" t="s">
        <v>167</v>
      </c>
      <c r="G285" s="1830" t="s">
        <v>269</v>
      </c>
      <c r="H285" s="1830" t="s">
        <v>270</v>
      </c>
      <c r="I285" s="226" t="s">
        <v>157</v>
      </c>
      <c r="J285" s="1836" t="s">
        <v>763</v>
      </c>
      <c r="K285" s="1819">
        <v>13360</v>
      </c>
      <c r="L285" s="1819">
        <v>20570</v>
      </c>
      <c r="M285" s="26">
        <v>7210</v>
      </c>
      <c r="N285" s="1836">
        <v>7210</v>
      </c>
      <c r="O285" s="1836">
        <v>10</v>
      </c>
      <c r="P285" s="1836">
        <f t="shared" si="104"/>
        <v>7200</v>
      </c>
      <c r="Q285" s="1819">
        <v>4100</v>
      </c>
      <c r="R285" s="1821">
        <f t="shared" si="105"/>
        <v>29520000</v>
      </c>
      <c r="S285" s="1823" t="s">
        <v>5</v>
      </c>
      <c r="T285" s="332"/>
    </row>
    <row r="286" spans="1:20" s="388" customFormat="1" ht="22.5" customHeight="1">
      <c r="A286" s="618">
        <f t="shared" si="103"/>
        <v>282</v>
      </c>
      <c r="B286" s="1839">
        <v>46203</v>
      </c>
      <c r="C286" s="202" t="s">
        <v>344</v>
      </c>
      <c r="D286" s="1839" t="s">
        <v>6</v>
      </c>
      <c r="E286" s="129" t="s">
        <v>74</v>
      </c>
      <c r="F286" s="1841" t="s">
        <v>766</v>
      </c>
      <c r="G286" s="1841"/>
      <c r="H286" s="1841"/>
      <c r="I286" s="1825" t="s">
        <v>54</v>
      </c>
      <c r="J286" s="1841" t="s">
        <v>133</v>
      </c>
      <c r="K286" s="202">
        <v>18220</v>
      </c>
      <c r="L286" s="202">
        <v>35800</v>
      </c>
      <c r="M286" s="257">
        <f t="shared" ref="M286" si="106">L286-K286</f>
        <v>17580</v>
      </c>
      <c r="N286" s="1834">
        <v>17580</v>
      </c>
      <c r="O286" s="1834"/>
      <c r="P286" s="1834">
        <f>N286</f>
        <v>17580</v>
      </c>
      <c r="Q286" s="1835">
        <v>490</v>
      </c>
      <c r="R286" s="1835">
        <f t="shared" ref="R286" si="107">Q286*P286</f>
        <v>8614200</v>
      </c>
      <c r="S286" s="1825" t="s">
        <v>5</v>
      </c>
      <c r="T286" s="332"/>
    </row>
    <row r="287" spans="1:20" ht="21.75" customHeight="1">
      <c r="A287" s="543">
        <f t="shared" si="8"/>
        <v>283</v>
      </c>
      <c r="B287" s="334"/>
      <c r="C287" s="472"/>
      <c r="D287" s="324"/>
      <c r="E287" s="324"/>
      <c r="F287" s="100"/>
      <c r="G287" s="100"/>
      <c r="H287" s="100"/>
      <c r="I287" s="100"/>
      <c r="J287" s="472"/>
      <c r="K287" s="472"/>
      <c r="L287" s="474"/>
      <c r="M287" s="53"/>
      <c r="N287" s="472"/>
      <c r="O287" s="474"/>
      <c r="P287" s="474"/>
      <c r="Q287" s="474"/>
      <c r="R287" s="270"/>
      <c r="S287" s="268"/>
      <c r="T287" s="333"/>
    </row>
    <row r="288" spans="1:20" ht="21.95" customHeight="1" thickBot="1">
      <c r="B288" s="241"/>
      <c r="C288" s="7"/>
      <c r="D288" s="20"/>
      <c r="E288" s="4"/>
      <c r="F288" s="5"/>
      <c r="G288" s="5"/>
      <c r="H288" s="5"/>
      <c r="I288" s="5"/>
      <c r="J288" s="7"/>
      <c r="K288" s="7"/>
      <c r="L288" s="7"/>
      <c r="M288" s="7"/>
      <c r="N288" s="7"/>
      <c r="O288" s="6"/>
      <c r="P288" s="6"/>
      <c r="Q288" s="5"/>
      <c r="R288" s="5"/>
      <c r="S288" s="5"/>
    </row>
    <row r="289" spans="2:19" ht="36.75" customHeight="1" thickBot="1">
      <c r="B289" s="241"/>
      <c r="C289" s="7"/>
      <c r="D289" s="20"/>
      <c r="E289" s="4"/>
      <c r="F289" s="5"/>
      <c r="G289" s="5"/>
      <c r="H289" s="5"/>
      <c r="I289" s="5"/>
      <c r="J289" s="7"/>
      <c r="M289" s="779" t="s">
        <v>778</v>
      </c>
      <c r="N289" s="1974">
        <f>SUM(M283:M287)</f>
        <v>30520</v>
      </c>
      <c r="O289" s="1975"/>
      <c r="Q289" s="780" t="s">
        <v>779</v>
      </c>
      <c r="R289" s="1976">
        <f>SUM(R283:R287)</f>
        <v>63784200</v>
      </c>
      <c r="S289" s="1977"/>
    </row>
    <row r="290" spans="2:19" ht="30" customHeight="1">
      <c r="B290" s="241"/>
      <c r="C290" s="241"/>
      <c r="D290" s="4"/>
      <c r="E290" s="10"/>
      <c r="I290" s="2"/>
      <c r="K290" s="10"/>
      <c r="L290" s="10"/>
      <c r="M290" s="10"/>
      <c r="N290" s="10"/>
    </row>
    <row r="291" spans="2:19" ht="30" hidden="1" customHeight="1">
      <c r="B291" s="241"/>
      <c r="D291" s="4"/>
      <c r="E291" s="4"/>
      <c r="L291" s="7"/>
      <c r="M291" s="7"/>
      <c r="N291" s="7"/>
      <c r="O291" s="7"/>
      <c r="P291" s="5"/>
      <c r="Q291" s="12"/>
      <c r="R291" s="13"/>
      <c r="S291" s="231"/>
    </row>
    <row r="292" spans="2:19" ht="30" hidden="1" customHeight="1" thickBot="1">
      <c r="B292" s="241"/>
      <c r="C292" s="241"/>
      <c r="D292" s="4"/>
      <c r="E292" s="4"/>
      <c r="F292" s="576"/>
      <c r="G292" s="576"/>
      <c r="H292" s="576"/>
      <c r="I292" s="576"/>
      <c r="J292" s="576"/>
      <c r="K292" s="81"/>
      <c r="L292" s="7"/>
      <c r="M292" s="148" t="s">
        <v>374</v>
      </c>
      <c r="N292" s="149"/>
      <c r="O292" s="149"/>
      <c r="Q292" s="149"/>
      <c r="R292" s="316">
        <v>46147</v>
      </c>
      <c r="S292" s="5"/>
    </row>
    <row r="293" spans="2:19" ht="30" hidden="1" customHeight="1">
      <c r="B293" s="241"/>
      <c r="C293" s="241"/>
      <c r="D293" s="4"/>
      <c r="E293" s="4"/>
      <c r="F293" s="82"/>
      <c r="G293" s="1971"/>
      <c r="H293" s="1971"/>
      <c r="I293" s="577"/>
      <c r="J293" s="577"/>
      <c r="K293" s="82"/>
      <c r="L293" s="7"/>
      <c r="M293" s="259" t="s">
        <v>27</v>
      </c>
      <c r="N293" s="260" t="s">
        <v>28</v>
      </c>
      <c r="O293" s="261" t="s">
        <v>226</v>
      </c>
      <c r="P293" s="260" t="s">
        <v>287</v>
      </c>
      <c r="Q293" s="1972" t="s">
        <v>11</v>
      </c>
      <c r="R293" s="1973"/>
      <c r="S293" s="5"/>
    </row>
    <row r="294" spans="2:19" ht="21.95" hidden="1" customHeight="1">
      <c r="B294" s="241"/>
      <c r="C294" s="241"/>
      <c r="D294" s="4"/>
      <c r="E294" s="4"/>
      <c r="F294" s="82"/>
      <c r="G294" s="1965"/>
      <c r="H294" s="1965"/>
      <c r="I294" s="578"/>
      <c r="J294" s="578"/>
      <c r="K294" s="572"/>
      <c r="L294" s="7"/>
      <c r="M294" s="160" t="s">
        <v>30</v>
      </c>
      <c r="N294" s="161">
        <v>15010</v>
      </c>
      <c r="O294" s="210">
        <f ca="1">SUMIF($C$4:$M$287,"듀폰3공장",$M$4:$M$287)</f>
        <v>5982</v>
      </c>
      <c r="P294" s="258">
        <f ca="1">N294-O294</f>
        <v>9028</v>
      </c>
      <c r="Q294" s="1953" t="s">
        <v>170</v>
      </c>
      <c r="R294" s="1954"/>
    </row>
    <row r="295" spans="2:19" ht="21.95" hidden="1" customHeight="1">
      <c r="B295" s="241"/>
      <c r="C295" s="241"/>
      <c r="D295" s="4"/>
      <c r="E295" s="4"/>
      <c r="F295" s="82"/>
      <c r="G295" s="1965"/>
      <c r="H295" s="1965"/>
      <c r="I295" s="578"/>
      <c r="J295" s="578"/>
      <c r="K295" s="572"/>
      <c r="L295" s="7"/>
      <c r="M295" s="158" t="s">
        <v>174</v>
      </c>
      <c r="N295" s="159">
        <v>738380</v>
      </c>
      <c r="O295" s="210">
        <f ca="1">SUMIF($C$4:$M$287,"삼성물산",$M$4:$M$287)</f>
        <v>1840</v>
      </c>
      <c r="P295" s="258">
        <f ca="1">N295-O295</f>
        <v>736540</v>
      </c>
      <c r="Q295" s="1953" t="s">
        <v>176</v>
      </c>
      <c r="R295" s="1954"/>
    </row>
    <row r="296" spans="2:19" ht="21.95" hidden="1" customHeight="1">
      <c r="B296" s="241"/>
      <c r="C296" s="241"/>
      <c r="D296" s="4"/>
      <c r="E296" s="4"/>
      <c r="F296" s="82"/>
      <c r="G296" s="1965"/>
      <c r="H296" s="1965"/>
      <c r="I296" s="578"/>
      <c r="J296" s="578"/>
      <c r="K296" s="572"/>
      <c r="L296" s="7"/>
      <c r="M296" s="158" t="s">
        <v>166</v>
      </c>
      <c r="N296" s="159">
        <v>8690</v>
      </c>
      <c r="O296" s="210">
        <f ca="1">SUMIF($C$4:$M$287,"신안산업개발",$M$4:$M$287)</f>
        <v>0</v>
      </c>
      <c r="P296" s="258">
        <f t="shared" ref="P296:P318" ca="1" si="108">N296-O296</f>
        <v>8690</v>
      </c>
      <c r="Q296" s="1953" t="s">
        <v>171</v>
      </c>
      <c r="R296" s="1954"/>
    </row>
    <row r="297" spans="2:19" ht="21.95" hidden="1" customHeight="1">
      <c r="B297" s="241"/>
      <c r="C297" s="241"/>
      <c r="D297" s="4"/>
      <c r="E297" s="4"/>
      <c r="F297" s="82"/>
      <c r="G297" s="1965"/>
      <c r="H297" s="1965"/>
      <c r="I297" s="578"/>
      <c r="J297" s="578"/>
      <c r="K297" s="572"/>
      <c r="L297" s="7"/>
      <c r="M297" s="167" t="s">
        <v>181</v>
      </c>
      <c r="N297" s="159">
        <v>467210</v>
      </c>
      <c r="O297" s="210">
        <f ca="1">SUMIF($C$4:$M$287,"안산공장",$M$4:$M$287)</f>
        <v>0</v>
      </c>
      <c r="P297" s="258">
        <f t="shared" ca="1" si="108"/>
        <v>467210</v>
      </c>
      <c r="Q297" s="1953" t="s">
        <v>193</v>
      </c>
      <c r="R297" s="1954"/>
    </row>
    <row r="298" spans="2:19" ht="21.95" hidden="1" customHeight="1">
      <c r="B298" s="241"/>
      <c r="C298" s="241"/>
      <c r="D298" s="4"/>
      <c r="E298" s="4"/>
      <c r="F298" s="82"/>
      <c r="G298" s="1965"/>
      <c r="H298" s="1965"/>
      <c r="I298" s="579"/>
      <c r="J298" s="579"/>
      <c r="K298" s="572"/>
      <c r="L298" s="7"/>
      <c r="M298" s="160" t="s">
        <v>201</v>
      </c>
      <c r="N298" s="161">
        <v>760</v>
      </c>
      <c r="O298" s="210">
        <v>0</v>
      </c>
      <c r="P298" s="258"/>
      <c r="Q298" s="1955" t="s">
        <v>200</v>
      </c>
      <c r="R298" s="1956"/>
      <c r="S298" s="5"/>
    </row>
    <row r="299" spans="2:19" ht="21.75" hidden="1" customHeight="1">
      <c r="B299" s="241"/>
      <c r="C299" s="241"/>
      <c r="D299" s="4"/>
      <c r="E299" s="4"/>
      <c r="F299" s="82"/>
      <c r="G299" s="1965"/>
      <c r="H299" s="1965"/>
      <c r="I299" s="579"/>
      <c r="J299" s="579"/>
      <c r="K299" s="572"/>
      <c r="L299" s="7"/>
      <c r="M299" s="181" t="s">
        <v>204</v>
      </c>
      <c r="N299" s="161">
        <v>105640</v>
      </c>
      <c r="O299" s="210">
        <f ca="1">SUMIF($C$4:$M$287,"sk하이닉스",$M$4:$M$287)</f>
        <v>0</v>
      </c>
      <c r="P299" s="258">
        <f t="shared" ca="1" si="108"/>
        <v>105640</v>
      </c>
      <c r="Q299" s="1966" t="s">
        <v>203</v>
      </c>
      <c r="R299" s="1967"/>
      <c r="S299" s="5"/>
    </row>
    <row r="300" spans="2:19" ht="21.95" hidden="1" customHeight="1">
      <c r="B300" s="241"/>
      <c r="C300" s="241"/>
      <c r="D300" s="4"/>
      <c r="E300" s="4"/>
      <c r="F300" s="82"/>
      <c r="G300" s="1965"/>
      <c r="H300" s="1965"/>
      <c r="I300" s="579"/>
      <c r="J300" s="579"/>
      <c r="K300" s="572"/>
      <c r="L300" s="7"/>
      <c r="M300" s="160" t="s">
        <v>196</v>
      </c>
      <c r="N300" s="161">
        <v>74910</v>
      </c>
      <c r="O300" s="210">
        <f ca="1">SUMIF($C$4:$M$287,"부산 삼성전기",$M$4:$M$287)</f>
        <v>0</v>
      </c>
      <c r="P300" s="258">
        <f t="shared" ca="1" si="108"/>
        <v>74910</v>
      </c>
      <c r="Q300" s="1953" t="s">
        <v>205</v>
      </c>
      <c r="R300" s="1954"/>
      <c r="S300" s="5"/>
    </row>
    <row r="301" spans="2:19" ht="21.95" hidden="1" customHeight="1">
      <c r="B301" s="241"/>
      <c r="C301" s="241"/>
      <c r="D301" s="4"/>
      <c r="E301" s="4"/>
      <c r="F301" s="82"/>
      <c r="G301" s="1968"/>
      <c r="H301" s="1968"/>
      <c r="I301" s="579"/>
      <c r="J301" s="579"/>
      <c r="K301" s="572"/>
      <c r="L301" s="7"/>
      <c r="M301" s="160" t="s">
        <v>208</v>
      </c>
      <c r="N301" s="161">
        <v>13390</v>
      </c>
      <c r="O301" s="210">
        <f ca="1">SUMIF($C$4:$M$287,"삼성",$M$4:$M$287)</f>
        <v>0</v>
      </c>
      <c r="P301" s="258">
        <f t="shared" ca="1" si="108"/>
        <v>13390</v>
      </c>
      <c r="Q301" s="1953" t="s">
        <v>209</v>
      </c>
      <c r="R301" s="1954"/>
      <c r="S301" s="5"/>
    </row>
    <row r="302" spans="2:19" ht="25.5" hidden="1" customHeight="1">
      <c r="B302" s="241"/>
      <c r="C302" s="241"/>
      <c r="D302" s="4"/>
      <c r="E302" s="4"/>
      <c r="F302" s="82"/>
      <c r="G302" s="1968"/>
      <c r="H302" s="1968"/>
      <c r="I302" s="579"/>
      <c r="J302" s="579"/>
      <c r="K302" s="572"/>
      <c r="L302" s="10"/>
      <c r="M302" s="160" t="s">
        <v>29</v>
      </c>
      <c r="N302" s="161">
        <v>469790</v>
      </c>
      <c r="O302" s="210">
        <f ca="1">SUMIF($C$4:$M$287,"어린이집",$M$4:$M$287)</f>
        <v>0</v>
      </c>
      <c r="P302" s="258">
        <f t="shared" ca="1" si="108"/>
        <v>469790</v>
      </c>
      <c r="Q302" s="1955" t="s">
        <v>221</v>
      </c>
      <c r="R302" s="1956"/>
      <c r="S302" s="5"/>
    </row>
    <row r="303" spans="2:19" ht="42" hidden="1" customHeight="1">
      <c r="B303" s="241"/>
      <c r="C303" s="241"/>
      <c r="D303" s="4"/>
      <c r="E303" s="4"/>
      <c r="F303" s="573"/>
      <c r="G303" s="1969"/>
      <c r="H303" s="1969"/>
      <c r="I303" s="580"/>
      <c r="J303" s="580"/>
      <c r="K303" s="574"/>
      <c r="L303" s="10"/>
      <c r="M303" s="160" t="s">
        <v>232</v>
      </c>
      <c r="N303" s="161">
        <f>42360+47900</f>
        <v>90260</v>
      </c>
      <c r="O303" s="210">
        <f ca="1">SUMIF($C$4:$M$287,"도림리 창고",$M$4:$M$287)</f>
        <v>0</v>
      </c>
      <c r="P303" s="258">
        <f t="shared" ca="1" si="108"/>
        <v>90260</v>
      </c>
      <c r="Q303" s="1953" t="s">
        <v>294</v>
      </c>
      <c r="R303" s="1954"/>
      <c r="S303" s="5"/>
    </row>
    <row r="304" spans="2:19" ht="25.5" hidden="1" customHeight="1">
      <c r="B304" s="241"/>
      <c r="C304" s="388"/>
      <c r="D304" s="4"/>
      <c r="E304" s="4"/>
      <c r="F304" s="575"/>
      <c r="G304" s="575"/>
      <c r="H304" s="575"/>
      <c r="I304" s="575"/>
      <c r="J304" s="575"/>
      <c r="K304" s="575"/>
      <c r="L304" s="10"/>
      <c r="M304" s="160" t="s">
        <v>298</v>
      </c>
      <c r="N304" s="161">
        <f>910+420</f>
        <v>1330</v>
      </c>
      <c r="O304" s="210">
        <f ca="1">SUMIF($C$4:$M$287,"크로스 창고",$M$4:$M$287)</f>
        <v>1170</v>
      </c>
      <c r="P304" s="258"/>
      <c r="Q304" s="1953" t="s">
        <v>233</v>
      </c>
      <c r="R304" s="1954"/>
      <c r="S304" s="5"/>
    </row>
    <row r="305" spans="2:19" ht="25.5" hidden="1" customHeight="1">
      <c r="B305" s="241"/>
      <c r="C305" s="388"/>
      <c r="D305" s="4"/>
      <c r="E305" s="4"/>
      <c r="F305" s="575"/>
      <c r="G305" s="575"/>
      <c r="H305" s="575"/>
      <c r="I305" s="575"/>
      <c r="J305" s="575"/>
      <c r="K305" s="575"/>
      <c r="L305" s="10"/>
      <c r="M305" s="160" t="s">
        <v>299</v>
      </c>
      <c r="N305" s="161" t="e">
        <f>SUM('재고이동(원방&lt;-&gt;투플)'!#REF!)</f>
        <v>#REF!</v>
      </c>
      <c r="O305" s="210"/>
      <c r="P305" s="258"/>
      <c r="Q305" s="1953" t="s">
        <v>300</v>
      </c>
      <c r="R305" s="1954"/>
      <c r="S305" s="5"/>
    </row>
    <row r="306" spans="2:19" ht="25.5" hidden="1" customHeight="1">
      <c r="B306" s="241"/>
      <c r="C306" s="388"/>
      <c r="D306" s="4"/>
      <c r="E306" s="4"/>
      <c r="I306" s="388"/>
      <c r="J306" s="232"/>
      <c r="K306" s="10"/>
      <c r="L306" s="10"/>
      <c r="M306" s="160" t="s">
        <v>227</v>
      </c>
      <c r="N306" s="161"/>
      <c r="O306" s="210">
        <f ca="1">SUMIF($C$4:$M$287,"혼합",$M$4:$M$287)</f>
        <v>46620</v>
      </c>
      <c r="P306" s="258">
        <f>-75880-15010</f>
        <v>-90890</v>
      </c>
      <c r="Q306" s="1953" t="s">
        <v>227</v>
      </c>
      <c r="R306" s="1954"/>
      <c r="S306" s="5"/>
    </row>
    <row r="307" spans="2:19" ht="25.5" hidden="1" customHeight="1">
      <c r="B307" s="241"/>
      <c r="C307" s="388"/>
      <c r="D307" s="4"/>
      <c r="E307" s="4"/>
      <c r="I307" s="388"/>
      <c r="J307" s="388"/>
      <c r="K307" s="10"/>
      <c r="L307" s="10"/>
      <c r="M307" s="160" t="s">
        <v>309</v>
      </c>
      <c r="N307" s="161">
        <f>74990+3450+3720+31840</f>
        <v>114000</v>
      </c>
      <c r="O307" s="210">
        <f ca="1">SUMIF($C$4:$M$287,"기타 현장",$M$4:$M$287)+SUMIF($C$4:$M$287,"젠스엠",$M$4:$M$287)</f>
        <v>1760</v>
      </c>
      <c r="P307" s="258">
        <f ca="1">N307-O307</f>
        <v>112240</v>
      </c>
      <c r="Q307" s="1955" t="s">
        <v>311</v>
      </c>
      <c r="R307" s="1956"/>
      <c r="S307" s="5"/>
    </row>
    <row r="308" spans="2:19" ht="25.5" hidden="1" customHeight="1">
      <c r="B308" s="241"/>
      <c r="C308" s="388"/>
      <c r="D308" s="4"/>
      <c r="E308" s="4"/>
      <c r="I308" s="388"/>
      <c r="J308" s="388"/>
      <c r="K308" s="10"/>
      <c r="L308" s="10"/>
      <c r="M308" s="160" t="s">
        <v>237</v>
      </c>
      <c r="N308" s="161">
        <v>10730</v>
      </c>
      <c r="O308" s="210">
        <f ca="1">SUMIF($C$4:$M$287,"한양이엔지 듀폰",$M$4:$M$287)</f>
        <v>0</v>
      </c>
      <c r="P308" s="258">
        <f t="shared" ca="1" si="108"/>
        <v>10730</v>
      </c>
      <c r="Q308" s="1953" t="s">
        <v>307</v>
      </c>
      <c r="R308" s="1954"/>
      <c r="S308" s="5"/>
    </row>
    <row r="309" spans="2:19" ht="25.5" hidden="1" customHeight="1">
      <c r="B309" s="241"/>
      <c r="C309" s="388"/>
      <c r="D309" s="4"/>
      <c r="E309" s="4"/>
      <c r="J309" s="10"/>
      <c r="K309" s="10"/>
      <c r="L309" s="10"/>
      <c r="M309" s="160" t="s">
        <v>31</v>
      </c>
      <c r="N309" s="269">
        <v>10091400</v>
      </c>
      <c r="O309" s="210">
        <f ca="1">SUMIF($C$4:$M$287,"SR5",$M$4:$M$287)</f>
        <v>5430</v>
      </c>
      <c r="P309" s="258">
        <f t="shared" ref="P309:P317" ca="1" si="109">N309-O309</f>
        <v>10085970</v>
      </c>
      <c r="Q309" s="1953" t="s">
        <v>296</v>
      </c>
      <c r="R309" s="1954"/>
      <c r="S309" s="5"/>
    </row>
    <row r="310" spans="2:19" ht="25.5" hidden="1" customHeight="1">
      <c r="B310" s="241"/>
      <c r="C310" s="388"/>
      <c r="D310" s="4"/>
      <c r="E310" s="4"/>
      <c r="J310" s="10"/>
      <c r="K310" s="222"/>
      <c r="L310" s="10"/>
      <c r="M310" s="160" t="s">
        <v>245</v>
      </c>
      <c r="N310" s="269">
        <v>158340</v>
      </c>
      <c r="O310" s="210">
        <f ca="1">SUMIF($C$4:$M$287,"삼성_대도_온양",$M$4:$M$287)</f>
        <v>2070</v>
      </c>
      <c r="P310" s="258">
        <f t="shared" ca="1" si="109"/>
        <v>156270</v>
      </c>
      <c r="Q310" s="1953" t="s">
        <v>295</v>
      </c>
      <c r="R310" s="1954"/>
      <c r="S310" s="5"/>
    </row>
    <row r="311" spans="2:19" ht="25.5" hidden="1" customHeight="1">
      <c r="B311" s="241"/>
      <c r="C311" s="388"/>
      <c r="D311" s="4"/>
      <c r="E311" s="4"/>
      <c r="J311" s="222"/>
      <c r="K311" s="10"/>
      <c r="L311" s="10"/>
      <c r="M311" s="340" t="s">
        <v>273</v>
      </c>
      <c r="N311" s="269">
        <v>24890</v>
      </c>
      <c r="O311" s="210">
        <f ca="1">SUMIF($C$4:$M$287,"삼성바이오_대도_송도",$M$4:$M$287)</f>
        <v>0</v>
      </c>
      <c r="P311" s="258">
        <f t="shared" ca="1" si="109"/>
        <v>24890</v>
      </c>
      <c r="Q311" s="1955" t="s">
        <v>275</v>
      </c>
      <c r="R311" s="1956"/>
      <c r="S311" s="5"/>
    </row>
    <row r="312" spans="2:19" ht="25.5" hidden="1" customHeight="1">
      <c r="B312" s="241"/>
      <c r="C312" s="388"/>
      <c r="D312" s="4"/>
      <c r="E312" s="4"/>
      <c r="F312" s="2"/>
      <c r="G312" s="2"/>
      <c r="H312" s="2"/>
      <c r="J312" s="222"/>
      <c r="K312" s="10"/>
      <c r="L312" s="10"/>
      <c r="M312" s="342" t="s">
        <v>243</v>
      </c>
      <c r="N312" s="312">
        <f>[5]갑지!$I$9</f>
        <v>2280290</v>
      </c>
      <c r="O312" s="211">
        <f ca="1">SUMIF($C$4:$M$287,"현대_크로스_군산",$M$4:$M$287)</f>
        <v>26390</v>
      </c>
      <c r="P312" s="341">
        <f t="shared" ca="1" si="109"/>
        <v>2253900</v>
      </c>
      <c r="Q312" s="1959" t="s">
        <v>303</v>
      </c>
      <c r="R312" s="1960"/>
      <c r="S312" s="5"/>
    </row>
    <row r="313" spans="2:19" ht="25.5" hidden="1" customHeight="1">
      <c r="B313" s="241"/>
      <c r="C313" s="388"/>
      <c r="D313" s="4"/>
      <c r="E313" s="4"/>
      <c r="J313" s="222"/>
      <c r="K313" s="10"/>
      <c r="L313" s="10"/>
      <c r="M313" s="307" t="s">
        <v>241</v>
      </c>
      <c r="N313" s="312">
        <f>[5]갑지!$I$5</f>
        <v>2049190</v>
      </c>
      <c r="O313" s="211">
        <f ca="1">SUMIF($C$4:$M$287,"포스코_KM_안산",$M$4:$M$287)</f>
        <v>1951924</v>
      </c>
      <c r="P313" s="318">
        <f t="shared" ca="1" si="109"/>
        <v>97266</v>
      </c>
      <c r="Q313" s="1957" t="s">
        <v>268</v>
      </c>
      <c r="R313" s="1958"/>
      <c r="S313" s="5"/>
    </row>
    <row r="314" spans="2:19" ht="25.5" hidden="1" customHeight="1">
      <c r="B314" s="241"/>
      <c r="C314" s="388"/>
      <c r="D314" s="4"/>
      <c r="E314" s="4"/>
      <c r="J314" s="222"/>
      <c r="K314" s="10"/>
      <c r="L314" s="10"/>
      <c r="M314" s="308" t="s">
        <v>305</v>
      </c>
      <c r="N314" s="314">
        <f>[5]갑지!$I$6</f>
        <v>38150</v>
      </c>
      <c r="O314" s="211">
        <f ca="1">SUMIF($C$4:$M$287,"현대제철_대도_당진",$M$4:$M$287)</f>
        <v>230340</v>
      </c>
      <c r="P314" s="318">
        <f t="shared" ca="1" si="109"/>
        <v>-192190</v>
      </c>
      <c r="Q314" s="1957" t="s">
        <v>306</v>
      </c>
      <c r="R314" s="1958"/>
      <c r="S314" s="5"/>
    </row>
    <row r="315" spans="2:19" ht="25.5" hidden="1" customHeight="1">
      <c r="B315" s="241"/>
      <c r="C315" s="388"/>
      <c r="D315" s="4"/>
      <c r="E315" s="4"/>
      <c r="J315" s="222"/>
      <c r="K315" s="10"/>
      <c r="L315" s="10"/>
      <c r="M315" s="308" t="s">
        <v>314</v>
      </c>
      <c r="N315" s="314">
        <f>[5]갑지!$I$7</f>
        <v>109860</v>
      </c>
      <c r="O315" s="211">
        <f ca="1">SUMIF($C$4:$M$287,"동우PL1린텍_크로스_평택",$M$4:$M$287)</f>
        <v>144194</v>
      </c>
      <c r="P315" s="318">
        <f t="shared" ca="1" si="109"/>
        <v>-34334</v>
      </c>
      <c r="Q315" s="1957" t="s">
        <v>318</v>
      </c>
      <c r="R315" s="1958"/>
      <c r="S315" s="5"/>
    </row>
    <row r="316" spans="2:19" ht="25.5" hidden="1" customHeight="1">
      <c r="B316" s="241"/>
      <c r="C316" s="388"/>
      <c r="D316" s="4"/>
      <c r="E316" s="4"/>
      <c r="J316" s="10"/>
      <c r="K316" s="10"/>
      <c r="L316" s="10"/>
      <c r="M316" s="262" t="s">
        <v>321</v>
      </c>
      <c r="N316" s="315">
        <f>[8]갑지!$I$8</f>
        <v>285550</v>
      </c>
      <c r="O316" s="211">
        <f ca="1">SUMIF($C$4:$M$287,"서울 상계동",$M$4:$M$287)</f>
        <v>0</v>
      </c>
      <c r="P316" s="318">
        <f t="shared" ca="1" si="109"/>
        <v>285550</v>
      </c>
      <c r="Q316" s="1961" t="s">
        <v>169</v>
      </c>
      <c r="R316" s="1962"/>
      <c r="S316" s="5"/>
    </row>
    <row r="317" spans="2:19" ht="25.5" hidden="1" customHeight="1">
      <c r="B317" s="241"/>
      <c r="C317" s="388"/>
      <c r="D317" s="4"/>
      <c r="E317" s="4"/>
      <c r="F317" s="2"/>
      <c r="G317" s="2"/>
      <c r="H317" s="2"/>
      <c r="J317" s="222"/>
      <c r="K317" s="10"/>
      <c r="L317" s="10"/>
      <c r="M317" s="150" t="s">
        <v>322</v>
      </c>
      <c r="N317" s="312">
        <f>[8]갑지!$I$10</f>
        <v>329620</v>
      </c>
      <c r="O317" s="211">
        <f ca="1">SUMIF($C$4:$M$287,"서울 잠실동",$M$4:$M$287)</f>
        <v>3620</v>
      </c>
      <c r="P317" s="318">
        <f t="shared" ca="1" si="109"/>
        <v>326000</v>
      </c>
      <c r="Q317" s="1957" t="s">
        <v>284</v>
      </c>
      <c r="R317" s="1958"/>
      <c r="S317" s="5"/>
    </row>
    <row r="318" spans="2:19" ht="25.5" hidden="1" customHeight="1">
      <c r="B318" s="241"/>
      <c r="C318" s="388"/>
      <c r="D318" s="4"/>
      <c r="E318" s="4"/>
      <c r="J318" s="10"/>
      <c r="K318" s="10"/>
      <c r="L318" s="10"/>
      <c r="M318" s="150" t="s">
        <v>218</v>
      </c>
      <c r="N318" s="313">
        <f>[8]갑지!$I$11</f>
        <v>58770</v>
      </c>
      <c r="O318" s="211">
        <f ca="1">SUMIF($C$4:$M$287,"LT메탈_대도_인천",$M$4:$M$287)</f>
        <v>0</v>
      </c>
      <c r="P318" s="318">
        <f t="shared" ca="1" si="108"/>
        <v>58770</v>
      </c>
      <c r="Q318" s="1957" t="s">
        <v>219</v>
      </c>
      <c r="R318" s="1958"/>
      <c r="S318" s="5"/>
    </row>
    <row r="319" spans="2:19" ht="30" hidden="1" customHeight="1" thickBot="1">
      <c r="B319" s="241"/>
      <c r="C319" s="388"/>
      <c r="D319" s="4"/>
      <c r="E319" s="4"/>
      <c r="J319" s="10"/>
      <c r="K319" s="10"/>
      <c r="L319" s="10"/>
      <c r="M319" s="240" t="s">
        <v>32</v>
      </c>
      <c r="N319" s="263" t="e">
        <f>SUM(N294:N318)</f>
        <v>#REF!</v>
      </c>
      <c r="O319" s="263">
        <f ca="1">SUM(O294:O318)</f>
        <v>2421340</v>
      </c>
      <c r="P319" s="263" t="e">
        <f ca="1">N319-O319</f>
        <v>#REF!</v>
      </c>
      <c r="Q319" s="1963"/>
      <c r="R319" s="1964"/>
      <c r="S319" s="5"/>
    </row>
    <row r="320" spans="2:19" ht="8.25" hidden="1" customHeight="1">
      <c r="B320" s="241"/>
      <c r="C320" s="388"/>
      <c r="D320" s="4"/>
      <c r="E320" s="4"/>
      <c r="J320" s="10"/>
      <c r="K320" s="10"/>
      <c r="L320" s="10"/>
      <c r="M320" s="10"/>
      <c r="N320" s="10"/>
      <c r="O320" s="222"/>
      <c r="R320" s="7"/>
      <c r="S320" s="5"/>
    </row>
    <row r="321" spans="2:19" ht="21.95" hidden="1" customHeight="1">
      <c r="B321" s="241"/>
      <c r="C321" s="388"/>
      <c r="D321" s="4"/>
      <c r="E321" s="4"/>
      <c r="J321" s="10"/>
      <c r="K321" s="10"/>
      <c r="L321" s="10"/>
      <c r="M321" s="265"/>
      <c r="N321" s="266"/>
      <c r="O321" s="166"/>
      <c r="P321" s="317"/>
      <c r="Q321" s="5"/>
      <c r="R321" s="5"/>
      <c r="S321" s="5"/>
    </row>
    <row r="322" spans="2:19" ht="21.95" customHeight="1">
      <c r="B322" s="241"/>
      <c r="C322" s="388"/>
      <c r="D322" s="4"/>
      <c r="E322" s="4"/>
      <c r="J322" s="10"/>
      <c r="K322" s="10"/>
      <c r="L322" s="10"/>
      <c r="M322" s="7"/>
      <c r="N322" s="7"/>
      <c r="O322" s="166"/>
      <c r="P322" s="166"/>
      <c r="Q322" s="5"/>
      <c r="R322" s="5"/>
      <c r="S322" s="5"/>
    </row>
    <row r="323" spans="2:19" ht="21.95" customHeight="1">
      <c r="B323" s="241"/>
      <c r="C323" s="388"/>
      <c r="D323" s="4"/>
      <c r="E323" s="4"/>
      <c r="J323" s="10"/>
      <c r="K323" s="10"/>
      <c r="L323" s="10"/>
      <c r="M323" s="7"/>
      <c r="N323" s="7"/>
      <c r="O323" s="5"/>
      <c r="P323" s="5"/>
      <c r="Q323" s="5"/>
      <c r="R323" s="5"/>
      <c r="S323" s="5"/>
    </row>
    <row r="324" spans="2:19" ht="21.95" customHeight="1">
      <c r="B324" s="241"/>
      <c r="C324" s="388"/>
      <c r="D324" s="4"/>
      <c r="E324" s="4"/>
      <c r="J324" s="10"/>
      <c r="K324" s="10"/>
      <c r="L324" s="10"/>
      <c r="M324" s="7"/>
      <c r="N324" s="7"/>
      <c r="O324" s="5"/>
      <c r="P324" s="5"/>
      <c r="Q324" s="5"/>
      <c r="R324" s="5"/>
      <c r="S324" s="5"/>
    </row>
    <row r="325" spans="2:19" ht="21.95" customHeight="1">
      <c r="B325" s="241"/>
      <c r="C325" s="388"/>
      <c r="D325" s="4"/>
      <c r="E325" s="4"/>
      <c r="J325" s="10"/>
      <c r="K325" s="10"/>
      <c r="L325" s="10"/>
      <c r="M325" s="7"/>
      <c r="N325" s="7"/>
      <c r="O325" s="5"/>
      <c r="P325" s="5"/>
      <c r="Q325" s="5"/>
      <c r="R325" s="5"/>
      <c r="S325" s="5"/>
    </row>
    <row r="326" spans="2:19" ht="21.95" customHeight="1">
      <c r="B326" s="241"/>
      <c r="C326" s="388"/>
      <c r="D326" s="4"/>
      <c r="E326" s="4"/>
      <c r="J326" s="10"/>
      <c r="K326" s="10"/>
      <c r="L326" s="10"/>
      <c r="M326" s="7"/>
      <c r="N326" s="7"/>
      <c r="O326" s="5"/>
      <c r="P326" s="5"/>
      <c r="Q326" s="5"/>
      <c r="R326" s="5"/>
      <c r="S326" s="5"/>
    </row>
    <row r="327" spans="2:19" ht="21.95" customHeight="1">
      <c r="B327" s="241"/>
      <c r="C327" s="388"/>
      <c r="D327" s="4"/>
      <c r="E327" s="4"/>
      <c r="J327" s="10"/>
      <c r="K327" s="10"/>
      <c r="L327" s="10"/>
      <c r="M327" s="7"/>
      <c r="N327" s="7"/>
      <c r="O327" s="5"/>
      <c r="P327" s="5"/>
      <c r="Q327" s="5"/>
      <c r="R327" s="5"/>
      <c r="S327" s="5"/>
    </row>
    <row r="328" spans="2:19" ht="30" customHeight="1">
      <c r="B328" s="241"/>
      <c r="C328" s="388"/>
      <c r="D328" s="4"/>
      <c r="E328" s="4"/>
      <c r="J328" s="10"/>
      <c r="K328" s="10"/>
      <c r="L328" s="10"/>
      <c r="M328" s="7"/>
      <c r="N328" s="7"/>
      <c r="O328" s="5"/>
      <c r="P328" s="5"/>
      <c r="Q328" s="5"/>
      <c r="R328" s="5"/>
      <c r="S328" s="5"/>
    </row>
    <row r="329" spans="2:19" ht="21.95" customHeight="1">
      <c r="B329" s="241"/>
      <c r="C329" s="7"/>
      <c r="D329" s="4"/>
      <c r="E329" s="4"/>
      <c r="F329" s="5"/>
      <c r="G329" s="5"/>
      <c r="H329" s="5"/>
      <c r="I329" s="5"/>
      <c r="J329" s="7"/>
      <c r="K329" s="7"/>
      <c r="L329" s="7"/>
      <c r="M329" s="7"/>
      <c r="N329" s="7"/>
      <c r="O329" s="5"/>
      <c r="P329" s="5"/>
      <c r="Q329" s="5"/>
      <c r="R329" s="5"/>
      <c r="S329" s="5"/>
    </row>
    <row r="330" spans="2:19" ht="21.95" customHeight="1">
      <c r="B330" s="241"/>
      <c r="C330" s="7"/>
      <c r="D330" s="4"/>
      <c r="E330" s="4"/>
      <c r="F330" s="5"/>
      <c r="G330" s="5"/>
      <c r="H330" s="5"/>
      <c r="I330" s="5"/>
      <c r="J330" s="7"/>
      <c r="K330" s="7"/>
      <c r="L330" s="7"/>
      <c r="M330" s="7"/>
      <c r="N330" s="7"/>
      <c r="O330" s="5"/>
      <c r="P330" s="5"/>
      <c r="Q330" s="5"/>
      <c r="R330" s="5"/>
      <c r="S330" s="5"/>
    </row>
    <row r="331" spans="2:19" ht="21.95" customHeight="1">
      <c r="B331" s="241"/>
      <c r="C331" s="7"/>
      <c r="D331" s="4"/>
      <c r="E331" s="4"/>
      <c r="F331" s="5"/>
      <c r="G331" s="5"/>
      <c r="H331" s="5"/>
      <c r="I331" s="5"/>
      <c r="J331" s="7"/>
      <c r="K331" s="7"/>
      <c r="L331" s="7"/>
      <c r="M331" s="7"/>
      <c r="N331" s="7"/>
      <c r="O331" s="5"/>
      <c r="P331" s="5"/>
      <c r="Q331" s="5"/>
      <c r="R331" s="5"/>
      <c r="S331" s="5"/>
    </row>
    <row r="332" spans="2:19" ht="21.95" customHeight="1">
      <c r="B332" s="241"/>
      <c r="C332" s="7"/>
      <c r="D332" s="4"/>
      <c r="E332" s="4"/>
      <c r="F332" s="5"/>
      <c r="G332" s="5"/>
      <c r="H332" s="5"/>
      <c r="I332" s="5"/>
      <c r="J332" s="7"/>
      <c r="K332" s="7"/>
      <c r="L332" s="7"/>
      <c r="M332" s="7"/>
      <c r="N332" s="7"/>
      <c r="O332" s="5"/>
      <c r="P332" s="5"/>
      <c r="Q332" s="5"/>
      <c r="R332" s="5"/>
      <c r="S332" s="5"/>
    </row>
    <row r="333" spans="2:19">
      <c r="B333" s="241"/>
      <c r="C333" s="7"/>
      <c r="D333" s="4"/>
      <c r="E333" s="4"/>
      <c r="F333" s="5"/>
      <c r="G333" s="5"/>
      <c r="H333" s="5"/>
      <c r="I333" s="5"/>
      <c r="J333" s="7"/>
      <c r="K333" s="7"/>
      <c r="L333" s="7"/>
      <c r="M333" s="7"/>
      <c r="N333" s="7"/>
      <c r="O333" s="5"/>
      <c r="P333" s="5"/>
      <c r="Q333" s="5"/>
      <c r="R333" s="5"/>
      <c r="S333" s="5"/>
    </row>
    <row r="334" spans="2:19">
      <c r="B334" s="241"/>
      <c r="C334" s="7"/>
      <c r="D334" s="4"/>
      <c r="E334" s="4"/>
      <c r="F334" s="5"/>
      <c r="G334" s="5"/>
      <c r="H334" s="5"/>
      <c r="I334" s="5"/>
      <c r="J334" s="7"/>
      <c r="K334" s="7"/>
      <c r="L334" s="7"/>
      <c r="M334" s="7"/>
      <c r="N334" s="7"/>
      <c r="O334" s="5"/>
      <c r="P334" s="5"/>
      <c r="Q334" s="5"/>
      <c r="R334" s="5"/>
      <c r="S334" s="5"/>
    </row>
    <row r="335" spans="2:19">
      <c r="B335" s="241"/>
      <c r="C335" s="7"/>
      <c r="D335" s="4"/>
      <c r="E335" s="4"/>
      <c r="F335" s="5"/>
      <c r="G335" s="5"/>
      <c r="H335" s="5"/>
      <c r="I335" s="5"/>
      <c r="J335" s="7"/>
      <c r="K335" s="7"/>
      <c r="L335" s="7"/>
      <c r="M335" s="7"/>
      <c r="N335" s="7"/>
      <c r="O335" s="5"/>
      <c r="P335" s="5"/>
      <c r="Q335" s="5"/>
      <c r="R335" s="5"/>
      <c r="S335" s="5"/>
    </row>
    <row r="336" spans="2:19">
      <c r="B336" s="241"/>
      <c r="C336" s="7"/>
      <c r="D336" s="4"/>
      <c r="E336" s="4"/>
      <c r="F336" s="5"/>
      <c r="G336" s="5"/>
      <c r="H336" s="5"/>
      <c r="I336" s="5"/>
      <c r="J336" s="7"/>
      <c r="K336" s="7"/>
      <c r="L336" s="7"/>
      <c r="M336" s="7"/>
      <c r="N336" s="7"/>
      <c r="O336" s="5"/>
      <c r="P336" s="5"/>
      <c r="Q336" s="5"/>
      <c r="R336" s="5"/>
      <c r="S336" s="5"/>
    </row>
    <row r="337" spans="2:19">
      <c r="B337" s="241"/>
      <c r="C337" s="7"/>
      <c r="D337" s="4"/>
      <c r="E337" s="4"/>
      <c r="F337" s="5"/>
      <c r="G337" s="5"/>
      <c r="H337" s="5"/>
      <c r="I337" s="5"/>
      <c r="J337" s="7"/>
      <c r="K337" s="7"/>
      <c r="L337" s="7"/>
      <c r="M337" s="7"/>
      <c r="N337" s="7"/>
      <c r="O337" s="5"/>
      <c r="P337" s="5"/>
      <c r="Q337" s="5"/>
      <c r="R337" s="5"/>
      <c r="S337" s="5"/>
    </row>
    <row r="338" spans="2:19">
      <c r="B338" s="241"/>
      <c r="C338" s="7"/>
      <c r="D338" s="4"/>
      <c r="E338" s="4"/>
      <c r="F338" s="5"/>
      <c r="G338" s="5"/>
      <c r="H338" s="5"/>
      <c r="I338" s="5"/>
      <c r="J338" s="7"/>
      <c r="K338" s="7"/>
      <c r="L338" s="7"/>
      <c r="M338" s="7"/>
      <c r="N338" s="7"/>
      <c r="O338" s="5"/>
      <c r="P338" s="5"/>
      <c r="Q338" s="5"/>
      <c r="R338" s="5"/>
      <c r="S338" s="5"/>
    </row>
    <row r="339" spans="2:19">
      <c r="B339" s="241"/>
      <c r="C339" s="7"/>
      <c r="D339" s="4"/>
      <c r="E339" s="4"/>
      <c r="F339" s="5"/>
      <c r="G339" s="5"/>
      <c r="H339" s="5"/>
      <c r="I339" s="5"/>
      <c r="J339" s="7"/>
      <c r="K339" s="7"/>
      <c r="L339" s="7"/>
      <c r="M339" s="7"/>
      <c r="N339" s="7"/>
      <c r="O339" s="5"/>
      <c r="P339" s="5"/>
      <c r="Q339" s="5"/>
      <c r="R339" s="5"/>
      <c r="S339" s="5"/>
    </row>
    <row r="340" spans="2:19">
      <c r="B340" s="241"/>
      <c r="C340" s="7"/>
      <c r="D340" s="4"/>
      <c r="E340" s="4"/>
      <c r="F340" s="5"/>
      <c r="G340" s="5"/>
      <c r="H340" s="5"/>
      <c r="I340" s="5"/>
      <c r="J340" s="7"/>
      <c r="K340" s="7"/>
      <c r="L340" s="7"/>
      <c r="M340" s="7"/>
      <c r="N340" s="7"/>
      <c r="O340" s="5"/>
      <c r="P340" s="5"/>
      <c r="Q340" s="5"/>
      <c r="R340" s="5"/>
      <c r="S340" s="5"/>
    </row>
    <row r="341" spans="2:19">
      <c r="B341" s="241"/>
      <c r="C341" s="7"/>
      <c r="D341" s="4"/>
      <c r="E341" s="4"/>
      <c r="F341" s="5"/>
      <c r="G341" s="5"/>
      <c r="H341" s="5"/>
      <c r="I341" s="5"/>
      <c r="J341" s="7"/>
      <c r="K341" s="7"/>
      <c r="L341" s="7"/>
      <c r="M341" s="7"/>
      <c r="N341" s="7"/>
      <c r="O341" s="5"/>
      <c r="P341" s="5"/>
      <c r="Q341" s="5"/>
      <c r="R341" s="5"/>
      <c r="S341" s="5"/>
    </row>
    <row r="342" spans="2:19">
      <c r="B342" s="241"/>
      <c r="C342" s="7"/>
      <c r="D342" s="4"/>
      <c r="E342" s="4"/>
      <c r="F342" s="5"/>
      <c r="G342" s="5"/>
      <c r="H342" s="5"/>
      <c r="I342" s="5"/>
      <c r="J342" s="7"/>
      <c r="K342" s="7"/>
      <c r="L342" s="7"/>
      <c r="M342" s="7"/>
      <c r="N342" s="7"/>
      <c r="O342" s="5"/>
      <c r="P342" s="5"/>
      <c r="Q342" s="5"/>
      <c r="R342" s="5"/>
      <c r="S342" s="5"/>
    </row>
    <row r="343" spans="2:19">
      <c r="B343" s="241"/>
      <c r="C343" s="7"/>
      <c r="D343" s="4"/>
      <c r="E343" s="4"/>
      <c r="F343" s="5"/>
      <c r="G343" s="5"/>
      <c r="H343" s="5"/>
      <c r="I343" s="5"/>
      <c r="J343" s="7"/>
      <c r="K343" s="7"/>
      <c r="L343" s="7"/>
      <c r="M343" s="7"/>
      <c r="N343" s="7"/>
      <c r="O343" s="5"/>
      <c r="P343" s="5"/>
      <c r="Q343" s="5"/>
      <c r="R343" s="5"/>
      <c r="S343" s="5"/>
    </row>
    <row r="344" spans="2:19">
      <c r="B344" s="241"/>
      <c r="C344" s="7"/>
      <c r="D344" s="4"/>
      <c r="E344" s="4"/>
      <c r="F344" s="5"/>
      <c r="G344" s="5"/>
      <c r="H344" s="5"/>
      <c r="I344" s="5"/>
      <c r="J344" s="7"/>
      <c r="K344" s="7"/>
      <c r="L344" s="7"/>
      <c r="M344" s="7"/>
      <c r="N344" s="7"/>
      <c r="O344" s="5"/>
      <c r="P344" s="5"/>
      <c r="Q344" s="5"/>
      <c r="R344" s="5"/>
      <c r="S344" s="5"/>
    </row>
    <row r="345" spans="2:19">
      <c r="B345" s="241"/>
      <c r="C345" s="7"/>
      <c r="D345" s="4"/>
      <c r="E345" s="4"/>
      <c r="F345" s="5"/>
      <c r="G345" s="5"/>
      <c r="H345" s="5"/>
      <c r="I345" s="5"/>
      <c r="J345" s="7"/>
      <c r="K345" s="7"/>
      <c r="L345" s="7"/>
      <c r="M345" s="7"/>
      <c r="N345" s="7"/>
      <c r="O345" s="5"/>
      <c r="P345" s="5"/>
      <c r="Q345" s="5"/>
      <c r="R345" s="5"/>
      <c r="S345" s="5"/>
    </row>
    <row r="346" spans="2:19">
      <c r="B346" s="241"/>
      <c r="C346" s="7"/>
      <c r="D346" s="4"/>
      <c r="E346" s="4"/>
      <c r="F346" s="5"/>
      <c r="G346" s="5"/>
      <c r="H346" s="5"/>
      <c r="I346" s="5"/>
      <c r="J346" s="7"/>
      <c r="K346" s="7"/>
      <c r="L346" s="7"/>
      <c r="M346" s="7"/>
      <c r="N346" s="7"/>
      <c r="O346" s="5"/>
      <c r="P346" s="5"/>
      <c r="Q346" s="5"/>
      <c r="R346" s="5"/>
      <c r="S346" s="5"/>
    </row>
    <row r="347" spans="2:19">
      <c r="B347" s="241"/>
      <c r="C347" s="7"/>
      <c r="D347" s="4"/>
      <c r="E347" s="4"/>
      <c r="F347" s="5"/>
      <c r="G347" s="5"/>
      <c r="H347" s="5"/>
      <c r="I347" s="5"/>
      <c r="J347" s="7"/>
      <c r="K347" s="7"/>
      <c r="L347" s="7"/>
      <c r="M347" s="7"/>
      <c r="N347" s="7"/>
      <c r="O347" s="5"/>
      <c r="P347" s="5"/>
      <c r="Q347" s="5"/>
      <c r="R347" s="5"/>
      <c r="S347" s="5"/>
    </row>
    <row r="348" spans="2:19">
      <c r="B348" s="241"/>
      <c r="C348" s="7"/>
      <c r="D348" s="4"/>
      <c r="E348" s="4"/>
      <c r="F348" s="5"/>
      <c r="G348" s="5"/>
      <c r="H348" s="5"/>
      <c r="I348" s="5"/>
      <c r="J348" s="7"/>
      <c r="K348" s="7"/>
      <c r="L348" s="7"/>
      <c r="M348" s="7"/>
      <c r="N348" s="7"/>
      <c r="O348" s="5"/>
      <c r="P348" s="5"/>
      <c r="Q348" s="5"/>
      <c r="R348" s="5"/>
      <c r="S348" s="5"/>
    </row>
    <row r="349" spans="2:19">
      <c r="B349" s="241"/>
      <c r="C349" s="7"/>
      <c r="D349" s="4"/>
      <c r="E349" s="4"/>
      <c r="F349" s="5"/>
      <c r="G349" s="5"/>
      <c r="H349" s="5"/>
      <c r="I349" s="5"/>
      <c r="J349" s="7"/>
      <c r="K349" s="7"/>
      <c r="L349" s="7"/>
      <c r="M349" s="7"/>
      <c r="N349" s="7"/>
      <c r="O349" s="5"/>
      <c r="P349" s="5"/>
      <c r="Q349" s="5"/>
      <c r="R349" s="5"/>
      <c r="S349" s="5"/>
    </row>
    <row r="350" spans="2:19">
      <c r="B350" s="241"/>
      <c r="C350" s="7"/>
      <c r="D350" s="4"/>
      <c r="E350" s="4"/>
      <c r="F350" s="5"/>
      <c r="G350" s="5"/>
      <c r="H350" s="5"/>
      <c r="I350" s="5"/>
      <c r="J350" s="7"/>
      <c r="K350" s="7"/>
      <c r="L350" s="7"/>
      <c r="M350" s="7"/>
      <c r="N350" s="7"/>
      <c r="O350" s="5"/>
      <c r="P350" s="5"/>
      <c r="Q350" s="5"/>
      <c r="R350" s="5"/>
      <c r="S350" s="5"/>
    </row>
    <row r="351" spans="2:19">
      <c r="B351" s="241"/>
      <c r="C351" s="7"/>
      <c r="D351" s="4"/>
      <c r="E351" s="4"/>
      <c r="F351" s="5"/>
      <c r="G351" s="5"/>
      <c r="H351" s="5"/>
      <c r="I351" s="5"/>
      <c r="J351" s="7"/>
      <c r="K351" s="7"/>
      <c r="L351" s="7"/>
      <c r="M351" s="7"/>
      <c r="N351" s="7"/>
      <c r="O351" s="5"/>
      <c r="P351" s="5"/>
      <c r="Q351" s="5"/>
      <c r="R351" s="5"/>
      <c r="S351" s="5"/>
    </row>
    <row r="352" spans="2:19">
      <c r="B352" s="241"/>
      <c r="C352" s="7"/>
      <c r="D352" s="4"/>
      <c r="E352" s="4"/>
      <c r="F352" s="5"/>
      <c r="G352" s="5"/>
      <c r="H352" s="5"/>
      <c r="I352" s="5"/>
      <c r="J352" s="7"/>
      <c r="K352" s="7"/>
      <c r="L352" s="7"/>
      <c r="M352" s="7"/>
      <c r="N352" s="7"/>
      <c r="O352" s="5"/>
      <c r="P352" s="5"/>
      <c r="Q352" s="5"/>
      <c r="R352" s="5"/>
      <c r="S352" s="5"/>
    </row>
  </sheetData>
  <mergeCells count="41">
    <mergeCell ref="G296:H296"/>
    <mergeCell ref="Q296:R296"/>
    <mergeCell ref="B1:S1"/>
    <mergeCell ref="G293:H293"/>
    <mergeCell ref="Q293:R293"/>
    <mergeCell ref="G294:H294"/>
    <mergeCell ref="Q294:R294"/>
    <mergeCell ref="G295:H295"/>
    <mergeCell ref="Q295:R295"/>
    <mergeCell ref="N289:O289"/>
    <mergeCell ref="R289:S289"/>
    <mergeCell ref="Q319:R319"/>
    <mergeCell ref="G297:H297"/>
    <mergeCell ref="Q297:R297"/>
    <mergeCell ref="G298:H298"/>
    <mergeCell ref="Q298:R298"/>
    <mergeCell ref="G299:H299"/>
    <mergeCell ref="Q299:R299"/>
    <mergeCell ref="G300:H300"/>
    <mergeCell ref="Q300:R300"/>
    <mergeCell ref="G301:H301"/>
    <mergeCell ref="Q301:R301"/>
    <mergeCell ref="G303:H303"/>
    <mergeCell ref="Q302:R302"/>
    <mergeCell ref="G302:H302"/>
    <mergeCell ref="Q303:R303"/>
    <mergeCell ref="Q309:R309"/>
    <mergeCell ref="Q310:R310"/>
    <mergeCell ref="Q311:R311"/>
    <mergeCell ref="Q317:R317"/>
    <mergeCell ref="Q318:R318"/>
    <mergeCell ref="Q312:R312"/>
    <mergeCell ref="Q313:R313"/>
    <mergeCell ref="Q314:R314"/>
    <mergeCell ref="Q315:R315"/>
    <mergeCell ref="Q316:R316"/>
    <mergeCell ref="Q304:R304"/>
    <mergeCell ref="Q305:R305"/>
    <mergeCell ref="Q306:R306"/>
    <mergeCell ref="Q307:R307"/>
    <mergeCell ref="Q308:R308"/>
  </mergeCells>
  <phoneticPr fontId="2" type="noConversion"/>
  <printOptions horizontalCentered="1"/>
  <pageMargins left="0.11811023622047245" right="0.11811023622047245" top="0.74803149606299213" bottom="0.15748031496062992" header="0.31496062992125984" footer="0.19685039370078741"/>
  <pageSetup paperSize="9" scale="52" fitToHeight="2" orientation="landscape" r:id="rId1"/>
  <rowBreaks count="1" manualBreakCount="1">
    <brk id="291" max="15" man="1"/>
  </rowBreaks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702D-6FC1-4FAA-8E65-FA1732E35B8E}">
  <sheetPr>
    <pageSetUpPr fitToPage="1"/>
  </sheetPr>
  <dimension ref="A1:T105"/>
  <sheetViews>
    <sheetView zoomScale="85" zoomScaleNormal="85" workbookViewId="0">
      <pane ySplit="2" topLeftCell="A35" activePane="bottomLeft" state="frozen"/>
      <selection activeCell="L218" sqref="L218"/>
      <selection pane="bottomLeft" activeCell="C24" sqref="C24"/>
    </sheetView>
  </sheetViews>
  <sheetFormatPr defaultRowHeight="16.5" outlineLevelCol="1"/>
  <cols>
    <col min="1" max="1" width="16.375" style="3" customWidth="1"/>
    <col min="2" max="2" width="23.375" style="2" customWidth="1"/>
    <col min="3" max="4" width="16.375" style="3" customWidth="1"/>
    <col min="5" max="5" width="15.75" style="388" customWidth="1"/>
    <col min="6" max="7" width="15.125" style="388" hidden="1" customWidth="1" outlineLevel="1"/>
    <col min="8" max="8" width="18.75" style="388" customWidth="1" collapsed="1"/>
    <col min="9" max="9" width="15.75" style="2" customWidth="1"/>
    <col min="10" max="11" width="15.75" style="2" customWidth="1" outlineLevel="1"/>
    <col min="12" max="12" width="15.75" style="2" customWidth="1"/>
    <col min="13" max="13" width="17" style="2" customWidth="1"/>
    <col min="14" max="16" width="15.75" style="388" customWidth="1"/>
    <col min="17" max="17" width="18.75" style="388" customWidth="1"/>
    <col min="18" max="18" width="15.75" style="388" customWidth="1"/>
    <col min="19" max="19" width="30.875" style="388" customWidth="1"/>
    <col min="20" max="20" width="15.625" style="388" customWidth="1"/>
    <col min="21" max="21" width="9" style="388"/>
    <col min="22" max="22" width="10.625" style="388" bestFit="1" customWidth="1"/>
    <col min="23" max="16384" width="9" style="388"/>
  </cols>
  <sheetData>
    <row r="1" spans="1:20" ht="15.75" customHeight="1">
      <c r="A1" s="4"/>
      <c r="B1" s="7"/>
      <c r="C1" s="4"/>
      <c r="D1" s="4"/>
      <c r="E1" s="5"/>
      <c r="F1" s="5"/>
      <c r="G1" s="5"/>
      <c r="H1" s="5"/>
      <c r="I1" s="7"/>
      <c r="J1" s="7"/>
      <c r="K1" s="7"/>
      <c r="L1" s="7"/>
      <c r="M1" s="7"/>
      <c r="N1" s="6"/>
      <c r="O1" s="6"/>
      <c r="P1" s="5"/>
      <c r="Q1" s="5"/>
      <c r="R1" s="5"/>
      <c r="S1" s="5"/>
      <c r="T1" s="5"/>
    </row>
    <row r="2" spans="1:20" ht="30.75" customHeight="1">
      <c r="A2" s="78" t="s">
        <v>4</v>
      </c>
      <c r="B2" s="79" t="s">
        <v>391</v>
      </c>
      <c r="C2" s="78" t="s">
        <v>14</v>
      </c>
      <c r="D2" s="78" t="s">
        <v>13</v>
      </c>
      <c r="E2" s="78" t="s">
        <v>0</v>
      </c>
      <c r="F2" s="78" t="s">
        <v>249</v>
      </c>
      <c r="G2" s="78" t="s">
        <v>260</v>
      </c>
      <c r="H2" s="79" t="s">
        <v>1</v>
      </c>
      <c r="I2" s="79" t="s">
        <v>2</v>
      </c>
      <c r="J2" s="79" t="s">
        <v>80</v>
      </c>
      <c r="K2" s="79" t="s">
        <v>81</v>
      </c>
      <c r="L2" s="8" t="s">
        <v>9</v>
      </c>
      <c r="M2" s="67" t="s">
        <v>78</v>
      </c>
      <c r="N2" s="68" t="s">
        <v>79</v>
      </c>
      <c r="O2" s="69" t="s">
        <v>77</v>
      </c>
      <c r="P2" s="70" t="s">
        <v>7</v>
      </c>
      <c r="Q2" s="9" t="s">
        <v>8</v>
      </c>
      <c r="R2" s="78" t="s">
        <v>3</v>
      </c>
      <c r="S2" s="78" t="s">
        <v>10</v>
      </c>
      <c r="T2" s="80" t="s">
        <v>12</v>
      </c>
    </row>
    <row r="3" spans="1:20" ht="21.95" customHeight="1">
      <c r="A3" s="553">
        <v>45926</v>
      </c>
      <c r="B3" s="1980" t="s">
        <v>34</v>
      </c>
      <c r="C3" s="553"/>
      <c r="D3" s="553"/>
      <c r="E3" s="558" t="s">
        <v>36</v>
      </c>
      <c r="F3" s="558"/>
      <c r="G3" s="558"/>
      <c r="H3" s="103" t="s">
        <v>37</v>
      </c>
      <c r="I3" s="503" t="s">
        <v>35</v>
      </c>
      <c r="J3" s="550">
        <v>19200</v>
      </c>
      <c r="K3" s="550">
        <v>24190</v>
      </c>
      <c r="L3" s="56">
        <f t="shared" ref="L3" si="0">K3-J3</f>
        <v>4990</v>
      </c>
      <c r="M3" s="546">
        <v>4770</v>
      </c>
      <c r="N3" s="546"/>
      <c r="O3" s="546">
        <v>4770</v>
      </c>
      <c r="P3" s="565">
        <v>1710</v>
      </c>
      <c r="Q3" s="511">
        <f t="shared" ref="Q3:Q4" si="1">P3*O3</f>
        <v>8156700</v>
      </c>
      <c r="R3" s="1981" t="s">
        <v>5</v>
      </c>
      <c r="S3" s="605"/>
      <c r="T3" s="1978" t="s">
        <v>62</v>
      </c>
    </row>
    <row r="4" spans="1:20" ht="21.95" customHeight="1" thickBot="1">
      <c r="A4" s="554">
        <f>A3</f>
        <v>45926</v>
      </c>
      <c r="B4" s="1982"/>
      <c r="C4" s="554"/>
      <c r="D4" s="554"/>
      <c r="E4" s="559" t="str">
        <f>E3</f>
        <v>81오1758</v>
      </c>
      <c r="F4" s="559"/>
      <c r="G4" s="559"/>
      <c r="H4" s="194" t="s">
        <v>37</v>
      </c>
      <c r="I4" s="62" t="s">
        <v>60</v>
      </c>
      <c r="J4" s="479"/>
      <c r="K4" s="479"/>
      <c r="L4" s="64"/>
      <c r="M4" s="62">
        <v>220</v>
      </c>
      <c r="N4" s="62"/>
      <c r="O4" s="62">
        <v>220</v>
      </c>
      <c r="P4" s="65">
        <v>300</v>
      </c>
      <c r="Q4" s="65">
        <f t="shared" si="1"/>
        <v>66000</v>
      </c>
      <c r="R4" s="1983"/>
      <c r="S4" s="198"/>
      <c r="T4" s="1984"/>
    </row>
    <row r="5" spans="1:20">
      <c r="A5" s="547">
        <v>46147</v>
      </c>
      <c r="B5" s="570" t="s">
        <v>264</v>
      </c>
      <c r="C5" s="570" t="s">
        <v>262</v>
      </c>
      <c r="D5" s="547" t="s">
        <v>46</v>
      </c>
      <c r="E5" s="547" t="s">
        <v>53</v>
      </c>
      <c r="F5" s="547" t="s">
        <v>250</v>
      </c>
      <c r="G5" s="547" t="s">
        <v>292</v>
      </c>
      <c r="H5" s="501" t="s">
        <v>85</v>
      </c>
      <c r="I5" s="503" t="s">
        <v>197</v>
      </c>
      <c r="J5" s="509">
        <v>14070</v>
      </c>
      <c r="K5" s="509">
        <v>21810</v>
      </c>
      <c r="L5" s="23">
        <f>(K5-J5)*0.7</f>
        <v>5418</v>
      </c>
      <c r="M5" s="239">
        <f>7710*0.7</f>
        <v>5397</v>
      </c>
      <c r="N5" s="320">
        <v>9</v>
      </c>
      <c r="O5" s="239">
        <f>M5-N5</f>
        <v>5388</v>
      </c>
      <c r="P5" s="511">
        <v>3800</v>
      </c>
      <c r="Q5" s="511">
        <f t="shared" ref="Q5:Q13" si="2">P5*O5</f>
        <v>20474400</v>
      </c>
      <c r="R5" s="1988" t="s">
        <v>5</v>
      </c>
      <c r="S5" s="123" t="s">
        <v>161</v>
      </c>
      <c r="T5" s="1991" t="s">
        <v>383</v>
      </c>
    </row>
    <row r="6" spans="1:20" ht="40.5">
      <c r="A6" s="548">
        <v>46147</v>
      </c>
      <c r="B6" s="571" t="s">
        <v>337</v>
      </c>
      <c r="C6" s="571" t="s">
        <v>262</v>
      </c>
      <c r="D6" s="548" t="s">
        <v>46</v>
      </c>
      <c r="E6" s="548" t="s">
        <v>53</v>
      </c>
      <c r="F6" s="548" t="s">
        <v>250</v>
      </c>
      <c r="G6" s="548" t="s">
        <v>292</v>
      </c>
      <c r="H6" s="502" t="s">
        <v>85</v>
      </c>
      <c r="I6" s="564" t="s">
        <v>197</v>
      </c>
      <c r="J6" s="563"/>
      <c r="K6" s="563"/>
      <c r="L6" s="28">
        <f>(K5-J5)*0.3</f>
        <v>2322</v>
      </c>
      <c r="M6" s="234">
        <f>(7710*0.3)-M7</f>
        <v>1213</v>
      </c>
      <c r="N6" s="562"/>
      <c r="O6" s="234">
        <f>M6</f>
        <v>1213</v>
      </c>
      <c r="P6" s="549">
        <v>3800</v>
      </c>
      <c r="Q6" s="549">
        <f t="shared" si="2"/>
        <v>4609400</v>
      </c>
      <c r="R6" s="1989"/>
      <c r="S6" s="111" t="s">
        <v>395</v>
      </c>
      <c r="T6" s="1991"/>
    </row>
    <row r="7" spans="1:20">
      <c r="A7" s="552">
        <v>46147</v>
      </c>
      <c r="B7" s="567" t="s">
        <v>337</v>
      </c>
      <c r="C7" s="567" t="s">
        <v>262</v>
      </c>
      <c r="D7" s="552" t="s">
        <v>263</v>
      </c>
      <c r="E7" s="552" t="s">
        <v>172</v>
      </c>
      <c r="F7" s="552" t="s">
        <v>291</v>
      </c>
      <c r="G7" s="552" t="s">
        <v>292</v>
      </c>
      <c r="H7" s="481" t="s">
        <v>37</v>
      </c>
      <c r="I7" s="557" t="s">
        <v>378</v>
      </c>
      <c r="J7" s="507"/>
      <c r="K7" s="507"/>
      <c r="L7" s="157"/>
      <c r="M7" s="252">
        <v>1100</v>
      </c>
      <c r="N7" s="561"/>
      <c r="O7" s="252">
        <f>M7</f>
        <v>1100</v>
      </c>
      <c r="P7" s="560">
        <v>3750</v>
      </c>
      <c r="Q7" s="560">
        <f t="shared" si="2"/>
        <v>4125000</v>
      </c>
      <c r="R7" s="1990"/>
      <c r="S7" s="510" t="s">
        <v>377</v>
      </c>
      <c r="T7" s="1991"/>
    </row>
    <row r="8" spans="1:20">
      <c r="A8" s="704">
        <v>46149</v>
      </c>
      <c r="B8" s="719" t="s">
        <v>344</v>
      </c>
      <c r="C8" s="719" t="s">
        <v>262</v>
      </c>
      <c r="D8" s="704" t="s">
        <v>263</v>
      </c>
      <c r="E8" s="704" t="s">
        <v>172</v>
      </c>
      <c r="F8" s="704" t="s">
        <v>291</v>
      </c>
      <c r="G8" s="704" t="s">
        <v>292</v>
      </c>
      <c r="H8" s="501" t="s">
        <v>85</v>
      </c>
      <c r="I8" s="693" t="s">
        <v>123</v>
      </c>
      <c r="J8" s="687"/>
      <c r="K8" s="687"/>
      <c r="L8" s="23">
        <v>510</v>
      </c>
      <c r="M8" s="239">
        <v>510</v>
      </c>
      <c r="N8" s="320"/>
      <c r="O8" s="239">
        <f>M8-N8</f>
        <v>510</v>
      </c>
      <c r="P8" s="695">
        <v>1920</v>
      </c>
      <c r="Q8" s="695">
        <f t="shared" si="2"/>
        <v>979200</v>
      </c>
      <c r="R8" s="1992" t="s">
        <v>5</v>
      </c>
      <c r="S8" s="123" t="s">
        <v>379</v>
      </c>
      <c r="T8" s="1991" t="s">
        <v>456</v>
      </c>
    </row>
    <row r="9" spans="1:20">
      <c r="A9" s="702">
        <v>46149</v>
      </c>
      <c r="B9" s="712" t="s">
        <v>264</v>
      </c>
      <c r="C9" s="712" t="s">
        <v>262</v>
      </c>
      <c r="D9" s="702" t="s">
        <v>263</v>
      </c>
      <c r="E9" s="702" t="s">
        <v>172</v>
      </c>
      <c r="F9" s="702" t="s">
        <v>291</v>
      </c>
      <c r="G9" s="702" t="s">
        <v>292</v>
      </c>
      <c r="H9" s="226" t="s">
        <v>85</v>
      </c>
      <c r="I9" s="711" t="s">
        <v>123</v>
      </c>
      <c r="J9" s="688">
        <v>14050</v>
      </c>
      <c r="K9" s="688">
        <v>15840</v>
      </c>
      <c r="L9" s="26">
        <f>K9-J9</f>
        <v>1790</v>
      </c>
      <c r="M9" s="164">
        <v>1790</v>
      </c>
      <c r="N9" s="691"/>
      <c r="O9" s="164">
        <f t="shared" ref="O9:O11" si="3">M9-N9</f>
        <v>1790</v>
      </c>
      <c r="P9" s="690">
        <v>1920</v>
      </c>
      <c r="Q9" s="690">
        <f t="shared" si="2"/>
        <v>3436800</v>
      </c>
      <c r="R9" s="1993"/>
      <c r="S9" s="709" t="s">
        <v>380</v>
      </c>
      <c r="T9" s="1991"/>
    </row>
    <row r="10" spans="1:20">
      <c r="A10" s="702">
        <v>46149</v>
      </c>
      <c r="B10" s="712" t="s">
        <v>337</v>
      </c>
      <c r="C10" s="712" t="s">
        <v>262</v>
      </c>
      <c r="D10" s="702" t="s">
        <v>263</v>
      </c>
      <c r="E10" s="702" t="s">
        <v>172</v>
      </c>
      <c r="F10" s="702" t="s">
        <v>291</v>
      </c>
      <c r="G10" s="702" t="s">
        <v>292</v>
      </c>
      <c r="H10" s="226" t="s">
        <v>85</v>
      </c>
      <c r="I10" s="711" t="s">
        <v>123</v>
      </c>
      <c r="J10" s="688">
        <v>16350</v>
      </c>
      <c r="K10" s="688">
        <v>19690</v>
      </c>
      <c r="L10" s="26">
        <f t="shared" ref="L10:L11" si="4">K10-J10</f>
        <v>3340</v>
      </c>
      <c r="M10" s="164">
        <v>3270</v>
      </c>
      <c r="N10" s="691">
        <v>6</v>
      </c>
      <c r="O10" s="164">
        <f t="shared" si="3"/>
        <v>3264</v>
      </c>
      <c r="P10" s="690">
        <v>1920</v>
      </c>
      <c r="Q10" s="690">
        <f t="shared" si="2"/>
        <v>6266880</v>
      </c>
      <c r="R10" s="1993"/>
      <c r="S10" s="709" t="s">
        <v>381</v>
      </c>
      <c r="T10" s="1991"/>
    </row>
    <row r="11" spans="1:20">
      <c r="A11" s="703">
        <v>46149</v>
      </c>
      <c r="B11" s="715" t="s">
        <v>173</v>
      </c>
      <c r="C11" s="715" t="s">
        <v>262</v>
      </c>
      <c r="D11" s="703" t="s">
        <v>263</v>
      </c>
      <c r="E11" s="703" t="s">
        <v>172</v>
      </c>
      <c r="F11" s="703" t="s">
        <v>291</v>
      </c>
      <c r="G11" s="703" t="s">
        <v>292</v>
      </c>
      <c r="H11" s="480" t="s">
        <v>85</v>
      </c>
      <c r="I11" s="694" t="s">
        <v>230</v>
      </c>
      <c r="J11" s="685">
        <v>19680</v>
      </c>
      <c r="K11" s="685">
        <v>20930</v>
      </c>
      <c r="L11" s="461">
        <f t="shared" si="4"/>
        <v>1250</v>
      </c>
      <c r="M11" s="273">
        <v>1230</v>
      </c>
      <c r="N11" s="708">
        <v>9</v>
      </c>
      <c r="O11" s="273">
        <f t="shared" si="3"/>
        <v>1221</v>
      </c>
      <c r="P11" s="696">
        <v>1650</v>
      </c>
      <c r="Q11" s="696">
        <f t="shared" si="2"/>
        <v>2014650</v>
      </c>
      <c r="R11" s="1994"/>
      <c r="S11" s="152" t="s">
        <v>382</v>
      </c>
      <c r="T11" s="1991"/>
    </row>
    <row r="12" spans="1:20">
      <c r="A12" s="702">
        <v>46149</v>
      </c>
      <c r="B12" s="712" t="s">
        <v>264</v>
      </c>
      <c r="C12" s="712" t="s">
        <v>262</v>
      </c>
      <c r="D12" s="702" t="s">
        <v>263</v>
      </c>
      <c r="E12" s="702" t="s">
        <v>33</v>
      </c>
      <c r="F12" s="702" t="s">
        <v>291</v>
      </c>
      <c r="G12" s="702" t="s">
        <v>292</v>
      </c>
      <c r="H12" s="226" t="s">
        <v>37</v>
      </c>
      <c r="I12" s="711" t="s">
        <v>123</v>
      </c>
      <c r="J12" s="688">
        <v>13450</v>
      </c>
      <c r="K12" s="688">
        <v>20340</v>
      </c>
      <c r="L12" s="26">
        <f>K12-J12</f>
        <v>6890</v>
      </c>
      <c r="M12" s="164">
        <f>6840-M13</f>
        <v>2430</v>
      </c>
      <c r="N12" s="691"/>
      <c r="O12" s="164">
        <f>M12</f>
        <v>2430</v>
      </c>
      <c r="P12" s="690">
        <v>1920</v>
      </c>
      <c r="Q12" s="690">
        <f t="shared" si="2"/>
        <v>4665600</v>
      </c>
      <c r="R12" s="699" t="s">
        <v>5</v>
      </c>
      <c r="S12" s="709"/>
      <c r="T12" s="1991"/>
    </row>
    <row r="13" spans="1:20">
      <c r="A13" s="705">
        <v>46149</v>
      </c>
      <c r="B13" s="720" t="s">
        <v>264</v>
      </c>
      <c r="C13" s="720" t="s">
        <v>262</v>
      </c>
      <c r="D13" s="705" t="s">
        <v>263</v>
      </c>
      <c r="E13" s="705" t="s">
        <v>70</v>
      </c>
      <c r="F13" s="705" t="s">
        <v>291</v>
      </c>
      <c r="G13" s="705" t="s">
        <v>292</v>
      </c>
      <c r="H13" s="502" t="s">
        <v>37</v>
      </c>
      <c r="I13" s="697" t="s">
        <v>192</v>
      </c>
      <c r="J13" s="689"/>
      <c r="K13" s="689"/>
      <c r="L13" s="28"/>
      <c r="M13" s="234">
        <f>1100+720+950+810+410+420</f>
        <v>4410</v>
      </c>
      <c r="N13" s="710"/>
      <c r="O13" s="234">
        <f>M13</f>
        <v>4410</v>
      </c>
      <c r="P13" s="698">
        <v>1850</v>
      </c>
      <c r="Q13" s="698">
        <f t="shared" si="2"/>
        <v>8158500</v>
      </c>
      <c r="R13" s="700" t="s">
        <v>5</v>
      </c>
      <c r="S13" s="111" t="s">
        <v>457</v>
      </c>
      <c r="T13" s="1991"/>
    </row>
    <row r="14" spans="1:20">
      <c r="A14" s="852">
        <v>46155</v>
      </c>
      <c r="B14" s="858" t="s">
        <v>173</v>
      </c>
      <c r="C14" s="858" t="s">
        <v>262</v>
      </c>
      <c r="D14" s="852" t="s">
        <v>436</v>
      </c>
      <c r="E14" s="852" t="s">
        <v>437</v>
      </c>
      <c r="F14" s="852" t="s">
        <v>289</v>
      </c>
      <c r="G14" s="852" t="s">
        <v>290</v>
      </c>
      <c r="H14" s="501" t="s">
        <v>37</v>
      </c>
      <c r="I14" s="846" t="s">
        <v>438</v>
      </c>
      <c r="J14" s="842">
        <v>2140</v>
      </c>
      <c r="K14" s="842">
        <v>2730</v>
      </c>
      <c r="L14" s="23">
        <v>590</v>
      </c>
      <c r="M14" s="837">
        <v>563.5</v>
      </c>
      <c r="N14" s="320">
        <v>3</v>
      </c>
      <c r="O14" s="837">
        <f>M14-N14</f>
        <v>560.5</v>
      </c>
      <c r="P14" s="848">
        <v>13000</v>
      </c>
      <c r="Q14" s="848">
        <f>O14*P14</f>
        <v>7286500</v>
      </c>
      <c r="R14" s="1988" t="s">
        <v>5</v>
      </c>
      <c r="S14" s="123" t="s">
        <v>439</v>
      </c>
      <c r="T14" s="1991" t="s">
        <v>516</v>
      </c>
    </row>
    <row r="15" spans="1:20">
      <c r="A15" s="850">
        <v>46155</v>
      </c>
      <c r="B15" s="856" t="s">
        <v>337</v>
      </c>
      <c r="C15" s="856" t="s">
        <v>262</v>
      </c>
      <c r="D15" s="850" t="s">
        <v>436</v>
      </c>
      <c r="E15" s="850" t="s">
        <v>437</v>
      </c>
      <c r="F15" s="850" t="s">
        <v>289</v>
      </c>
      <c r="G15" s="850" t="s">
        <v>290</v>
      </c>
      <c r="H15" s="226" t="s">
        <v>37</v>
      </c>
      <c r="I15" s="855" t="s">
        <v>508</v>
      </c>
      <c r="J15" s="843">
        <v>2730</v>
      </c>
      <c r="K15" s="843">
        <v>3050</v>
      </c>
      <c r="L15" s="26">
        <v>320</v>
      </c>
      <c r="M15" s="838">
        <v>125.5</v>
      </c>
      <c r="N15" s="845"/>
      <c r="O15" s="839">
        <f>M15-N15</f>
        <v>125.5</v>
      </c>
      <c r="P15" s="844">
        <v>18000</v>
      </c>
      <c r="Q15" s="844">
        <f>O15*P15</f>
        <v>2259000</v>
      </c>
      <c r="R15" s="1989"/>
      <c r="S15" s="854" t="s">
        <v>503</v>
      </c>
      <c r="T15" s="1991"/>
    </row>
    <row r="16" spans="1:20">
      <c r="A16" s="850">
        <v>46155</v>
      </c>
      <c r="B16" s="856" t="s">
        <v>337</v>
      </c>
      <c r="C16" s="856" t="s">
        <v>262</v>
      </c>
      <c r="D16" s="850" t="s">
        <v>436</v>
      </c>
      <c r="E16" s="850" t="s">
        <v>437</v>
      </c>
      <c r="F16" s="850" t="s">
        <v>289</v>
      </c>
      <c r="G16" s="850" t="s">
        <v>290</v>
      </c>
      <c r="H16" s="226" t="s">
        <v>37</v>
      </c>
      <c r="I16" s="847" t="s">
        <v>35</v>
      </c>
      <c r="J16" s="841"/>
      <c r="K16" s="841"/>
      <c r="L16" s="461"/>
      <c r="M16" s="839">
        <v>185.5</v>
      </c>
      <c r="N16" s="853"/>
      <c r="O16" s="839">
        <f>M16-N16</f>
        <v>185.5</v>
      </c>
      <c r="P16" s="849">
        <v>1900</v>
      </c>
      <c r="Q16" s="844">
        <f t="shared" ref="Q16:Q19" si="5">O16*P16</f>
        <v>352450</v>
      </c>
      <c r="R16" s="1989"/>
      <c r="S16" s="152" t="s">
        <v>198</v>
      </c>
      <c r="T16" s="1991"/>
    </row>
    <row r="17" spans="1:20">
      <c r="A17" s="851">
        <v>46155</v>
      </c>
      <c r="B17" s="857" t="s">
        <v>264</v>
      </c>
      <c r="C17" s="857" t="s">
        <v>262</v>
      </c>
      <c r="D17" s="851" t="s">
        <v>436</v>
      </c>
      <c r="E17" s="851" t="s">
        <v>437</v>
      </c>
      <c r="F17" s="851" t="s">
        <v>289</v>
      </c>
      <c r="G17" s="851" t="s">
        <v>290</v>
      </c>
      <c r="H17" s="480" t="s">
        <v>37</v>
      </c>
      <c r="I17" s="847" t="s">
        <v>509</v>
      </c>
      <c r="J17" s="841">
        <v>3050</v>
      </c>
      <c r="K17" s="841">
        <v>3170</v>
      </c>
      <c r="L17" s="28">
        <v>120</v>
      </c>
      <c r="M17" s="839">
        <v>114</v>
      </c>
      <c r="N17" s="853">
        <v>3</v>
      </c>
      <c r="O17" s="839">
        <f>M17-N17</f>
        <v>111</v>
      </c>
      <c r="P17" s="849">
        <v>50000</v>
      </c>
      <c r="Q17" s="849">
        <f t="shared" si="5"/>
        <v>5550000</v>
      </c>
      <c r="R17" s="1989"/>
      <c r="S17" s="152" t="s">
        <v>504</v>
      </c>
      <c r="T17" s="1991"/>
    </row>
    <row r="18" spans="1:20">
      <c r="A18" s="910">
        <v>46160</v>
      </c>
      <c r="B18" s="928" t="s">
        <v>264</v>
      </c>
      <c r="C18" s="928" t="s">
        <v>440</v>
      </c>
      <c r="D18" s="910" t="s">
        <v>263</v>
      </c>
      <c r="E18" s="910" t="s">
        <v>172</v>
      </c>
      <c r="F18" s="910" t="s">
        <v>291</v>
      </c>
      <c r="G18" s="910" t="s">
        <v>292</v>
      </c>
      <c r="H18" s="501" t="s">
        <v>37</v>
      </c>
      <c r="I18" s="904" t="s">
        <v>123</v>
      </c>
      <c r="J18" s="897">
        <v>14080</v>
      </c>
      <c r="K18" s="897">
        <v>19060</v>
      </c>
      <c r="L18" s="23">
        <f>K18-J18</f>
        <v>4980</v>
      </c>
      <c r="M18" s="934">
        <f>5000-M19</f>
        <v>4490</v>
      </c>
      <c r="N18" s="935">
        <v>3</v>
      </c>
      <c r="O18" s="934">
        <f>M18-N18</f>
        <v>4487</v>
      </c>
      <c r="P18" s="905">
        <v>1920</v>
      </c>
      <c r="Q18" s="905">
        <f t="shared" si="5"/>
        <v>8615040</v>
      </c>
      <c r="R18" s="1992" t="s">
        <v>5</v>
      </c>
      <c r="S18" s="123" t="s">
        <v>515</v>
      </c>
      <c r="T18" s="1996" t="s">
        <v>520</v>
      </c>
    </row>
    <row r="19" spans="1:20">
      <c r="A19" s="911">
        <v>46160</v>
      </c>
      <c r="B19" s="929" t="s">
        <v>264</v>
      </c>
      <c r="C19" s="929" t="s">
        <v>440</v>
      </c>
      <c r="D19" s="911" t="s">
        <v>263</v>
      </c>
      <c r="E19" s="911" t="s">
        <v>172</v>
      </c>
      <c r="F19" s="911" t="s">
        <v>291</v>
      </c>
      <c r="G19" s="911" t="s">
        <v>292</v>
      </c>
      <c r="H19" s="502" t="s">
        <v>37</v>
      </c>
      <c r="I19" s="906" t="s">
        <v>92</v>
      </c>
      <c r="J19" s="899"/>
      <c r="K19" s="899"/>
      <c r="L19" s="28"/>
      <c r="M19" s="941">
        <v>510</v>
      </c>
      <c r="N19" s="942"/>
      <c r="O19" s="941">
        <v>510</v>
      </c>
      <c r="P19" s="907">
        <v>200</v>
      </c>
      <c r="Q19" s="907">
        <f t="shared" si="5"/>
        <v>102000</v>
      </c>
      <c r="R19" s="1995"/>
      <c r="S19" s="111" t="s">
        <v>101</v>
      </c>
      <c r="T19" s="1997"/>
    </row>
    <row r="20" spans="1:20">
      <c r="A20" s="910">
        <v>46161</v>
      </c>
      <c r="B20" s="928" t="s">
        <v>264</v>
      </c>
      <c r="C20" s="928" t="s">
        <v>17</v>
      </c>
      <c r="D20" s="910" t="s">
        <v>89</v>
      </c>
      <c r="E20" s="910" t="s">
        <v>206</v>
      </c>
      <c r="F20" s="910"/>
      <c r="G20" s="910"/>
      <c r="H20" s="501" t="s">
        <v>37</v>
      </c>
      <c r="I20" s="904" t="s">
        <v>123</v>
      </c>
      <c r="J20" s="897">
        <v>20020</v>
      </c>
      <c r="K20" s="897">
        <v>25820</v>
      </c>
      <c r="L20" s="23">
        <f>K20-J20</f>
        <v>5800</v>
      </c>
      <c r="M20" s="934">
        <f>5780-150-240-580</f>
        <v>4810</v>
      </c>
      <c r="N20" s="935">
        <v>6</v>
      </c>
      <c r="O20" s="934">
        <f>M20-N20</f>
        <v>4804</v>
      </c>
      <c r="P20" s="905">
        <v>1920</v>
      </c>
      <c r="Q20" s="905">
        <f t="shared" ref="Q20:Q23" si="6">O20*P20</f>
        <v>9223680</v>
      </c>
      <c r="R20" s="1992" t="s">
        <v>5</v>
      </c>
      <c r="S20" s="123" t="s">
        <v>517</v>
      </c>
      <c r="T20" s="1997"/>
    </row>
    <row r="21" spans="1:20">
      <c r="A21" s="908">
        <v>46161</v>
      </c>
      <c r="B21" s="920" t="s">
        <v>304</v>
      </c>
      <c r="C21" s="920" t="s">
        <v>262</v>
      </c>
      <c r="D21" s="908" t="s">
        <v>239</v>
      </c>
      <c r="E21" s="908" t="s">
        <v>235</v>
      </c>
      <c r="F21" s="908"/>
      <c r="G21" s="908"/>
      <c r="H21" s="226" t="s">
        <v>37</v>
      </c>
      <c r="I21" s="919" t="s">
        <v>123</v>
      </c>
      <c r="J21" s="898"/>
      <c r="K21" s="898"/>
      <c r="L21" s="26"/>
      <c r="M21" s="936">
        <v>240</v>
      </c>
      <c r="N21" s="937"/>
      <c r="O21" s="936">
        <v>240</v>
      </c>
      <c r="P21" s="901">
        <v>1920</v>
      </c>
      <c r="Q21" s="901">
        <f>P21*O21</f>
        <v>460800</v>
      </c>
      <c r="R21" s="1993"/>
      <c r="S21" s="917" t="s">
        <v>521</v>
      </c>
      <c r="T21" s="1997"/>
    </row>
    <row r="22" spans="1:20">
      <c r="A22" s="908">
        <v>46161</v>
      </c>
      <c r="B22" s="920" t="s">
        <v>522</v>
      </c>
      <c r="C22" s="920" t="s">
        <v>17</v>
      </c>
      <c r="D22" s="908" t="s">
        <v>239</v>
      </c>
      <c r="E22" s="908" t="s">
        <v>235</v>
      </c>
      <c r="F22" s="908"/>
      <c r="G22" s="908"/>
      <c r="H22" s="226" t="s">
        <v>37</v>
      </c>
      <c r="I22" s="919" t="s">
        <v>123</v>
      </c>
      <c r="J22" s="898"/>
      <c r="K22" s="898"/>
      <c r="L22" s="26"/>
      <c r="M22" s="936">
        <v>580</v>
      </c>
      <c r="N22" s="937"/>
      <c r="O22" s="936">
        <v>580</v>
      </c>
      <c r="P22" s="901">
        <v>1920</v>
      </c>
      <c r="Q22" s="901">
        <f>P22*O22</f>
        <v>1113600</v>
      </c>
      <c r="R22" s="1993"/>
      <c r="S22" s="917" t="s">
        <v>309</v>
      </c>
      <c r="T22" s="1997"/>
    </row>
    <row r="23" spans="1:20">
      <c r="A23" s="911">
        <v>46161</v>
      </c>
      <c r="B23" s="929" t="s">
        <v>264</v>
      </c>
      <c r="C23" s="929" t="s">
        <v>17</v>
      </c>
      <c r="D23" s="911" t="s">
        <v>89</v>
      </c>
      <c r="E23" s="911" t="s">
        <v>206</v>
      </c>
      <c r="F23" s="911"/>
      <c r="G23" s="911"/>
      <c r="H23" s="502" t="s">
        <v>37</v>
      </c>
      <c r="I23" s="906" t="s">
        <v>60</v>
      </c>
      <c r="J23" s="899"/>
      <c r="K23" s="899"/>
      <c r="L23" s="28"/>
      <c r="M23" s="941">
        <v>150</v>
      </c>
      <c r="N23" s="942"/>
      <c r="O23" s="941">
        <v>150</v>
      </c>
      <c r="P23" s="907">
        <v>250</v>
      </c>
      <c r="Q23" s="907">
        <f t="shared" si="6"/>
        <v>37500</v>
      </c>
      <c r="R23" s="1995"/>
      <c r="S23" s="111" t="s">
        <v>140</v>
      </c>
      <c r="T23" s="1998"/>
    </row>
    <row r="24" spans="1:20">
      <c r="A24" s="1243">
        <v>46164</v>
      </c>
      <c r="B24" s="1256" t="s">
        <v>264</v>
      </c>
      <c r="C24" s="1256" t="s">
        <v>440</v>
      </c>
      <c r="D24" s="1243" t="s">
        <v>239</v>
      </c>
      <c r="E24" s="1243" t="s">
        <v>235</v>
      </c>
      <c r="F24" s="1243" t="s">
        <v>257</v>
      </c>
      <c r="G24" s="1243" t="s">
        <v>279</v>
      </c>
      <c r="H24" s="501" t="s">
        <v>37</v>
      </c>
      <c r="I24" s="1239" t="s">
        <v>579</v>
      </c>
      <c r="J24" s="1236">
        <v>20720</v>
      </c>
      <c r="K24" s="1236">
        <v>33160</v>
      </c>
      <c r="L24" s="23">
        <v>12440</v>
      </c>
      <c r="M24" s="934">
        <f>12440-1260-740</f>
        <v>10440</v>
      </c>
      <c r="N24" s="935">
        <v>9</v>
      </c>
      <c r="O24" s="934">
        <f>M24-N24</f>
        <v>10431</v>
      </c>
      <c r="P24" s="1241">
        <v>1500</v>
      </c>
      <c r="Q24" s="1241">
        <f>P24*O24</f>
        <v>15646500</v>
      </c>
      <c r="R24" s="1992" t="s">
        <v>5</v>
      </c>
      <c r="S24" s="1233" t="s">
        <v>580</v>
      </c>
      <c r="T24" s="2000" t="s">
        <v>633</v>
      </c>
    </row>
    <row r="25" spans="1:20">
      <c r="A25" s="1244">
        <v>46164</v>
      </c>
      <c r="B25" s="1247" t="s">
        <v>264</v>
      </c>
      <c r="C25" s="1247" t="s">
        <v>440</v>
      </c>
      <c r="D25" s="1244" t="s">
        <v>239</v>
      </c>
      <c r="E25" s="1244" t="s">
        <v>235</v>
      </c>
      <c r="F25" s="1244" t="s">
        <v>257</v>
      </c>
      <c r="G25" s="1244" t="s">
        <v>279</v>
      </c>
      <c r="H25" s="226" t="s">
        <v>37</v>
      </c>
      <c r="I25" s="1253" t="s">
        <v>92</v>
      </c>
      <c r="J25" s="1234"/>
      <c r="K25" s="1234"/>
      <c r="L25" s="26"/>
      <c r="M25" s="936">
        <v>1260</v>
      </c>
      <c r="N25" s="937"/>
      <c r="O25" s="936">
        <f>M25</f>
        <v>1260</v>
      </c>
      <c r="P25" s="1238">
        <v>200</v>
      </c>
      <c r="Q25" s="1238">
        <f t="shared" ref="Q25:Q26" si="7">P25*O25</f>
        <v>252000</v>
      </c>
      <c r="R25" s="1993"/>
      <c r="S25" s="179" t="s">
        <v>101</v>
      </c>
      <c r="T25" s="1991"/>
    </row>
    <row r="26" spans="1:20" ht="15.75" customHeight="1">
      <c r="A26" s="1245">
        <v>46164</v>
      </c>
      <c r="B26" s="1257" t="s">
        <v>264</v>
      </c>
      <c r="C26" s="1257" t="s">
        <v>440</v>
      </c>
      <c r="D26" s="1245" t="s">
        <v>239</v>
      </c>
      <c r="E26" s="1245" t="s">
        <v>235</v>
      </c>
      <c r="F26" s="1245" t="s">
        <v>257</v>
      </c>
      <c r="G26" s="1245" t="s">
        <v>279</v>
      </c>
      <c r="H26" s="502" t="s">
        <v>37</v>
      </c>
      <c r="I26" s="1240" t="s">
        <v>60</v>
      </c>
      <c r="J26" s="1235"/>
      <c r="K26" s="1235"/>
      <c r="L26" s="28"/>
      <c r="M26" s="941">
        <v>740</v>
      </c>
      <c r="N26" s="942"/>
      <c r="O26" s="941">
        <f>M26</f>
        <v>740</v>
      </c>
      <c r="P26" s="1242">
        <v>250</v>
      </c>
      <c r="Q26" s="1242">
        <f t="shared" si="7"/>
        <v>185000</v>
      </c>
      <c r="R26" s="1995"/>
      <c r="S26" s="180" t="s">
        <v>140</v>
      </c>
      <c r="T26" s="1991"/>
    </row>
    <row r="27" spans="1:20">
      <c r="A27" s="1206">
        <v>46164</v>
      </c>
      <c r="B27" s="1217" t="s">
        <v>264</v>
      </c>
      <c r="C27" s="1217" t="s">
        <v>262</v>
      </c>
      <c r="D27" s="1206" t="s">
        <v>263</v>
      </c>
      <c r="E27" s="1206" t="s">
        <v>172</v>
      </c>
      <c r="F27" s="1206" t="s">
        <v>291</v>
      </c>
      <c r="G27" s="1206" t="s">
        <v>292</v>
      </c>
      <c r="H27" s="83" t="s">
        <v>37</v>
      </c>
      <c r="I27" s="1207" t="s">
        <v>564</v>
      </c>
      <c r="J27" s="1197">
        <v>14090</v>
      </c>
      <c r="K27" s="1197">
        <v>16810</v>
      </c>
      <c r="L27" s="462">
        <v>2720</v>
      </c>
      <c r="M27" s="1228">
        <f>2690-2240</f>
        <v>450</v>
      </c>
      <c r="N27" s="1229"/>
      <c r="O27" s="1228">
        <f>M27</f>
        <v>450</v>
      </c>
      <c r="P27" s="1214">
        <v>4500</v>
      </c>
      <c r="Q27" s="1214">
        <f t="shared" ref="Q27:Q36" si="8">P27*O27</f>
        <v>2025000</v>
      </c>
      <c r="R27" s="1999" t="s">
        <v>5</v>
      </c>
      <c r="S27" s="151" t="s">
        <v>605</v>
      </c>
      <c r="T27" s="1991" t="s">
        <v>615</v>
      </c>
    </row>
    <row r="28" spans="1:20">
      <c r="A28" s="1178">
        <v>46164</v>
      </c>
      <c r="B28" s="1182" t="s">
        <v>264</v>
      </c>
      <c r="C28" s="1182" t="s">
        <v>262</v>
      </c>
      <c r="D28" s="1178" t="s">
        <v>263</v>
      </c>
      <c r="E28" s="1178" t="s">
        <v>172</v>
      </c>
      <c r="F28" s="1178" t="s">
        <v>291</v>
      </c>
      <c r="G28" s="1178" t="s">
        <v>292</v>
      </c>
      <c r="H28" s="226" t="s">
        <v>37</v>
      </c>
      <c r="I28" s="1190" t="s">
        <v>35</v>
      </c>
      <c r="J28" s="1167"/>
      <c r="K28" s="1167"/>
      <c r="L28" s="26"/>
      <c r="M28" s="936">
        <v>2240</v>
      </c>
      <c r="N28" s="937"/>
      <c r="O28" s="936">
        <f>M28</f>
        <v>2240</v>
      </c>
      <c r="P28" s="1169">
        <v>1920</v>
      </c>
      <c r="Q28" s="1169">
        <f t="shared" si="8"/>
        <v>4300800</v>
      </c>
      <c r="R28" s="1993"/>
      <c r="S28" s="1189" t="s">
        <v>198</v>
      </c>
      <c r="T28" s="1991"/>
    </row>
    <row r="29" spans="1:20">
      <c r="A29" s="1180">
        <v>46164</v>
      </c>
      <c r="B29" s="1194" t="s">
        <v>264</v>
      </c>
      <c r="C29" s="1194" t="s">
        <v>440</v>
      </c>
      <c r="D29" s="1180" t="s">
        <v>436</v>
      </c>
      <c r="E29" s="1180" t="s">
        <v>581</v>
      </c>
      <c r="F29" s="1180" t="s">
        <v>289</v>
      </c>
      <c r="G29" s="1180" t="s">
        <v>290</v>
      </c>
      <c r="H29" s="502" t="s">
        <v>37</v>
      </c>
      <c r="I29" s="1176" t="s">
        <v>582</v>
      </c>
      <c r="J29" s="1168">
        <v>2150</v>
      </c>
      <c r="K29" s="1168">
        <v>3820</v>
      </c>
      <c r="L29" s="28">
        <v>1670</v>
      </c>
      <c r="M29" s="941">
        <v>1660</v>
      </c>
      <c r="N29" s="942"/>
      <c r="O29" s="941">
        <v>1660</v>
      </c>
      <c r="P29" s="1177">
        <v>1920</v>
      </c>
      <c r="Q29" s="1177">
        <f t="shared" si="8"/>
        <v>3187200</v>
      </c>
      <c r="R29" s="1161" t="s">
        <v>5</v>
      </c>
      <c r="S29" s="111"/>
      <c r="T29" s="1991"/>
    </row>
    <row r="30" spans="1:20">
      <c r="A30" s="1179">
        <v>46167</v>
      </c>
      <c r="B30" s="1193" t="s">
        <v>314</v>
      </c>
      <c r="C30" s="1193" t="s">
        <v>262</v>
      </c>
      <c r="D30" s="1179" t="s">
        <v>263</v>
      </c>
      <c r="E30" s="1179" t="s">
        <v>334</v>
      </c>
      <c r="F30" s="1179" t="s">
        <v>289</v>
      </c>
      <c r="G30" s="1179" t="s">
        <v>290</v>
      </c>
      <c r="H30" s="501" t="s">
        <v>37</v>
      </c>
      <c r="I30" s="1174" t="s">
        <v>123</v>
      </c>
      <c r="J30" s="1166">
        <v>21010</v>
      </c>
      <c r="K30" s="1166">
        <v>25100</v>
      </c>
      <c r="L30" s="23">
        <f>K30-J30</f>
        <v>4090</v>
      </c>
      <c r="M30" s="934">
        <v>4040</v>
      </c>
      <c r="N30" s="935"/>
      <c r="O30" s="934">
        <f t="shared" ref="O30:O35" si="9">M30</f>
        <v>4040</v>
      </c>
      <c r="P30" s="1175">
        <v>1930</v>
      </c>
      <c r="Q30" s="1175">
        <f t="shared" si="8"/>
        <v>7797200</v>
      </c>
      <c r="R30" s="1159" t="s">
        <v>5</v>
      </c>
      <c r="S30" s="123" t="s">
        <v>603</v>
      </c>
      <c r="T30" s="1991"/>
    </row>
    <row r="31" spans="1:20">
      <c r="A31" s="1178">
        <v>46167</v>
      </c>
      <c r="B31" s="1182" t="s">
        <v>314</v>
      </c>
      <c r="C31" s="1182" t="s">
        <v>262</v>
      </c>
      <c r="D31" s="1178" t="s">
        <v>239</v>
      </c>
      <c r="E31" s="1178" t="s">
        <v>235</v>
      </c>
      <c r="F31" s="1178" t="s">
        <v>289</v>
      </c>
      <c r="G31" s="1178" t="s">
        <v>290</v>
      </c>
      <c r="H31" s="226" t="s">
        <v>37</v>
      </c>
      <c r="I31" s="1190" t="s">
        <v>123</v>
      </c>
      <c r="J31" s="1167">
        <v>20950</v>
      </c>
      <c r="K31" s="1167">
        <v>25100</v>
      </c>
      <c r="L31" s="26">
        <f>K31-J31</f>
        <v>4150</v>
      </c>
      <c r="M31" s="936">
        <f>4090-140</f>
        <v>3950</v>
      </c>
      <c r="N31" s="937"/>
      <c r="O31" s="936">
        <f t="shared" si="9"/>
        <v>3950</v>
      </c>
      <c r="P31" s="1169">
        <v>1930</v>
      </c>
      <c r="Q31" s="1169">
        <f t="shared" si="8"/>
        <v>7623500</v>
      </c>
      <c r="R31" s="1993" t="s">
        <v>5</v>
      </c>
      <c r="S31" s="1189" t="s">
        <v>606</v>
      </c>
      <c r="T31" s="1991"/>
    </row>
    <row r="32" spans="1:20">
      <c r="A32" s="1180">
        <v>46167</v>
      </c>
      <c r="B32" s="1194" t="s">
        <v>314</v>
      </c>
      <c r="C32" s="1194" t="s">
        <v>262</v>
      </c>
      <c r="D32" s="1180" t="s">
        <v>239</v>
      </c>
      <c r="E32" s="1180" t="s">
        <v>235</v>
      </c>
      <c r="F32" s="1180" t="s">
        <v>289</v>
      </c>
      <c r="G32" s="1180" t="s">
        <v>290</v>
      </c>
      <c r="H32" s="502" t="s">
        <v>37</v>
      </c>
      <c r="I32" s="1176" t="s">
        <v>92</v>
      </c>
      <c r="J32" s="1168"/>
      <c r="K32" s="1168"/>
      <c r="L32" s="28"/>
      <c r="M32" s="941">
        <v>140</v>
      </c>
      <c r="N32" s="942"/>
      <c r="O32" s="941">
        <f t="shared" si="9"/>
        <v>140</v>
      </c>
      <c r="P32" s="1177">
        <v>250</v>
      </c>
      <c r="Q32" s="1177">
        <f t="shared" si="8"/>
        <v>35000</v>
      </c>
      <c r="R32" s="1995"/>
      <c r="S32" s="111" t="s">
        <v>101</v>
      </c>
      <c r="T32" s="1991"/>
    </row>
    <row r="33" spans="1:20">
      <c r="A33" s="1179">
        <v>46168</v>
      </c>
      <c r="B33" s="1193" t="s">
        <v>264</v>
      </c>
      <c r="C33" s="1193" t="s">
        <v>262</v>
      </c>
      <c r="D33" s="1179" t="s">
        <v>239</v>
      </c>
      <c r="E33" s="1179" t="s">
        <v>235</v>
      </c>
      <c r="F33" s="1179" t="s">
        <v>289</v>
      </c>
      <c r="G33" s="1179" t="s">
        <v>290</v>
      </c>
      <c r="H33" s="501" t="s">
        <v>37</v>
      </c>
      <c r="I33" s="1174" t="s">
        <v>123</v>
      </c>
      <c r="J33" s="1166">
        <v>20950</v>
      </c>
      <c r="K33" s="1166">
        <v>26320</v>
      </c>
      <c r="L33" s="23">
        <f>K33-J33-1500</f>
        <v>3870</v>
      </c>
      <c r="M33" s="934">
        <f>3720-400</f>
        <v>3320</v>
      </c>
      <c r="N33" s="935"/>
      <c r="O33" s="934">
        <f t="shared" si="9"/>
        <v>3320</v>
      </c>
      <c r="P33" s="1175">
        <v>1930</v>
      </c>
      <c r="Q33" s="1175">
        <f t="shared" si="8"/>
        <v>6407600</v>
      </c>
      <c r="R33" s="1992" t="s">
        <v>5</v>
      </c>
      <c r="S33" s="123" t="s">
        <v>604</v>
      </c>
      <c r="T33" s="1991"/>
    </row>
    <row r="34" spans="1:20">
      <c r="A34" s="1178">
        <v>46168</v>
      </c>
      <c r="B34" s="1182" t="s">
        <v>264</v>
      </c>
      <c r="C34" s="1182" t="s">
        <v>262</v>
      </c>
      <c r="D34" s="1178" t="s">
        <v>239</v>
      </c>
      <c r="E34" s="1178" t="s">
        <v>235</v>
      </c>
      <c r="F34" s="1178" t="s">
        <v>289</v>
      </c>
      <c r="G34" s="1178" t="s">
        <v>290</v>
      </c>
      <c r="H34" s="226" t="s">
        <v>37</v>
      </c>
      <c r="I34" s="1190" t="s">
        <v>92</v>
      </c>
      <c r="J34" s="1167"/>
      <c r="K34" s="1167"/>
      <c r="L34" s="26"/>
      <c r="M34" s="936">
        <v>400</v>
      </c>
      <c r="N34" s="937"/>
      <c r="O34" s="936">
        <f t="shared" si="9"/>
        <v>400</v>
      </c>
      <c r="P34" s="1169">
        <v>250</v>
      </c>
      <c r="Q34" s="1169">
        <f t="shared" si="8"/>
        <v>100000</v>
      </c>
      <c r="R34" s="1993"/>
      <c r="S34" s="1189" t="s">
        <v>101</v>
      </c>
      <c r="T34" s="1991"/>
    </row>
    <row r="35" spans="1:20">
      <c r="A35" s="1180">
        <v>46168</v>
      </c>
      <c r="B35" s="1194" t="s">
        <v>314</v>
      </c>
      <c r="C35" s="1194" t="s">
        <v>262</v>
      </c>
      <c r="D35" s="1180" t="s">
        <v>239</v>
      </c>
      <c r="E35" s="1180" t="s">
        <v>235</v>
      </c>
      <c r="F35" s="1180" t="s">
        <v>289</v>
      </c>
      <c r="G35" s="1180" t="s">
        <v>290</v>
      </c>
      <c r="H35" s="502" t="s">
        <v>37</v>
      </c>
      <c r="I35" s="1176" t="s">
        <v>123</v>
      </c>
      <c r="J35" s="1168"/>
      <c r="K35" s="1168"/>
      <c r="L35" s="28">
        <v>1500</v>
      </c>
      <c r="M35" s="941">
        <v>1500</v>
      </c>
      <c r="N35" s="942"/>
      <c r="O35" s="941">
        <f t="shared" si="9"/>
        <v>1500</v>
      </c>
      <c r="P35" s="1177">
        <v>1930</v>
      </c>
      <c r="Q35" s="1177">
        <f t="shared" si="8"/>
        <v>2895000</v>
      </c>
      <c r="R35" s="1995"/>
      <c r="S35" s="111"/>
      <c r="T35" s="1991"/>
    </row>
    <row r="36" spans="1:20">
      <c r="A36" s="1460">
        <v>46174</v>
      </c>
      <c r="B36" s="1468" t="s">
        <v>264</v>
      </c>
      <c r="C36" s="1468" t="s">
        <v>262</v>
      </c>
      <c r="D36" s="1460" t="s">
        <v>263</v>
      </c>
      <c r="E36" s="1460" t="s">
        <v>70</v>
      </c>
      <c r="F36" s="1460" t="s">
        <v>291</v>
      </c>
      <c r="G36" s="1460" t="s">
        <v>292</v>
      </c>
      <c r="H36" s="501" t="s">
        <v>37</v>
      </c>
      <c r="I36" s="1455" t="s">
        <v>123</v>
      </c>
      <c r="J36" s="1449">
        <v>13600</v>
      </c>
      <c r="K36" s="1449">
        <v>14810</v>
      </c>
      <c r="L36" s="23">
        <f>(K36-J36)/2</f>
        <v>605</v>
      </c>
      <c r="M36" s="934">
        <f>1220/2</f>
        <v>610</v>
      </c>
      <c r="N36" s="935">
        <v>3</v>
      </c>
      <c r="O36" s="934">
        <f>M36-N36</f>
        <v>607</v>
      </c>
      <c r="P36" s="1456">
        <v>2030</v>
      </c>
      <c r="Q36" s="1456">
        <f t="shared" si="8"/>
        <v>1232210</v>
      </c>
      <c r="R36" s="1992" t="s">
        <v>5</v>
      </c>
      <c r="S36" s="123" t="s">
        <v>636</v>
      </c>
      <c r="T36" s="1991" t="s">
        <v>680</v>
      </c>
    </row>
    <row r="37" spans="1:20">
      <c r="A37" s="1459">
        <v>46174</v>
      </c>
      <c r="B37" s="1464" t="s">
        <v>314</v>
      </c>
      <c r="C37" s="1464" t="s">
        <v>262</v>
      </c>
      <c r="D37" s="1459" t="s">
        <v>263</v>
      </c>
      <c r="E37" s="1459" t="s">
        <v>70</v>
      </c>
      <c r="F37" s="1459" t="s">
        <v>291</v>
      </c>
      <c r="G37" s="1459" t="s">
        <v>292</v>
      </c>
      <c r="H37" s="226" t="s">
        <v>37</v>
      </c>
      <c r="I37" s="1467" t="s">
        <v>123</v>
      </c>
      <c r="J37" s="1450"/>
      <c r="K37" s="1450"/>
      <c r="L37" s="26">
        <f>(K36-J36)/2</f>
        <v>605</v>
      </c>
      <c r="M37" s="936">
        <f>(1220/2)-210</f>
        <v>400</v>
      </c>
      <c r="N37" s="937">
        <v>3</v>
      </c>
      <c r="O37" s="936">
        <f>M37-N37</f>
        <v>397</v>
      </c>
      <c r="P37" s="1452">
        <v>2030</v>
      </c>
      <c r="Q37" s="1452">
        <f t="shared" ref="Q37" si="10">P37*O37</f>
        <v>805910</v>
      </c>
      <c r="R37" s="1993"/>
      <c r="S37" s="1466" t="s">
        <v>515</v>
      </c>
      <c r="T37" s="1991"/>
    </row>
    <row r="38" spans="1:20">
      <c r="A38" s="1461">
        <v>46174</v>
      </c>
      <c r="B38" s="1469" t="s">
        <v>314</v>
      </c>
      <c r="C38" s="1469" t="s">
        <v>262</v>
      </c>
      <c r="D38" s="1461" t="s">
        <v>263</v>
      </c>
      <c r="E38" s="1461" t="s">
        <v>70</v>
      </c>
      <c r="F38" s="1461" t="s">
        <v>291</v>
      </c>
      <c r="G38" s="1461" t="s">
        <v>292</v>
      </c>
      <c r="H38" s="502" t="s">
        <v>37</v>
      </c>
      <c r="I38" s="1457" t="s">
        <v>60</v>
      </c>
      <c r="J38" s="1451"/>
      <c r="K38" s="1451"/>
      <c r="L38" s="28"/>
      <c r="M38" s="941">
        <v>210</v>
      </c>
      <c r="N38" s="942"/>
      <c r="O38" s="941">
        <v>210</v>
      </c>
      <c r="P38" s="1458">
        <v>250</v>
      </c>
      <c r="Q38" s="1458">
        <f>P38*O38</f>
        <v>52500</v>
      </c>
      <c r="R38" s="1995"/>
      <c r="S38" s="111" t="s">
        <v>140</v>
      </c>
      <c r="T38" s="1991"/>
    </row>
    <row r="39" spans="1:20">
      <c r="A39" s="1460">
        <v>46175</v>
      </c>
      <c r="B39" s="1468" t="s">
        <v>264</v>
      </c>
      <c r="C39" s="1468" t="s">
        <v>262</v>
      </c>
      <c r="D39" s="1460" t="s">
        <v>263</v>
      </c>
      <c r="E39" s="1460" t="s">
        <v>172</v>
      </c>
      <c r="F39" s="1460" t="s">
        <v>291</v>
      </c>
      <c r="G39" s="1460" t="s">
        <v>292</v>
      </c>
      <c r="H39" s="501" t="s">
        <v>37</v>
      </c>
      <c r="I39" s="1455" t="s">
        <v>652</v>
      </c>
      <c r="J39" s="1449">
        <v>14400</v>
      </c>
      <c r="K39" s="1449">
        <v>14700</v>
      </c>
      <c r="L39" s="23">
        <f>K39-J39</f>
        <v>300</v>
      </c>
      <c r="M39" s="934">
        <v>250</v>
      </c>
      <c r="N39" s="935"/>
      <c r="O39" s="934">
        <f>M39-N39</f>
        <v>250</v>
      </c>
      <c r="P39" s="1456">
        <v>700</v>
      </c>
      <c r="Q39" s="1456">
        <f>P39*O39</f>
        <v>175000</v>
      </c>
      <c r="R39" s="1992" t="s">
        <v>5</v>
      </c>
      <c r="S39" s="123"/>
      <c r="T39" s="1991"/>
    </row>
    <row r="40" spans="1:20">
      <c r="A40" s="1459">
        <v>46175</v>
      </c>
      <c r="B40" s="1464" t="s">
        <v>264</v>
      </c>
      <c r="C40" s="1464" t="s">
        <v>262</v>
      </c>
      <c r="D40" s="1459" t="s">
        <v>263</v>
      </c>
      <c r="E40" s="1459" t="s">
        <v>172</v>
      </c>
      <c r="F40" s="1459" t="s">
        <v>291</v>
      </c>
      <c r="G40" s="1459" t="s">
        <v>292</v>
      </c>
      <c r="H40" s="226" t="s">
        <v>37</v>
      </c>
      <c r="I40" s="1467" t="s">
        <v>653</v>
      </c>
      <c r="J40" s="1450">
        <v>14700</v>
      </c>
      <c r="K40" s="1450">
        <v>15390</v>
      </c>
      <c r="L40" s="26">
        <f t="shared" ref="L40:L42" si="11">K40-J40</f>
        <v>690</v>
      </c>
      <c r="M40" s="936">
        <v>700</v>
      </c>
      <c r="N40" s="937">
        <v>3</v>
      </c>
      <c r="O40" s="936">
        <f t="shared" ref="O40:O44" si="12">M40-N40</f>
        <v>697</v>
      </c>
      <c r="P40" s="1452">
        <v>3900</v>
      </c>
      <c r="Q40" s="1452">
        <f t="shared" ref="Q40:Q47" si="13">P40*O40</f>
        <v>2718300</v>
      </c>
      <c r="R40" s="1993"/>
      <c r="S40" s="1466" t="s">
        <v>656</v>
      </c>
      <c r="T40" s="1991"/>
    </row>
    <row r="41" spans="1:20">
      <c r="A41" s="1459">
        <v>46175</v>
      </c>
      <c r="B41" s="1464" t="s">
        <v>264</v>
      </c>
      <c r="C41" s="1464" t="s">
        <v>262</v>
      </c>
      <c r="D41" s="1459" t="s">
        <v>263</v>
      </c>
      <c r="E41" s="1459" t="s">
        <v>172</v>
      </c>
      <c r="F41" s="1459" t="s">
        <v>291</v>
      </c>
      <c r="G41" s="1459" t="s">
        <v>292</v>
      </c>
      <c r="H41" s="226" t="s">
        <v>37</v>
      </c>
      <c r="I41" s="1467" t="s">
        <v>564</v>
      </c>
      <c r="J41" s="1450">
        <v>15390</v>
      </c>
      <c r="K41" s="1450">
        <v>15700</v>
      </c>
      <c r="L41" s="26">
        <f t="shared" si="11"/>
        <v>310</v>
      </c>
      <c r="M41" s="936">
        <v>304</v>
      </c>
      <c r="N41" s="937">
        <v>3</v>
      </c>
      <c r="O41" s="936">
        <f t="shared" si="12"/>
        <v>301</v>
      </c>
      <c r="P41" s="1452">
        <v>5100</v>
      </c>
      <c r="Q41" s="1452">
        <f t="shared" si="13"/>
        <v>1535100</v>
      </c>
      <c r="R41" s="1993"/>
      <c r="S41" s="1466" t="s">
        <v>662</v>
      </c>
      <c r="T41" s="1991"/>
    </row>
    <row r="42" spans="1:20">
      <c r="A42" s="1459">
        <v>46175</v>
      </c>
      <c r="B42" s="1464" t="s">
        <v>264</v>
      </c>
      <c r="C42" s="1464" t="s">
        <v>262</v>
      </c>
      <c r="D42" s="1459" t="s">
        <v>263</v>
      </c>
      <c r="E42" s="1459" t="s">
        <v>172</v>
      </c>
      <c r="F42" s="1459" t="s">
        <v>291</v>
      </c>
      <c r="G42" s="1459" t="s">
        <v>292</v>
      </c>
      <c r="H42" s="226" t="s">
        <v>37</v>
      </c>
      <c r="I42" s="1467" t="s">
        <v>654</v>
      </c>
      <c r="J42" s="1450">
        <v>15700</v>
      </c>
      <c r="K42" s="1450">
        <v>16070</v>
      </c>
      <c r="L42" s="26">
        <f t="shared" si="11"/>
        <v>370</v>
      </c>
      <c r="M42" s="936">
        <v>406</v>
      </c>
      <c r="N42" s="937">
        <v>3</v>
      </c>
      <c r="O42" s="936">
        <f t="shared" si="12"/>
        <v>403</v>
      </c>
      <c r="P42" s="1452">
        <v>5000</v>
      </c>
      <c r="Q42" s="1452">
        <f t="shared" si="13"/>
        <v>2015000</v>
      </c>
      <c r="R42" s="1993"/>
      <c r="S42" s="1466" t="s">
        <v>679</v>
      </c>
      <c r="T42" s="1991"/>
    </row>
    <row r="43" spans="1:20" ht="27">
      <c r="A43" s="1459">
        <v>46175</v>
      </c>
      <c r="B43" s="1464" t="s">
        <v>264</v>
      </c>
      <c r="C43" s="1464" t="s">
        <v>262</v>
      </c>
      <c r="D43" s="1459" t="s">
        <v>263</v>
      </c>
      <c r="E43" s="1459" t="s">
        <v>172</v>
      </c>
      <c r="F43" s="1459" t="s">
        <v>291</v>
      </c>
      <c r="G43" s="1459" t="s">
        <v>292</v>
      </c>
      <c r="H43" s="226" t="s">
        <v>37</v>
      </c>
      <c r="I43" s="1467" t="s">
        <v>655</v>
      </c>
      <c r="J43" s="1450">
        <v>16070</v>
      </c>
      <c r="K43" s="1450">
        <v>16130</v>
      </c>
      <c r="L43" s="26">
        <f>K43-J43-34</f>
        <v>26</v>
      </c>
      <c r="M43" s="936">
        <v>26</v>
      </c>
      <c r="N43" s="937"/>
      <c r="O43" s="936">
        <f t="shared" si="12"/>
        <v>26</v>
      </c>
      <c r="P43" s="1452">
        <f>50000*0.8</f>
        <v>40000</v>
      </c>
      <c r="Q43" s="1452">
        <f t="shared" si="13"/>
        <v>1040000</v>
      </c>
      <c r="R43" s="1993"/>
      <c r="S43" s="1466" t="s">
        <v>678</v>
      </c>
      <c r="T43" s="1991"/>
    </row>
    <row r="44" spans="1:20">
      <c r="A44" s="1461">
        <v>46175</v>
      </c>
      <c r="B44" s="1469" t="s">
        <v>264</v>
      </c>
      <c r="C44" s="1469" t="s">
        <v>262</v>
      </c>
      <c r="D44" s="1461" t="s">
        <v>263</v>
      </c>
      <c r="E44" s="1461" t="s">
        <v>172</v>
      </c>
      <c r="F44" s="1461" t="s">
        <v>291</v>
      </c>
      <c r="G44" s="1461" t="s">
        <v>292</v>
      </c>
      <c r="H44" s="502" t="s">
        <v>37</v>
      </c>
      <c r="I44" s="1457" t="s">
        <v>654</v>
      </c>
      <c r="J44" s="1451"/>
      <c r="K44" s="1451"/>
      <c r="L44" s="28">
        <v>34</v>
      </c>
      <c r="M44" s="941"/>
      <c r="N44" s="942"/>
      <c r="O44" s="941">
        <f t="shared" si="12"/>
        <v>0</v>
      </c>
      <c r="P44" s="1458"/>
      <c r="Q44" s="1458">
        <f t="shared" si="13"/>
        <v>0</v>
      </c>
      <c r="R44" s="1995"/>
      <c r="S44" s="111" t="s">
        <v>657</v>
      </c>
      <c r="T44" s="1991"/>
    </row>
    <row r="45" spans="1:20" ht="17.25">
      <c r="A45" s="1460">
        <v>46177</v>
      </c>
      <c r="B45" s="1468" t="s">
        <v>314</v>
      </c>
      <c r="C45" s="1468" t="s">
        <v>440</v>
      </c>
      <c r="D45" s="1460" t="s">
        <v>263</v>
      </c>
      <c r="E45" s="1460" t="s">
        <v>334</v>
      </c>
      <c r="F45" s="1460" t="s">
        <v>281</v>
      </c>
      <c r="G45" s="1460" t="s">
        <v>282</v>
      </c>
      <c r="H45" s="501" t="s">
        <v>37</v>
      </c>
      <c r="I45" s="1455" t="s">
        <v>663</v>
      </c>
      <c r="J45" s="1449">
        <v>21280</v>
      </c>
      <c r="K45" s="1449">
        <v>23840</v>
      </c>
      <c r="L45" s="23">
        <f>K45-J45-180</f>
        <v>2380</v>
      </c>
      <c r="M45" s="934">
        <f>2540-180</f>
        <v>2360</v>
      </c>
      <c r="N45" s="935"/>
      <c r="O45" s="934">
        <f>M45</f>
        <v>2360</v>
      </c>
      <c r="P45" s="1456">
        <v>1930</v>
      </c>
      <c r="Q45" s="1456">
        <f t="shared" si="13"/>
        <v>4554800</v>
      </c>
      <c r="R45" s="1988" t="s">
        <v>5</v>
      </c>
      <c r="S45" s="1494" t="s">
        <v>677</v>
      </c>
      <c r="T45" s="1991"/>
    </row>
    <row r="46" spans="1:20" ht="17.25">
      <c r="A46" s="1462">
        <v>46177</v>
      </c>
      <c r="B46" s="1465" t="s">
        <v>264</v>
      </c>
      <c r="C46" s="1465" t="s">
        <v>262</v>
      </c>
      <c r="D46" s="1462" t="s">
        <v>274</v>
      </c>
      <c r="E46" s="1462" t="s">
        <v>334</v>
      </c>
      <c r="F46" s="1462" t="s">
        <v>281</v>
      </c>
      <c r="G46" s="1462" t="s">
        <v>282</v>
      </c>
      <c r="H46" s="84" t="s">
        <v>37</v>
      </c>
      <c r="I46" s="1454" t="s">
        <v>663</v>
      </c>
      <c r="J46" s="1448"/>
      <c r="K46" s="1448"/>
      <c r="L46" s="58">
        <v>180</v>
      </c>
      <c r="M46" s="1359">
        <v>180</v>
      </c>
      <c r="N46" s="1360"/>
      <c r="O46" s="1359">
        <f>M46</f>
        <v>180</v>
      </c>
      <c r="P46" s="1453">
        <v>1930</v>
      </c>
      <c r="Q46" s="1453">
        <f t="shared" si="13"/>
        <v>347400</v>
      </c>
      <c r="R46" s="1999"/>
      <c r="S46" s="1495" t="s">
        <v>669</v>
      </c>
      <c r="T46" s="1991"/>
    </row>
    <row r="47" spans="1:20" ht="17.25">
      <c r="A47" s="1461">
        <v>46177</v>
      </c>
      <c r="B47" s="1469" t="s">
        <v>314</v>
      </c>
      <c r="C47" s="1469" t="s">
        <v>262</v>
      </c>
      <c r="D47" s="1461" t="s">
        <v>182</v>
      </c>
      <c r="E47" s="1461" t="s">
        <v>664</v>
      </c>
      <c r="F47" s="1461" t="s">
        <v>665</v>
      </c>
      <c r="G47" s="1461" t="s">
        <v>666</v>
      </c>
      <c r="H47" s="502" t="s">
        <v>37</v>
      </c>
      <c r="I47" s="1457" t="s">
        <v>663</v>
      </c>
      <c r="J47" s="1451">
        <v>8890</v>
      </c>
      <c r="K47" s="1451">
        <v>11270</v>
      </c>
      <c r="L47" s="28">
        <f>K47-J47</f>
        <v>2380</v>
      </c>
      <c r="M47" s="941">
        <v>2370</v>
      </c>
      <c r="N47" s="942"/>
      <c r="O47" s="941">
        <f>M47</f>
        <v>2370</v>
      </c>
      <c r="P47" s="1458">
        <v>1930</v>
      </c>
      <c r="Q47" s="1458">
        <f t="shared" si="13"/>
        <v>4574100</v>
      </c>
      <c r="R47" s="1447" t="s">
        <v>5</v>
      </c>
      <c r="S47" s="1496" t="s">
        <v>667</v>
      </c>
      <c r="T47" s="1991"/>
    </row>
    <row r="48" spans="1:20" ht="17.25">
      <c r="A48" s="1774">
        <v>46195</v>
      </c>
      <c r="B48" s="1784" t="s">
        <v>699</v>
      </c>
      <c r="C48" s="1784" t="s">
        <v>262</v>
      </c>
      <c r="D48" s="1774" t="s">
        <v>263</v>
      </c>
      <c r="E48" s="1774" t="s">
        <v>172</v>
      </c>
      <c r="F48" s="1774" t="s">
        <v>291</v>
      </c>
      <c r="G48" s="1774" t="s">
        <v>292</v>
      </c>
      <c r="H48" s="501" t="s">
        <v>37</v>
      </c>
      <c r="I48" s="1765" t="s">
        <v>123</v>
      </c>
      <c r="J48" s="1759">
        <v>14380</v>
      </c>
      <c r="K48" s="1759">
        <v>20910</v>
      </c>
      <c r="L48" s="23">
        <v>4640</v>
      </c>
      <c r="M48" s="934">
        <f>6490-390-1500-320</f>
        <v>4280</v>
      </c>
      <c r="N48" s="935">
        <v>12</v>
      </c>
      <c r="O48" s="934">
        <f>M48-N48</f>
        <v>4268</v>
      </c>
      <c r="P48" s="1767">
        <v>2050</v>
      </c>
      <c r="Q48" s="1767">
        <f>P48*O48</f>
        <v>8749400</v>
      </c>
      <c r="R48" s="1988" t="s">
        <v>5</v>
      </c>
      <c r="S48" s="1494" t="s">
        <v>730</v>
      </c>
      <c r="T48" s="1996" t="s">
        <v>734</v>
      </c>
    </row>
    <row r="49" spans="1:20" ht="17.25">
      <c r="A49" s="1776">
        <v>46195</v>
      </c>
      <c r="B49" s="1780" t="s">
        <v>699</v>
      </c>
      <c r="C49" s="1780" t="s">
        <v>262</v>
      </c>
      <c r="D49" s="1776" t="s">
        <v>263</v>
      </c>
      <c r="E49" s="1776" t="s">
        <v>172</v>
      </c>
      <c r="F49" s="1776" t="s">
        <v>291</v>
      </c>
      <c r="G49" s="1776" t="s">
        <v>292</v>
      </c>
      <c r="H49" s="84" t="s">
        <v>37</v>
      </c>
      <c r="I49" s="1769" t="s">
        <v>60</v>
      </c>
      <c r="J49" s="1758"/>
      <c r="K49" s="1758"/>
      <c r="L49" s="58"/>
      <c r="M49" s="1359">
        <v>320</v>
      </c>
      <c r="N49" s="1360"/>
      <c r="O49" s="1359">
        <f>M49</f>
        <v>320</v>
      </c>
      <c r="P49" s="1764">
        <v>250</v>
      </c>
      <c r="Q49" s="1764">
        <f>P49*O49</f>
        <v>80000</v>
      </c>
      <c r="R49" s="1989"/>
      <c r="S49" s="1495"/>
      <c r="T49" s="1997"/>
    </row>
    <row r="50" spans="1:20" ht="17.25">
      <c r="A50" s="1772">
        <v>46195</v>
      </c>
      <c r="B50" s="1777" t="s">
        <v>578</v>
      </c>
      <c r="C50" s="1777" t="s">
        <v>262</v>
      </c>
      <c r="D50" s="1772" t="s">
        <v>263</v>
      </c>
      <c r="E50" s="1772" t="s">
        <v>172</v>
      </c>
      <c r="F50" s="1772" t="s">
        <v>291</v>
      </c>
      <c r="G50" s="1772" t="s">
        <v>292</v>
      </c>
      <c r="H50" s="226" t="s">
        <v>37</v>
      </c>
      <c r="I50" s="1782" t="s">
        <v>123</v>
      </c>
      <c r="J50" s="1760"/>
      <c r="K50" s="1760"/>
      <c r="L50" s="26">
        <v>390</v>
      </c>
      <c r="M50" s="936">
        <v>390</v>
      </c>
      <c r="N50" s="937"/>
      <c r="O50" s="936">
        <f>M50</f>
        <v>390</v>
      </c>
      <c r="P50" s="1762">
        <v>2050</v>
      </c>
      <c r="Q50" s="1762">
        <f>P50*O50</f>
        <v>799500</v>
      </c>
      <c r="R50" s="1989"/>
      <c r="S50" s="1789" t="s">
        <v>731</v>
      </c>
      <c r="T50" s="1997"/>
    </row>
    <row r="51" spans="1:20" ht="17.25">
      <c r="A51" s="1772">
        <v>46195</v>
      </c>
      <c r="B51" s="1777" t="s">
        <v>314</v>
      </c>
      <c r="C51" s="1777" t="s">
        <v>262</v>
      </c>
      <c r="D51" s="1772" t="s">
        <v>263</v>
      </c>
      <c r="E51" s="1772" t="s">
        <v>172</v>
      </c>
      <c r="F51" s="1772" t="s">
        <v>291</v>
      </c>
      <c r="G51" s="1772" t="s">
        <v>292</v>
      </c>
      <c r="H51" s="226" t="s">
        <v>37</v>
      </c>
      <c r="I51" s="1782" t="s">
        <v>123</v>
      </c>
      <c r="J51" s="1760"/>
      <c r="K51" s="1760"/>
      <c r="L51" s="26">
        <v>1000</v>
      </c>
      <c r="M51" s="936">
        <v>1000</v>
      </c>
      <c r="N51" s="937"/>
      <c r="O51" s="936">
        <f t="shared" ref="O51:O52" si="14">M51</f>
        <v>1000</v>
      </c>
      <c r="P51" s="1762">
        <v>2050</v>
      </c>
      <c r="Q51" s="1762">
        <f t="shared" ref="Q51:Q55" si="15">P51*O51</f>
        <v>2050000</v>
      </c>
      <c r="R51" s="1989"/>
      <c r="S51" s="1789"/>
      <c r="T51" s="1997"/>
    </row>
    <row r="52" spans="1:20" ht="17.25">
      <c r="A52" s="1773">
        <v>46195</v>
      </c>
      <c r="B52" s="1779" t="s">
        <v>264</v>
      </c>
      <c r="C52" s="1779" t="s">
        <v>262</v>
      </c>
      <c r="D52" s="1773" t="s">
        <v>263</v>
      </c>
      <c r="E52" s="1773" t="s">
        <v>172</v>
      </c>
      <c r="F52" s="1773" t="s">
        <v>291</v>
      </c>
      <c r="G52" s="1773" t="s">
        <v>292</v>
      </c>
      <c r="H52" s="480" t="s">
        <v>37</v>
      </c>
      <c r="I52" s="1766" t="s">
        <v>123</v>
      </c>
      <c r="J52" s="1757"/>
      <c r="K52" s="1757"/>
      <c r="L52" s="461">
        <v>500</v>
      </c>
      <c r="M52" s="1790">
        <v>500</v>
      </c>
      <c r="N52" s="1791"/>
      <c r="O52" s="1790">
        <f t="shared" si="14"/>
        <v>500</v>
      </c>
      <c r="P52" s="1768">
        <v>2050</v>
      </c>
      <c r="Q52" s="1768">
        <f t="shared" si="15"/>
        <v>1025000</v>
      </c>
      <c r="R52" s="1989"/>
      <c r="S52" s="1792"/>
      <c r="T52" s="1998"/>
    </row>
    <row r="53" spans="1:20" ht="17.25">
      <c r="A53" s="1911">
        <v>46202</v>
      </c>
      <c r="B53" s="1915" t="s">
        <v>699</v>
      </c>
      <c r="C53" s="1915" t="s">
        <v>262</v>
      </c>
      <c r="D53" s="1911" t="s">
        <v>239</v>
      </c>
      <c r="E53" s="1911" t="s">
        <v>235</v>
      </c>
      <c r="F53" s="1911" t="s">
        <v>281</v>
      </c>
      <c r="G53" s="1911" t="s">
        <v>282</v>
      </c>
      <c r="H53" s="501" t="s">
        <v>37</v>
      </c>
      <c r="I53" s="1906" t="s">
        <v>123</v>
      </c>
      <c r="J53" s="1902">
        <v>20390</v>
      </c>
      <c r="K53" s="1902">
        <v>27080</v>
      </c>
      <c r="L53" s="23">
        <f>K53-J53-2070-170</f>
        <v>4450</v>
      </c>
      <c r="M53" s="934">
        <v>4450</v>
      </c>
      <c r="N53" s="935">
        <v>9</v>
      </c>
      <c r="O53" s="934">
        <f>M53-N53</f>
        <v>4441</v>
      </c>
      <c r="P53" s="1907">
        <v>2050</v>
      </c>
      <c r="Q53" s="1907">
        <f t="shared" si="15"/>
        <v>9104050</v>
      </c>
      <c r="R53" s="1992" t="s">
        <v>5</v>
      </c>
      <c r="S53" s="1494" t="s">
        <v>751</v>
      </c>
      <c r="T53" s="1991" t="s">
        <v>769</v>
      </c>
    </row>
    <row r="54" spans="1:20" ht="17.25">
      <c r="A54" s="1910">
        <v>46202</v>
      </c>
      <c r="B54" s="1913" t="s">
        <v>245</v>
      </c>
      <c r="C54" s="1913" t="s">
        <v>262</v>
      </c>
      <c r="D54" s="1910" t="s">
        <v>239</v>
      </c>
      <c r="E54" s="1910" t="s">
        <v>235</v>
      </c>
      <c r="F54" s="1910" t="s">
        <v>281</v>
      </c>
      <c r="G54" s="1910" t="s">
        <v>282</v>
      </c>
      <c r="H54" s="226" t="s">
        <v>37</v>
      </c>
      <c r="I54" s="1914" t="s">
        <v>123</v>
      </c>
      <c r="J54" s="1903"/>
      <c r="K54" s="1903"/>
      <c r="L54" s="26">
        <v>2070</v>
      </c>
      <c r="M54" s="936">
        <v>2070</v>
      </c>
      <c r="N54" s="937"/>
      <c r="O54" s="936">
        <f t="shared" ref="O54:O55" si="16">M54</f>
        <v>2070</v>
      </c>
      <c r="P54" s="1905">
        <v>2050</v>
      </c>
      <c r="Q54" s="1905">
        <f t="shared" si="15"/>
        <v>4243500</v>
      </c>
      <c r="R54" s="1993"/>
      <c r="S54" s="1789" t="s">
        <v>752</v>
      </c>
      <c r="T54" s="1991"/>
    </row>
    <row r="55" spans="1:20" ht="17.25">
      <c r="A55" s="1912">
        <v>46202</v>
      </c>
      <c r="B55" s="1916" t="s">
        <v>578</v>
      </c>
      <c r="C55" s="1916" t="s">
        <v>262</v>
      </c>
      <c r="D55" s="1912" t="s">
        <v>239</v>
      </c>
      <c r="E55" s="1912" t="s">
        <v>235</v>
      </c>
      <c r="F55" s="1912" t="s">
        <v>281</v>
      </c>
      <c r="G55" s="1912" t="s">
        <v>282</v>
      </c>
      <c r="H55" s="502" t="s">
        <v>37</v>
      </c>
      <c r="I55" s="1908" t="s">
        <v>123</v>
      </c>
      <c r="J55" s="1904"/>
      <c r="K55" s="1904"/>
      <c r="L55" s="28">
        <v>170</v>
      </c>
      <c r="M55" s="941">
        <v>170</v>
      </c>
      <c r="N55" s="942"/>
      <c r="O55" s="941">
        <f t="shared" si="16"/>
        <v>170</v>
      </c>
      <c r="P55" s="1909">
        <v>2050</v>
      </c>
      <c r="Q55" s="1909">
        <f t="shared" si="15"/>
        <v>348500</v>
      </c>
      <c r="R55" s="1995"/>
      <c r="S55" s="1496" t="s">
        <v>753</v>
      </c>
      <c r="T55" s="1991"/>
    </row>
    <row r="56" spans="1:20" ht="27" customHeight="1">
      <c r="A56" s="324"/>
      <c r="B56" s="507"/>
      <c r="C56" s="324"/>
      <c r="D56" s="324"/>
      <c r="E56" s="100"/>
      <c r="F56" s="100"/>
      <c r="G56" s="100"/>
      <c r="H56" s="100"/>
      <c r="I56" s="507"/>
      <c r="J56" s="507"/>
      <c r="K56" s="557"/>
      <c r="L56" s="157"/>
      <c r="M56" s="507"/>
      <c r="N56" s="557"/>
      <c r="O56" s="557"/>
      <c r="P56" s="557"/>
      <c r="Q56" s="560"/>
      <c r="R56" s="268"/>
      <c r="S56" s="608" t="s">
        <v>745</v>
      </c>
      <c r="T56" s="41"/>
    </row>
    <row r="57" spans="1:20" ht="30" customHeight="1">
      <c r="A57" s="72"/>
      <c r="B57" s="75"/>
      <c r="C57" s="72"/>
      <c r="D57" s="72"/>
      <c r="E57" s="73"/>
      <c r="F57" s="73"/>
      <c r="G57" s="73"/>
      <c r="H57" s="74"/>
      <c r="I57" s="75"/>
      <c r="J57" s="75"/>
      <c r="K57" s="75"/>
      <c r="L57" s="11">
        <f>SUBTOTAL(9,L3:L56)</f>
        <v>89860</v>
      </c>
      <c r="M57" s="76"/>
      <c r="N57" s="77"/>
      <c r="O57" s="76"/>
      <c r="P57" s="77"/>
      <c r="Q57" s="66">
        <f>SUBTOTAL(9,Q3:Q56)</f>
        <v>193858770</v>
      </c>
      <c r="R57" s="74"/>
      <c r="S57" s="74"/>
    </row>
    <row r="58" spans="1:20" ht="21.95" customHeight="1">
      <c r="A58" s="4"/>
      <c r="B58" s="7"/>
      <c r="C58" s="4"/>
      <c r="D58" s="4"/>
      <c r="E58" s="5"/>
      <c r="F58" s="5"/>
      <c r="G58" s="5"/>
      <c r="H58" s="5"/>
      <c r="I58" s="7"/>
      <c r="J58" s="7"/>
      <c r="K58" s="7"/>
      <c r="L58" s="7"/>
      <c r="M58" s="7"/>
      <c r="N58" s="6"/>
      <c r="O58" s="6"/>
      <c r="P58" s="5"/>
      <c r="Q58" s="5"/>
      <c r="R58" s="5"/>
      <c r="S58" s="5"/>
    </row>
    <row r="59" spans="1:20" ht="21.95" customHeight="1">
      <c r="A59" s="4"/>
      <c r="B59" s="7"/>
      <c r="C59" s="4"/>
      <c r="D59" s="4"/>
      <c r="E59" s="5"/>
      <c r="F59" s="5"/>
      <c r="G59" s="5"/>
      <c r="H59" s="5"/>
      <c r="I59" s="7"/>
      <c r="J59" s="7"/>
      <c r="K59" s="7"/>
      <c r="L59" s="7"/>
      <c r="M59" s="7"/>
      <c r="N59" s="5"/>
      <c r="O59" s="5"/>
      <c r="P59" s="5"/>
      <c r="Q59" s="5"/>
      <c r="R59" s="5"/>
      <c r="S59" s="5"/>
    </row>
    <row r="60" spans="1:20" ht="21.95" customHeight="1">
      <c r="A60" s="4"/>
      <c r="B60" s="7"/>
      <c r="C60" s="4"/>
      <c r="D60" s="4"/>
      <c r="E60" s="5"/>
      <c r="F60" s="5"/>
      <c r="G60" s="5"/>
      <c r="H60" s="5"/>
      <c r="I60" s="7"/>
      <c r="J60" s="7"/>
      <c r="K60" s="7"/>
      <c r="L60" s="7"/>
      <c r="M60" s="7"/>
      <c r="N60" s="5"/>
      <c r="O60" s="5"/>
      <c r="P60" s="5"/>
      <c r="Q60" s="5"/>
      <c r="R60" s="5"/>
      <c r="S60" s="5"/>
    </row>
    <row r="61" spans="1:20" ht="21.95" customHeight="1">
      <c r="A61" s="4"/>
      <c r="B61" s="7"/>
      <c r="C61" s="4"/>
      <c r="D61" s="4"/>
      <c r="E61" s="5"/>
      <c r="F61" s="5"/>
      <c r="G61" s="5"/>
      <c r="H61" s="5"/>
      <c r="I61" s="7"/>
      <c r="J61" s="7"/>
      <c r="K61" s="7"/>
      <c r="L61" s="7"/>
      <c r="M61" s="208"/>
      <c r="N61" s="209"/>
      <c r="O61" s="166"/>
      <c r="P61" s="7"/>
      <c r="Q61" s="7"/>
      <c r="R61" s="5"/>
      <c r="S61" s="5"/>
    </row>
    <row r="62" spans="1:20" ht="21.95" customHeight="1">
      <c r="A62" s="4"/>
      <c r="B62" s="7"/>
      <c r="C62" s="4"/>
      <c r="D62" s="4"/>
      <c r="E62" s="5"/>
      <c r="F62" s="5"/>
      <c r="G62" s="5"/>
      <c r="H62" s="5"/>
      <c r="I62" s="7"/>
      <c r="J62" s="7"/>
      <c r="K62" s="7"/>
      <c r="L62" s="7"/>
      <c r="M62" s="7"/>
      <c r="N62" s="7"/>
      <c r="O62" s="5"/>
      <c r="P62" s="5"/>
      <c r="Q62" s="5"/>
      <c r="R62" s="5"/>
      <c r="S62" s="5"/>
    </row>
    <row r="63" spans="1:20" ht="21.95" customHeight="1">
      <c r="A63" s="4"/>
      <c r="B63" s="7"/>
      <c r="C63" s="4"/>
      <c r="D63" s="4"/>
      <c r="E63" s="5"/>
      <c r="F63" s="5"/>
      <c r="G63" s="5"/>
      <c r="H63" s="5"/>
      <c r="I63" s="7"/>
      <c r="J63" s="7"/>
      <c r="K63" s="7"/>
      <c r="L63" s="7"/>
      <c r="M63" s="7"/>
      <c r="N63" s="5"/>
      <c r="O63" s="5"/>
      <c r="P63" s="5"/>
      <c r="Q63" s="5"/>
      <c r="R63" s="5"/>
      <c r="S63" s="5"/>
    </row>
    <row r="64" spans="1:20" ht="21.95" customHeight="1">
      <c r="A64" s="4"/>
      <c r="B64" s="7"/>
      <c r="C64" s="4"/>
      <c r="D64" s="4"/>
      <c r="E64" s="5"/>
      <c r="F64" s="5"/>
      <c r="G64" s="5"/>
      <c r="H64" s="5"/>
      <c r="I64" s="7"/>
      <c r="J64" s="7"/>
      <c r="K64" s="7"/>
      <c r="L64" s="7"/>
      <c r="M64" s="7"/>
      <c r="N64" s="5"/>
      <c r="O64" s="5"/>
      <c r="P64" s="5"/>
      <c r="Q64" s="7"/>
      <c r="R64" s="5"/>
      <c r="S64" s="5"/>
    </row>
    <row r="65" spans="1:19" ht="21.95" customHeight="1">
      <c r="A65" s="4"/>
      <c r="B65" s="7"/>
      <c r="C65" s="4"/>
      <c r="D65" s="4"/>
      <c r="E65" s="5"/>
      <c r="F65" s="5"/>
      <c r="G65" s="5"/>
      <c r="H65" s="5"/>
      <c r="I65" s="7"/>
      <c r="J65" s="7"/>
      <c r="K65" s="7"/>
      <c r="L65" s="7"/>
      <c r="M65" s="7"/>
      <c r="N65" s="5"/>
      <c r="O65" s="5"/>
      <c r="P65" s="5"/>
      <c r="Q65" s="5"/>
      <c r="R65" s="5"/>
      <c r="S65" s="5"/>
    </row>
    <row r="66" spans="1:19" ht="21.95" customHeight="1">
      <c r="A66" s="4"/>
      <c r="B66" s="7"/>
      <c r="C66" s="4"/>
      <c r="D66" s="4"/>
      <c r="E66" s="5"/>
      <c r="F66" s="5"/>
      <c r="G66" s="5"/>
      <c r="H66" s="5"/>
      <c r="I66" s="7"/>
      <c r="J66" s="7"/>
      <c r="K66" s="7"/>
      <c r="L66" s="7"/>
      <c r="M66" s="7"/>
      <c r="N66" s="5"/>
      <c r="O66" s="5"/>
      <c r="P66" s="5"/>
      <c r="Q66" s="5"/>
      <c r="R66" s="5"/>
      <c r="S66" s="5"/>
    </row>
    <row r="67" spans="1:19" ht="21.95" customHeight="1">
      <c r="A67" s="4"/>
      <c r="B67" s="7"/>
      <c r="C67" s="4"/>
      <c r="D67" s="4"/>
      <c r="E67" s="5"/>
      <c r="F67" s="5"/>
      <c r="G67" s="5"/>
      <c r="H67" s="5"/>
      <c r="I67" s="7"/>
      <c r="J67" s="7"/>
      <c r="K67" s="7"/>
      <c r="L67" s="7"/>
      <c r="M67" s="7"/>
      <c r="N67" s="5"/>
      <c r="O67" s="5"/>
      <c r="P67" s="5"/>
      <c r="Q67" s="5"/>
      <c r="R67" s="5"/>
      <c r="S67" s="5"/>
    </row>
    <row r="68" spans="1:19" ht="21.95" customHeight="1">
      <c r="A68" s="4"/>
      <c r="B68" s="7"/>
      <c r="C68" s="4"/>
      <c r="D68" s="4"/>
      <c r="E68" s="5"/>
      <c r="F68" s="5"/>
      <c r="G68" s="5"/>
      <c r="H68" s="5"/>
      <c r="I68" s="7"/>
      <c r="J68" s="7"/>
      <c r="K68" s="7"/>
      <c r="L68" s="7"/>
      <c r="M68" s="7"/>
      <c r="N68" s="5"/>
      <c r="O68" s="5"/>
      <c r="P68" s="5"/>
      <c r="Q68" s="5"/>
      <c r="R68" s="5"/>
      <c r="S68" s="5"/>
    </row>
    <row r="69" spans="1:19" ht="21.95" customHeight="1">
      <c r="A69" s="4"/>
      <c r="B69" s="7"/>
      <c r="C69" s="4"/>
      <c r="D69" s="4"/>
      <c r="E69" s="5"/>
      <c r="F69" s="5"/>
      <c r="G69" s="5"/>
      <c r="H69" s="5"/>
      <c r="I69" s="7"/>
      <c r="J69" s="7"/>
      <c r="K69" s="7"/>
      <c r="L69" s="7"/>
      <c r="M69" s="7"/>
      <c r="N69" s="5"/>
      <c r="O69" s="5"/>
      <c r="P69" s="5"/>
      <c r="Q69" s="5"/>
      <c r="R69" s="5"/>
      <c r="S69" s="5"/>
    </row>
    <row r="70" spans="1:19" ht="21.95" customHeight="1">
      <c r="A70" s="4"/>
      <c r="B70" s="7"/>
      <c r="C70" s="4"/>
      <c r="D70" s="4"/>
      <c r="E70" s="5"/>
      <c r="F70" s="5"/>
      <c r="G70" s="5"/>
      <c r="H70" s="5"/>
      <c r="I70" s="7"/>
      <c r="J70" s="7"/>
      <c r="K70" s="7"/>
      <c r="L70" s="7"/>
      <c r="M70" s="7"/>
      <c r="N70" s="5"/>
      <c r="O70" s="5"/>
      <c r="P70" s="5"/>
      <c r="Q70" s="5"/>
      <c r="R70" s="5"/>
      <c r="S70" s="5"/>
    </row>
    <row r="71" spans="1:19" ht="21.95" customHeight="1">
      <c r="A71" s="4"/>
      <c r="B71" s="7"/>
      <c r="C71" s="4"/>
      <c r="D71" s="4"/>
      <c r="E71" s="5"/>
      <c r="F71" s="5"/>
      <c r="G71" s="5"/>
      <c r="H71" s="5"/>
      <c r="I71" s="7"/>
      <c r="J71" s="7"/>
      <c r="K71" s="7"/>
      <c r="L71" s="7"/>
      <c r="M71" s="7"/>
      <c r="N71" s="5"/>
      <c r="O71" s="5"/>
      <c r="P71" s="5"/>
      <c r="Q71" s="5"/>
      <c r="R71" s="5"/>
      <c r="S71" s="5"/>
    </row>
    <row r="72" spans="1:19" ht="21.95" customHeight="1">
      <c r="A72" s="4"/>
      <c r="B72" s="7"/>
      <c r="C72" s="4"/>
      <c r="D72" s="4"/>
      <c r="E72" s="5"/>
      <c r="F72" s="5"/>
      <c r="G72" s="5"/>
      <c r="H72" s="5"/>
      <c r="I72" s="7"/>
      <c r="J72" s="7"/>
      <c r="K72" s="7"/>
      <c r="L72" s="7"/>
      <c r="M72" s="7"/>
      <c r="N72" s="5"/>
      <c r="O72" s="5"/>
      <c r="P72" s="5"/>
      <c r="Q72" s="5"/>
      <c r="R72" s="5"/>
      <c r="S72" s="5"/>
    </row>
    <row r="73" spans="1:19" ht="21.95" customHeight="1">
      <c r="A73" s="4"/>
      <c r="B73" s="7"/>
      <c r="C73" s="4"/>
      <c r="D73" s="4"/>
      <c r="E73" s="5"/>
      <c r="F73" s="5"/>
      <c r="G73" s="5"/>
      <c r="H73" s="5"/>
      <c r="I73" s="7"/>
      <c r="J73" s="7"/>
      <c r="K73" s="7"/>
      <c r="L73" s="7"/>
      <c r="M73" s="7"/>
      <c r="N73" s="5"/>
      <c r="O73" s="5"/>
      <c r="P73" s="5"/>
      <c r="Q73" s="5"/>
      <c r="R73" s="5"/>
      <c r="S73" s="5"/>
    </row>
    <row r="74" spans="1:19" ht="21.95" customHeight="1">
      <c r="A74" s="4"/>
      <c r="B74" s="7"/>
      <c r="C74" s="4"/>
      <c r="D74" s="4"/>
      <c r="E74" s="5"/>
      <c r="F74" s="5"/>
      <c r="G74" s="5"/>
      <c r="H74" s="5"/>
      <c r="I74" s="7"/>
      <c r="J74" s="7"/>
      <c r="K74" s="7"/>
      <c r="L74" s="7"/>
      <c r="M74" s="7"/>
      <c r="N74" s="5"/>
      <c r="O74" s="5"/>
      <c r="P74" s="5"/>
      <c r="Q74" s="5"/>
      <c r="R74" s="5"/>
      <c r="S74" s="5"/>
    </row>
    <row r="75" spans="1:19" ht="21.95" customHeight="1">
      <c r="A75" s="4"/>
      <c r="B75" s="7"/>
      <c r="C75" s="4"/>
      <c r="D75" s="4"/>
      <c r="E75" s="5"/>
      <c r="F75" s="5"/>
      <c r="G75" s="5"/>
      <c r="H75" s="5"/>
      <c r="I75" s="7"/>
      <c r="J75" s="7"/>
      <c r="K75" s="7"/>
      <c r="L75" s="7"/>
      <c r="M75" s="7"/>
      <c r="N75" s="5"/>
      <c r="O75" s="5"/>
      <c r="P75" s="5"/>
      <c r="Q75" s="5"/>
      <c r="R75" s="5"/>
      <c r="S75" s="5"/>
    </row>
    <row r="76" spans="1:19" ht="21.95" customHeight="1">
      <c r="A76" s="4"/>
      <c r="B76" s="7"/>
      <c r="C76" s="4"/>
      <c r="D76" s="4"/>
      <c r="E76" s="5"/>
      <c r="F76" s="5"/>
      <c r="G76" s="5"/>
      <c r="H76" s="5"/>
      <c r="I76" s="7"/>
      <c r="J76" s="7"/>
      <c r="K76" s="7"/>
      <c r="L76" s="7"/>
      <c r="M76" s="7"/>
      <c r="N76" s="5"/>
      <c r="O76" s="5"/>
      <c r="P76" s="5"/>
      <c r="Q76" s="5"/>
      <c r="R76" s="5"/>
      <c r="S76" s="5"/>
    </row>
    <row r="77" spans="1:19" ht="21.95" customHeight="1">
      <c r="A77" s="4"/>
      <c r="B77" s="7"/>
      <c r="C77" s="4"/>
      <c r="D77" s="4"/>
      <c r="E77" s="5"/>
      <c r="F77" s="5"/>
      <c r="G77" s="5"/>
      <c r="H77" s="5"/>
      <c r="I77" s="7"/>
      <c r="J77" s="7"/>
      <c r="K77" s="7"/>
      <c r="L77" s="7"/>
      <c r="M77" s="7"/>
      <c r="N77" s="5"/>
      <c r="O77" s="5"/>
      <c r="P77" s="5"/>
      <c r="Q77" s="5"/>
      <c r="R77" s="5"/>
      <c r="S77" s="5"/>
    </row>
    <row r="78" spans="1:19" ht="21.95" customHeight="1">
      <c r="A78" s="4"/>
      <c r="B78" s="7"/>
      <c r="C78" s="4"/>
      <c r="D78" s="4"/>
      <c r="E78" s="5"/>
      <c r="F78" s="5"/>
      <c r="G78" s="5"/>
      <c r="H78" s="5"/>
      <c r="I78" s="7"/>
      <c r="J78" s="7"/>
      <c r="K78" s="7"/>
      <c r="L78" s="7"/>
      <c r="M78" s="7"/>
      <c r="N78" s="5"/>
      <c r="O78" s="5"/>
      <c r="P78" s="5"/>
      <c r="Q78" s="5"/>
      <c r="R78" s="5"/>
      <c r="S78" s="5"/>
    </row>
    <row r="79" spans="1:19" ht="21.95" customHeight="1">
      <c r="A79" s="4"/>
      <c r="B79" s="7"/>
      <c r="C79" s="4"/>
      <c r="D79" s="4"/>
      <c r="E79" s="5"/>
      <c r="F79" s="5"/>
      <c r="G79" s="5"/>
      <c r="H79" s="5"/>
      <c r="I79" s="7"/>
      <c r="J79" s="7"/>
      <c r="K79" s="7"/>
      <c r="L79" s="7"/>
      <c r="M79" s="7"/>
      <c r="N79" s="5"/>
      <c r="O79" s="5"/>
      <c r="P79" s="5"/>
      <c r="Q79" s="5"/>
      <c r="R79" s="5"/>
      <c r="S79" s="5"/>
    </row>
    <row r="80" spans="1:19" ht="21.95" customHeight="1">
      <c r="A80" s="4"/>
      <c r="B80" s="7"/>
      <c r="C80" s="4"/>
      <c r="D80" s="4"/>
      <c r="E80" s="5"/>
      <c r="F80" s="5"/>
      <c r="G80" s="5"/>
      <c r="H80" s="5"/>
      <c r="I80" s="7"/>
      <c r="J80" s="7"/>
      <c r="K80" s="7"/>
      <c r="L80" s="7"/>
      <c r="M80" s="7"/>
      <c r="N80" s="5"/>
      <c r="O80" s="5"/>
      <c r="P80" s="5"/>
      <c r="Q80" s="5"/>
      <c r="R80" s="5"/>
      <c r="S80" s="5"/>
    </row>
    <row r="81" spans="1:19" ht="21.95" customHeight="1">
      <c r="A81" s="4"/>
      <c r="B81" s="7"/>
      <c r="C81" s="4"/>
      <c r="D81" s="4"/>
      <c r="E81" s="5"/>
      <c r="F81" s="5"/>
      <c r="G81" s="5"/>
      <c r="H81" s="5"/>
      <c r="I81" s="7"/>
      <c r="J81" s="7"/>
      <c r="K81" s="7"/>
      <c r="L81" s="7"/>
      <c r="M81" s="7"/>
      <c r="N81" s="5"/>
      <c r="O81" s="5"/>
      <c r="P81" s="5"/>
      <c r="Q81" s="5"/>
      <c r="R81" s="5"/>
      <c r="S81" s="5"/>
    </row>
    <row r="82" spans="1:19" ht="21.95" customHeight="1">
      <c r="A82" s="4"/>
      <c r="B82" s="7"/>
      <c r="C82" s="4"/>
      <c r="D82" s="4"/>
      <c r="E82" s="5"/>
      <c r="F82" s="5"/>
      <c r="G82" s="5"/>
      <c r="H82" s="5"/>
      <c r="I82" s="7"/>
      <c r="J82" s="7"/>
      <c r="K82" s="7"/>
      <c r="L82" s="7"/>
      <c r="M82" s="7"/>
      <c r="N82" s="5"/>
      <c r="O82" s="5"/>
      <c r="P82" s="5"/>
      <c r="Q82" s="5"/>
      <c r="R82" s="5"/>
      <c r="S82" s="5"/>
    </row>
    <row r="83" spans="1:19" ht="21.95" customHeight="1">
      <c r="A83" s="4"/>
      <c r="B83" s="7"/>
      <c r="C83" s="4"/>
      <c r="D83" s="4"/>
      <c r="E83" s="5"/>
      <c r="F83" s="5"/>
      <c r="G83" s="5"/>
      <c r="H83" s="5"/>
      <c r="I83" s="7"/>
      <c r="J83" s="7"/>
      <c r="K83" s="7"/>
      <c r="L83" s="7"/>
      <c r="M83" s="7"/>
      <c r="N83" s="5"/>
      <c r="O83" s="5"/>
      <c r="P83" s="5"/>
      <c r="Q83" s="5"/>
      <c r="R83" s="5"/>
      <c r="S83" s="5"/>
    </row>
    <row r="84" spans="1:19" ht="21.95" customHeight="1">
      <c r="A84" s="4"/>
      <c r="B84" s="7"/>
      <c r="C84" s="4"/>
      <c r="D84" s="4"/>
      <c r="E84" s="5"/>
      <c r="F84" s="5"/>
      <c r="G84" s="5"/>
      <c r="H84" s="5"/>
      <c r="I84" s="7"/>
      <c r="J84" s="7"/>
      <c r="K84" s="7"/>
      <c r="L84" s="7"/>
      <c r="M84" s="7"/>
      <c r="N84" s="5"/>
      <c r="O84" s="5"/>
      <c r="P84" s="5"/>
      <c r="Q84" s="5"/>
      <c r="R84" s="5"/>
      <c r="S84" s="5"/>
    </row>
    <row r="85" spans="1:19" ht="21.95" customHeight="1">
      <c r="A85" s="4"/>
      <c r="B85" s="7"/>
      <c r="C85" s="4"/>
      <c r="D85" s="4"/>
      <c r="E85" s="5"/>
      <c r="F85" s="5"/>
      <c r="G85" s="5"/>
      <c r="H85" s="5"/>
      <c r="I85" s="7"/>
      <c r="J85" s="7"/>
      <c r="K85" s="7"/>
      <c r="L85" s="7"/>
      <c r="M85" s="7"/>
      <c r="N85" s="5"/>
      <c r="O85" s="5"/>
      <c r="P85" s="5"/>
      <c r="Q85" s="5"/>
      <c r="R85" s="5"/>
      <c r="S85" s="5"/>
    </row>
    <row r="86" spans="1:19">
      <c r="A86" s="4"/>
      <c r="B86" s="7"/>
      <c r="C86" s="4"/>
      <c r="D86" s="4"/>
      <c r="E86" s="5"/>
      <c r="F86" s="5"/>
      <c r="G86" s="5"/>
      <c r="H86" s="5"/>
      <c r="I86" s="7"/>
      <c r="J86" s="7"/>
      <c r="K86" s="7"/>
      <c r="L86" s="7"/>
      <c r="M86" s="7"/>
      <c r="N86" s="5"/>
      <c r="O86" s="5"/>
      <c r="P86" s="5"/>
      <c r="Q86" s="5"/>
      <c r="R86" s="5"/>
      <c r="S86" s="5"/>
    </row>
    <row r="87" spans="1:19">
      <c r="A87" s="4"/>
      <c r="B87" s="7"/>
      <c r="C87" s="4"/>
      <c r="D87" s="4"/>
      <c r="E87" s="5"/>
      <c r="F87" s="5"/>
      <c r="G87" s="5"/>
      <c r="H87" s="5"/>
      <c r="I87" s="7"/>
      <c r="J87" s="7"/>
      <c r="K87" s="7"/>
      <c r="L87" s="7"/>
      <c r="M87" s="7"/>
      <c r="N87" s="5"/>
      <c r="O87" s="5"/>
      <c r="P87" s="5"/>
      <c r="Q87" s="5"/>
      <c r="R87" s="5"/>
      <c r="S87" s="5"/>
    </row>
    <row r="88" spans="1:19">
      <c r="A88" s="4"/>
      <c r="B88" s="7"/>
      <c r="C88" s="4"/>
      <c r="D88" s="4"/>
      <c r="E88" s="5"/>
      <c r="F88" s="5"/>
      <c r="G88" s="5"/>
      <c r="H88" s="5"/>
      <c r="I88" s="7"/>
      <c r="J88" s="7"/>
      <c r="K88" s="7"/>
      <c r="L88" s="7"/>
      <c r="M88" s="7"/>
      <c r="N88" s="5"/>
      <c r="O88" s="5"/>
      <c r="P88" s="5"/>
      <c r="Q88" s="5"/>
      <c r="R88" s="5"/>
      <c r="S88" s="5"/>
    </row>
    <row r="89" spans="1:19">
      <c r="A89" s="4"/>
      <c r="B89" s="7"/>
      <c r="C89" s="4"/>
      <c r="D89" s="4"/>
      <c r="E89" s="5"/>
      <c r="F89" s="5"/>
      <c r="G89" s="5"/>
      <c r="H89" s="5"/>
      <c r="I89" s="7"/>
      <c r="J89" s="7"/>
      <c r="K89" s="7"/>
      <c r="L89" s="7"/>
      <c r="M89" s="7"/>
      <c r="N89" s="5"/>
      <c r="O89" s="5"/>
      <c r="P89" s="5"/>
      <c r="Q89" s="5"/>
      <c r="R89" s="5"/>
      <c r="S89" s="5"/>
    </row>
    <row r="90" spans="1:19">
      <c r="A90" s="4"/>
      <c r="B90" s="7"/>
      <c r="C90" s="4"/>
      <c r="D90" s="4"/>
      <c r="E90" s="5"/>
      <c r="F90" s="5"/>
      <c r="G90" s="5"/>
      <c r="H90" s="5"/>
      <c r="I90" s="7"/>
      <c r="J90" s="7"/>
      <c r="K90" s="7"/>
      <c r="L90" s="7"/>
      <c r="M90" s="7"/>
      <c r="N90" s="5"/>
      <c r="O90" s="5"/>
      <c r="P90" s="5"/>
      <c r="Q90" s="5"/>
      <c r="R90" s="5"/>
      <c r="S90" s="5"/>
    </row>
    <row r="91" spans="1:19">
      <c r="A91" s="4"/>
      <c r="B91" s="7"/>
      <c r="C91" s="4"/>
      <c r="D91" s="4"/>
      <c r="E91" s="5"/>
      <c r="F91" s="5"/>
      <c r="G91" s="5"/>
      <c r="H91" s="5"/>
      <c r="I91" s="7"/>
      <c r="J91" s="7"/>
      <c r="K91" s="7"/>
      <c r="L91" s="7"/>
      <c r="M91" s="7"/>
      <c r="N91" s="5"/>
      <c r="O91" s="5"/>
      <c r="P91" s="5"/>
      <c r="Q91" s="5"/>
      <c r="R91" s="5"/>
      <c r="S91" s="5"/>
    </row>
    <row r="92" spans="1:19">
      <c r="A92" s="4"/>
      <c r="B92" s="7"/>
      <c r="C92" s="4"/>
      <c r="D92" s="4"/>
      <c r="E92" s="5"/>
      <c r="F92" s="5"/>
      <c r="G92" s="5"/>
      <c r="H92" s="5"/>
      <c r="I92" s="7"/>
      <c r="J92" s="7"/>
      <c r="K92" s="7"/>
      <c r="L92" s="7"/>
      <c r="M92" s="7"/>
      <c r="N92" s="5"/>
      <c r="O92" s="5"/>
      <c r="P92" s="5"/>
      <c r="Q92" s="5"/>
      <c r="R92" s="5"/>
      <c r="S92" s="5"/>
    </row>
    <row r="93" spans="1:19">
      <c r="A93" s="4"/>
      <c r="B93" s="7"/>
      <c r="C93" s="4"/>
      <c r="D93" s="4"/>
      <c r="E93" s="5"/>
      <c r="F93" s="5"/>
      <c r="G93" s="5"/>
      <c r="H93" s="5"/>
      <c r="I93" s="7"/>
      <c r="J93" s="7"/>
      <c r="K93" s="7"/>
      <c r="L93" s="7"/>
      <c r="M93" s="7"/>
      <c r="N93" s="5"/>
      <c r="O93" s="5"/>
      <c r="P93" s="5"/>
      <c r="Q93" s="5"/>
      <c r="R93" s="5"/>
      <c r="S93" s="5"/>
    </row>
    <row r="94" spans="1:19">
      <c r="A94" s="4"/>
      <c r="B94" s="7"/>
      <c r="C94" s="4"/>
      <c r="D94" s="4"/>
      <c r="E94" s="5"/>
      <c r="F94" s="5"/>
      <c r="G94" s="5"/>
      <c r="H94" s="5"/>
      <c r="I94" s="7"/>
      <c r="J94" s="7"/>
      <c r="K94" s="7"/>
      <c r="L94" s="7"/>
      <c r="M94" s="7"/>
      <c r="N94" s="5"/>
      <c r="O94" s="5"/>
      <c r="P94" s="5"/>
      <c r="Q94" s="5"/>
      <c r="R94" s="5"/>
      <c r="S94" s="5"/>
    </row>
    <row r="95" spans="1:19">
      <c r="A95" s="4"/>
      <c r="B95" s="7"/>
      <c r="C95" s="4"/>
      <c r="D95" s="4"/>
      <c r="E95" s="5"/>
      <c r="F95" s="5"/>
      <c r="G95" s="5"/>
      <c r="H95" s="5"/>
      <c r="I95" s="7"/>
      <c r="J95" s="7"/>
      <c r="K95" s="7"/>
      <c r="L95" s="7"/>
      <c r="M95" s="7"/>
      <c r="N95" s="5"/>
      <c r="O95" s="5"/>
      <c r="P95" s="5"/>
      <c r="Q95" s="5"/>
      <c r="R95" s="5"/>
      <c r="S95" s="5"/>
    </row>
    <row r="96" spans="1:19">
      <c r="A96" s="4"/>
      <c r="B96" s="7"/>
      <c r="C96" s="4"/>
      <c r="D96" s="4"/>
      <c r="E96" s="5"/>
      <c r="F96" s="5"/>
      <c r="G96" s="5"/>
      <c r="H96" s="5"/>
      <c r="I96" s="7"/>
      <c r="J96" s="7"/>
      <c r="K96" s="7"/>
      <c r="L96" s="7"/>
      <c r="M96" s="7"/>
      <c r="N96" s="5"/>
      <c r="O96" s="5"/>
      <c r="P96" s="5"/>
      <c r="Q96" s="5"/>
      <c r="R96" s="5"/>
      <c r="S96" s="5"/>
    </row>
    <row r="97" spans="1:19">
      <c r="A97" s="4"/>
      <c r="B97" s="7"/>
      <c r="C97" s="4"/>
      <c r="D97" s="4"/>
      <c r="E97" s="5"/>
      <c r="F97" s="5"/>
      <c r="G97" s="5"/>
      <c r="H97" s="5"/>
      <c r="I97" s="7"/>
      <c r="J97" s="7"/>
      <c r="K97" s="7"/>
      <c r="L97" s="7"/>
      <c r="M97" s="7"/>
      <c r="N97" s="5"/>
      <c r="O97" s="5"/>
      <c r="P97" s="5"/>
      <c r="Q97" s="5"/>
      <c r="R97" s="5"/>
      <c r="S97" s="5"/>
    </row>
    <row r="98" spans="1:19">
      <c r="A98" s="4"/>
      <c r="B98" s="7"/>
      <c r="C98" s="4"/>
      <c r="D98" s="4"/>
      <c r="E98" s="5"/>
      <c r="F98" s="5"/>
      <c r="G98" s="5"/>
      <c r="H98" s="5"/>
      <c r="I98" s="7"/>
      <c r="J98" s="7"/>
      <c r="K98" s="7"/>
      <c r="L98" s="7"/>
      <c r="M98" s="7"/>
      <c r="N98" s="5"/>
      <c r="O98" s="5"/>
      <c r="P98" s="5"/>
      <c r="Q98" s="5"/>
      <c r="R98" s="5"/>
      <c r="S98" s="5"/>
    </row>
    <row r="99" spans="1:19">
      <c r="A99" s="4"/>
      <c r="B99" s="7"/>
      <c r="C99" s="4"/>
      <c r="D99" s="4"/>
      <c r="E99" s="5"/>
      <c r="F99" s="5"/>
      <c r="G99" s="5"/>
      <c r="H99" s="5"/>
      <c r="I99" s="7"/>
      <c r="J99" s="7"/>
      <c r="K99" s="7"/>
      <c r="L99" s="7"/>
      <c r="M99" s="7"/>
      <c r="N99" s="5"/>
      <c r="O99" s="5"/>
      <c r="P99" s="5"/>
      <c r="Q99" s="5"/>
      <c r="R99" s="5"/>
      <c r="S99" s="5"/>
    </row>
    <row r="100" spans="1:19">
      <c r="A100" s="4"/>
      <c r="B100" s="7"/>
      <c r="C100" s="4"/>
      <c r="D100" s="4"/>
      <c r="E100" s="5"/>
      <c r="F100" s="5"/>
      <c r="G100" s="5"/>
      <c r="H100" s="5"/>
      <c r="I100" s="7"/>
      <c r="J100" s="7"/>
      <c r="K100" s="7"/>
      <c r="L100" s="7"/>
      <c r="M100" s="7"/>
      <c r="N100" s="5"/>
      <c r="O100" s="5"/>
      <c r="P100" s="5"/>
      <c r="Q100" s="5"/>
      <c r="R100" s="5"/>
      <c r="S100" s="5"/>
    </row>
    <row r="101" spans="1:19">
      <c r="A101" s="4"/>
      <c r="B101" s="7"/>
      <c r="C101" s="4"/>
      <c r="D101" s="4"/>
      <c r="E101" s="5"/>
      <c r="F101" s="5"/>
      <c r="G101" s="5"/>
      <c r="H101" s="5"/>
      <c r="I101" s="7"/>
      <c r="J101" s="7"/>
      <c r="K101" s="7"/>
      <c r="L101" s="7"/>
      <c r="M101" s="7"/>
      <c r="N101" s="5"/>
      <c r="O101" s="5"/>
      <c r="P101" s="5"/>
      <c r="Q101" s="5"/>
      <c r="R101" s="5"/>
      <c r="S101" s="5"/>
    </row>
    <row r="102" spans="1:19">
      <c r="A102" s="4"/>
      <c r="B102" s="7"/>
      <c r="C102" s="4"/>
      <c r="D102" s="4"/>
      <c r="E102" s="5"/>
      <c r="F102" s="5"/>
      <c r="G102" s="5"/>
      <c r="H102" s="5"/>
      <c r="I102" s="7"/>
      <c r="J102" s="7"/>
      <c r="K102" s="7"/>
      <c r="L102" s="7"/>
      <c r="M102" s="7"/>
      <c r="N102" s="5"/>
      <c r="O102" s="5"/>
      <c r="P102" s="5"/>
      <c r="Q102" s="5"/>
      <c r="R102" s="5"/>
      <c r="S102" s="5"/>
    </row>
    <row r="103" spans="1:19">
      <c r="A103" s="4"/>
      <c r="B103" s="7"/>
      <c r="C103" s="4"/>
      <c r="D103" s="4"/>
      <c r="E103" s="5"/>
      <c r="F103" s="5"/>
      <c r="G103" s="5"/>
      <c r="H103" s="5"/>
      <c r="I103" s="7"/>
      <c r="J103" s="7"/>
      <c r="K103" s="7"/>
      <c r="L103" s="7"/>
      <c r="M103" s="7"/>
      <c r="N103" s="5"/>
      <c r="O103" s="5"/>
      <c r="P103" s="5"/>
      <c r="Q103" s="5"/>
      <c r="R103" s="5"/>
      <c r="S103" s="5"/>
    </row>
    <row r="104" spans="1:19">
      <c r="A104" s="4"/>
      <c r="B104" s="7"/>
      <c r="C104" s="4"/>
      <c r="D104" s="4"/>
      <c r="E104" s="5"/>
      <c r="F104" s="5"/>
      <c r="G104" s="5"/>
      <c r="H104" s="5"/>
      <c r="I104" s="7"/>
      <c r="J104" s="7"/>
      <c r="K104" s="7"/>
      <c r="L104" s="7"/>
      <c r="M104" s="7"/>
      <c r="N104" s="5"/>
      <c r="O104" s="5"/>
      <c r="P104" s="5"/>
      <c r="Q104" s="5"/>
      <c r="R104" s="5"/>
      <c r="S104" s="5"/>
    </row>
    <row r="105" spans="1:19">
      <c r="A105" s="4"/>
      <c r="B105" s="7"/>
      <c r="C105" s="4"/>
      <c r="D105" s="4"/>
      <c r="E105" s="5"/>
      <c r="F105" s="5"/>
      <c r="G105" s="5"/>
      <c r="H105" s="5"/>
      <c r="I105" s="7"/>
      <c r="J105" s="7"/>
      <c r="K105" s="7"/>
      <c r="L105" s="7"/>
      <c r="M105" s="7"/>
      <c r="N105" s="5"/>
      <c r="O105" s="5"/>
      <c r="P105" s="5"/>
      <c r="Q105" s="5"/>
      <c r="R105" s="5"/>
      <c r="S105" s="5"/>
    </row>
  </sheetData>
  <autoFilter ref="A2:S56" xr:uid="{B495C380-3747-43B0-B226-858EE8B124DE}"/>
  <mergeCells count="26">
    <mergeCell ref="R53:R55"/>
    <mergeCell ref="R48:R52"/>
    <mergeCell ref="R36:R38"/>
    <mergeCell ref="T36:T47"/>
    <mergeCell ref="T24:T26"/>
    <mergeCell ref="R24:R26"/>
    <mergeCell ref="R20:R23"/>
    <mergeCell ref="R18:R19"/>
    <mergeCell ref="T18:T23"/>
    <mergeCell ref="T53:T55"/>
    <mergeCell ref="R14:R17"/>
    <mergeCell ref="T48:T52"/>
    <mergeCell ref="T8:T13"/>
    <mergeCell ref="T14:T17"/>
    <mergeCell ref="R45:R46"/>
    <mergeCell ref="R39:R44"/>
    <mergeCell ref="R27:R28"/>
    <mergeCell ref="R31:R32"/>
    <mergeCell ref="T27:T35"/>
    <mergeCell ref="R33:R35"/>
    <mergeCell ref="R5:R7"/>
    <mergeCell ref="T5:T7"/>
    <mergeCell ref="R8:R11"/>
    <mergeCell ref="B3:B4"/>
    <mergeCell ref="R3:R4"/>
    <mergeCell ref="T3:T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3459-BBE0-4DBF-B9C3-A2D08CF3C7C2}">
  <sheetPr>
    <pageSetUpPr fitToPage="1"/>
  </sheetPr>
  <dimension ref="A1:T67"/>
  <sheetViews>
    <sheetView zoomScale="80" zoomScaleNormal="80" workbookViewId="0">
      <pane ySplit="2" topLeftCell="A3" activePane="bottomLeft" state="frozen"/>
      <selection activeCell="L218" sqref="L218"/>
      <selection pane="bottomLeft" activeCell="E14" sqref="E14"/>
    </sheetView>
  </sheetViews>
  <sheetFormatPr defaultRowHeight="16.5" outlineLevelCol="1"/>
  <cols>
    <col min="1" max="1" width="16.375" style="3" customWidth="1"/>
    <col min="2" max="2" width="15.75" style="2" customWidth="1"/>
    <col min="3" max="4" width="16.375" style="3" customWidth="1"/>
    <col min="5" max="5" width="15.75" style="388" customWidth="1"/>
    <col min="6" max="7" width="15.75" style="388" hidden="1" customWidth="1" outlineLevel="1"/>
    <col min="8" max="8" width="18.75" style="388" customWidth="1" collapsed="1"/>
    <col min="9" max="9" width="15.75" style="2" customWidth="1"/>
    <col min="10" max="11" width="15.75" style="2" hidden="1" customWidth="1" outlineLevel="1"/>
    <col min="12" max="12" width="15.75" style="2" customWidth="1" collapsed="1"/>
    <col min="13" max="13" width="17" style="2" customWidth="1"/>
    <col min="14" max="16" width="15.75" style="388" customWidth="1"/>
    <col min="17" max="17" width="18.75" style="388" customWidth="1"/>
    <col min="18" max="18" width="15.75" style="388" customWidth="1"/>
    <col min="19" max="19" width="30.875" style="388" customWidth="1"/>
    <col min="20" max="20" width="15.625" style="388" customWidth="1"/>
    <col min="21" max="21" width="9" style="388"/>
    <col min="22" max="22" width="10.625" style="388" bestFit="1" customWidth="1"/>
    <col min="23" max="16384" width="9" style="388"/>
  </cols>
  <sheetData>
    <row r="1" spans="1:20" ht="15.75" customHeight="1">
      <c r="A1" s="4"/>
      <c r="B1" s="7"/>
      <c r="C1" s="4"/>
      <c r="D1" s="4"/>
      <c r="E1" s="5"/>
      <c r="F1" s="5"/>
      <c r="G1" s="5"/>
      <c r="H1" s="5"/>
      <c r="I1" s="7"/>
      <c r="J1" s="7"/>
      <c r="K1" s="7"/>
      <c r="L1" s="7"/>
      <c r="M1" s="7"/>
      <c r="N1" s="6"/>
      <c r="O1" s="6"/>
      <c r="P1" s="5"/>
      <c r="Q1" s="5"/>
      <c r="R1" s="5"/>
      <c r="S1" s="5"/>
      <c r="T1" s="5"/>
    </row>
    <row r="2" spans="1:20" ht="30.75" customHeight="1">
      <c r="A2" s="78" t="s">
        <v>4</v>
      </c>
      <c r="B2" s="79" t="s">
        <v>391</v>
      </c>
      <c r="C2" s="78" t="s">
        <v>14</v>
      </c>
      <c r="D2" s="78" t="s">
        <v>13</v>
      </c>
      <c r="E2" s="78" t="s">
        <v>0</v>
      </c>
      <c r="F2" s="78" t="s">
        <v>249</v>
      </c>
      <c r="G2" s="78" t="s">
        <v>260</v>
      </c>
      <c r="H2" s="79" t="s">
        <v>1</v>
      </c>
      <c r="I2" s="79" t="s">
        <v>2</v>
      </c>
      <c r="J2" s="79" t="s">
        <v>80</v>
      </c>
      <c r="K2" s="79" t="s">
        <v>81</v>
      </c>
      <c r="L2" s="8" t="s">
        <v>9</v>
      </c>
      <c r="M2" s="67" t="s">
        <v>78</v>
      </c>
      <c r="N2" s="68" t="s">
        <v>79</v>
      </c>
      <c r="O2" s="69" t="s">
        <v>77</v>
      </c>
      <c r="P2" s="70" t="s">
        <v>7</v>
      </c>
      <c r="Q2" s="9" t="s">
        <v>8</v>
      </c>
      <c r="R2" s="78" t="s">
        <v>3</v>
      </c>
      <c r="S2" s="78" t="s">
        <v>10</v>
      </c>
      <c r="T2" s="80" t="s">
        <v>12</v>
      </c>
    </row>
    <row r="3" spans="1:20" ht="21.95" customHeight="1">
      <c r="A3" s="2001">
        <v>45930</v>
      </c>
      <c r="B3" s="1980" t="s">
        <v>34</v>
      </c>
      <c r="C3" s="553"/>
      <c r="D3" s="553"/>
      <c r="E3" s="2003" t="s">
        <v>63</v>
      </c>
      <c r="F3" s="558"/>
      <c r="G3" s="558"/>
      <c r="H3" s="103" t="s">
        <v>67</v>
      </c>
      <c r="I3" s="503" t="s">
        <v>64</v>
      </c>
      <c r="J3" s="550">
        <v>17770</v>
      </c>
      <c r="K3" s="550">
        <v>18910</v>
      </c>
      <c r="L3" s="56">
        <f t="shared" ref="L3:L4" si="0">K3-J3</f>
        <v>1140</v>
      </c>
      <c r="M3" s="546"/>
      <c r="N3" s="546"/>
      <c r="O3" s="546">
        <v>1140</v>
      </c>
      <c r="P3" s="565">
        <v>3300</v>
      </c>
      <c r="Q3" s="511">
        <f t="shared" ref="Q3:Q4" si="1">P3*O3</f>
        <v>3762000</v>
      </c>
      <c r="R3" s="1981" t="s">
        <v>5</v>
      </c>
      <c r="S3" s="605"/>
      <c r="T3" s="1978" t="s">
        <v>68</v>
      </c>
    </row>
    <row r="4" spans="1:20" ht="21.95" customHeight="1" thickBot="1">
      <c r="A4" s="2002"/>
      <c r="B4" s="1982"/>
      <c r="C4" s="554"/>
      <c r="D4" s="554"/>
      <c r="E4" s="2004"/>
      <c r="F4" s="559"/>
      <c r="G4" s="559"/>
      <c r="H4" s="194" t="s">
        <v>67</v>
      </c>
      <c r="I4" s="62" t="s">
        <v>65</v>
      </c>
      <c r="J4" s="479">
        <v>18910</v>
      </c>
      <c r="K4" s="479">
        <v>19200</v>
      </c>
      <c r="L4" s="64">
        <f t="shared" si="0"/>
        <v>290</v>
      </c>
      <c r="M4" s="62"/>
      <c r="N4" s="62"/>
      <c r="O4" s="62">
        <v>290</v>
      </c>
      <c r="P4" s="65">
        <v>3100</v>
      </c>
      <c r="Q4" s="65">
        <f t="shared" si="1"/>
        <v>899000</v>
      </c>
      <c r="R4" s="1983"/>
      <c r="S4" s="198"/>
      <c r="T4" s="1984"/>
    </row>
    <row r="5" spans="1:20" ht="26.25" customHeight="1">
      <c r="A5" s="552">
        <v>46153</v>
      </c>
      <c r="B5" s="507" t="s">
        <v>264</v>
      </c>
      <c r="C5" s="552" t="s">
        <v>17</v>
      </c>
      <c r="D5" s="87" t="s">
        <v>247</v>
      </c>
      <c r="E5" s="87" t="s">
        <v>108</v>
      </c>
      <c r="F5" s="87" t="s">
        <v>251</v>
      </c>
      <c r="G5" s="87"/>
      <c r="H5" s="88" t="s">
        <v>67</v>
      </c>
      <c r="I5" s="89" t="s">
        <v>109</v>
      </c>
      <c r="J5" s="507">
        <v>12930</v>
      </c>
      <c r="K5" s="507">
        <v>16020</v>
      </c>
      <c r="L5" s="157">
        <f>K5-J5-L6-L7-L8</f>
        <v>2030</v>
      </c>
      <c r="M5" s="557">
        <v>2030</v>
      </c>
      <c r="N5" s="557">
        <v>10</v>
      </c>
      <c r="O5" s="557">
        <f>M5-N5</f>
        <v>2020</v>
      </c>
      <c r="P5" s="507">
        <v>3900</v>
      </c>
      <c r="Q5" s="560">
        <f t="shared" ref="Q5:Q10" si="2">P5*O5</f>
        <v>7878000</v>
      </c>
      <c r="R5" s="1989" t="s">
        <v>5</v>
      </c>
      <c r="S5" s="510" t="s">
        <v>408</v>
      </c>
      <c r="T5" s="2006" t="s">
        <v>403</v>
      </c>
    </row>
    <row r="6" spans="1:20" ht="26.25" customHeight="1">
      <c r="A6" s="552">
        <v>46153</v>
      </c>
      <c r="B6" s="507" t="s">
        <v>238</v>
      </c>
      <c r="C6" s="552" t="s">
        <v>17</v>
      </c>
      <c r="D6" s="87" t="s">
        <v>247</v>
      </c>
      <c r="E6" s="87" t="s">
        <v>108</v>
      </c>
      <c r="F6" s="87" t="s">
        <v>251</v>
      </c>
      <c r="G6" s="87"/>
      <c r="H6" s="88" t="s">
        <v>67</v>
      </c>
      <c r="I6" s="89" t="s">
        <v>109</v>
      </c>
      <c r="J6" s="507"/>
      <c r="K6" s="507"/>
      <c r="L6" s="157">
        <f>120+780</f>
        <v>900</v>
      </c>
      <c r="M6" s="557">
        <v>900</v>
      </c>
      <c r="N6" s="557"/>
      <c r="O6" s="557">
        <v>900</v>
      </c>
      <c r="P6" s="507">
        <v>3900</v>
      </c>
      <c r="Q6" s="560">
        <f t="shared" si="2"/>
        <v>3510000</v>
      </c>
      <c r="R6" s="1989"/>
      <c r="S6" s="510" t="s">
        <v>396</v>
      </c>
      <c r="T6" s="2006"/>
    </row>
    <row r="7" spans="1:20" ht="26.25" customHeight="1">
      <c r="A7" s="552">
        <v>46153</v>
      </c>
      <c r="B7" s="507" t="s">
        <v>147</v>
      </c>
      <c r="C7" s="552" t="s">
        <v>17</v>
      </c>
      <c r="D7" s="87" t="s">
        <v>247</v>
      </c>
      <c r="E7" s="87" t="s">
        <v>108</v>
      </c>
      <c r="F7" s="87" t="s">
        <v>251</v>
      </c>
      <c r="G7" s="87"/>
      <c r="H7" s="88" t="s">
        <v>67</v>
      </c>
      <c r="I7" s="89" t="s">
        <v>109</v>
      </c>
      <c r="J7" s="507"/>
      <c r="K7" s="507"/>
      <c r="L7" s="157">
        <v>100</v>
      </c>
      <c r="M7" s="557">
        <v>100</v>
      </c>
      <c r="N7" s="557"/>
      <c r="O7" s="557">
        <v>100</v>
      </c>
      <c r="P7" s="507">
        <v>3900</v>
      </c>
      <c r="Q7" s="560">
        <f t="shared" si="2"/>
        <v>390000</v>
      </c>
      <c r="R7" s="1989"/>
      <c r="S7" s="510" t="s">
        <v>394</v>
      </c>
      <c r="T7" s="2006"/>
    </row>
    <row r="8" spans="1:20" ht="26.25" customHeight="1">
      <c r="A8" s="552">
        <v>46153</v>
      </c>
      <c r="B8" s="507" t="s">
        <v>305</v>
      </c>
      <c r="C8" s="552" t="s">
        <v>17</v>
      </c>
      <c r="D8" s="87" t="s">
        <v>247</v>
      </c>
      <c r="E8" s="87" t="s">
        <v>108</v>
      </c>
      <c r="F8" s="87" t="s">
        <v>251</v>
      </c>
      <c r="G8" s="87"/>
      <c r="H8" s="88" t="s">
        <v>67</v>
      </c>
      <c r="I8" s="89" t="s">
        <v>109</v>
      </c>
      <c r="J8" s="507"/>
      <c r="K8" s="507"/>
      <c r="L8" s="157">
        <v>60</v>
      </c>
      <c r="M8" s="557">
        <v>60</v>
      </c>
      <c r="N8" s="557"/>
      <c r="O8" s="557">
        <v>60</v>
      </c>
      <c r="P8" s="507">
        <v>3900</v>
      </c>
      <c r="Q8" s="560">
        <f t="shared" si="2"/>
        <v>234000</v>
      </c>
      <c r="R8" s="1990"/>
      <c r="S8" s="510" t="s">
        <v>393</v>
      </c>
      <c r="T8" s="2006"/>
    </row>
    <row r="9" spans="1:20" ht="26.25" customHeight="1">
      <c r="A9" s="1243">
        <v>46174</v>
      </c>
      <c r="B9" s="1236" t="s">
        <v>264</v>
      </c>
      <c r="C9" s="1243" t="s">
        <v>17</v>
      </c>
      <c r="D9" s="1243" t="s">
        <v>247</v>
      </c>
      <c r="E9" s="1243" t="s">
        <v>108</v>
      </c>
      <c r="F9" s="1243" t="s">
        <v>251</v>
      </c>
      <c r="G9" s="1243"/>
      <c r="H9" s="501" t="s">
        <v>67</v>
      </c>
      <c r="I9" s="1239" t="s">
        <v>109</v>
      </c>
      <c r="J9" s="1236">
        <v>13230</v>
      </c>
      <c r="K9" s="1236">
        <v>15460</v>
      </c>
      <c r="L9" s="23">
        <f>(K9-J9)*0.7</f>
        <v>1561</v>
      </c>
      <c r="M9" s="1239">
        <v>1561</v>
      </c>
      <c r="N9" s="1239">
        <v>10</v>
      </c>
      <c r="O9" s="1239">
        <f>M9-N9</f>
        <v>1551</v>
      </c>
      <c r="P9" s="1236">
        <v>3900</v>
      </c>
      <c r="Q9" s="1241">
        <f t="shared" si="2"/>
        <v>6048900</v>
      </c>
      <c r="R9" s="1992" t="s">
        <v>5</v>
      </c>
      <c r="S9" s="123" t="s">
        <v>635</v>
      </c>
      <c r="T9" s="2006" t="s">
        <v>644</v>
      </c>
    </row>
    <row r="10" spans="1:20" ht="26.25" customHeight="1">
      <c r="A10" s="1245">
        <v>46174</v>
      </c>
      <c r="B10" s="1235" t="s">
        <v>314</v>
      </c>
      <c r="C10" s="1245" t="s">
        <v>17</v>
      </c>
      <c r="D10" s="1245" t="s">
        <v>247</v>
      </c>
      <c r="E10" s="1245" t="s">
        <v>108</v>
      </c>
      <c r="F10" s="1245" t="s">
        <v>251</v>
      </c>
      <c r="G10" s="1245"/>
      <c r="H10" s="502" t="s">
        <v>67</v>
      </c>
      <c r="I10" s="1240" t="s">
        <v>109</v>
      </c>
      <c r="J10" s="1235"/>
      <c r="K10" s="1235"/>
      <c r="L10" s="28">
        <f>(K9-J9)*0.3</f>
        <v>669</v>
      </c>
      <c r="M10" s="1240">
        <v>669</v>
      </c>
      <c r="N10" s="1240"/>
      <c r="O10" s="1240">
        <f>M10-N10</f>
        <v>669</v>
      </c>
      <c r="P10" s="1235">
        <v>3900</v>
      </c>
      <c r="Q10" s="1242">
        <f t="shared" si="2"/>
        <v>2609100</v>
      </c>
      <c r="R10" s="1995"/>
      <c r="S10" s="111"/>
      <c r="T10" s="2006"/>
    </row>
    <row r="11" spans="1:20" ht="26.25" customHeight="1">
      <c r="A11" s="1635">
        <v>46191</v>
      </c>
      <c r="B11" s="1627" t="s">
        <v>699</v>
      </c>
      <c r="C11" s="1635" t="s">
        <v>17</v>
      </c>
      <c r="D11" s="1635" t="s">
        <v>74</v>
      </c>
      <c r="E11" s="1635" t="s">
        <v>715</v>
      </c>
      <c r="F11" s="1635" t="s">
        <v>716</v>
      </c>
      <c r="G11" s="1635" t="s">
        <v>717</v>
      </c>
      <c r="H11" s="501" t="s">
        <v>67</v>
      </c>
      <c r="I11" s="1631" t="s">
        <v>713</v>
      </c>
      <c r="J11" s="1627">
        <v>18740</v>
      </c>
      <c r="K11" s="1627">
        <v>31860</v>
      </c>
      <c r="L11" s="23">
        <f>K11-J11-1000</f>
        <v>12120</v>
      </c>
      <c r="M11" s="1631">
        <v>12120</v>
      </c>
      <c r="N11" s="1631">
        <v>28</v>
      </c>
      <c r="O11" s="1631">
        <f>M11-N11</f>
        <v>12092</v>
      </c>
      <c r="P11" s="1627">
        <v>4400</v>
      </c>
      <c r="Q11" s="1633">
        <f>O11*P11</f>
        <v>53204800</v>
      </c>
      <c r="R11" s="1992" t="s">
        <v>5</v>
      </c>
      <c r="S11" s="123" t="s">
        <v>718</v>
      </c>
      <c r="T11" s="2006" t="s">
        <v>720</v>
      </c>
    </row>
    <row r="12" spans="1:20" ht="26.25" customHeight="1">
      <c r="A12" s="1636">
        <v>46191</v>
      </c>
      <c r="B12" s="1625" t="s">
        <v>712</v>
      </c>
      <c r="C12" s="1636" t="s">
        <v>17</v>
      </c>
      <c r="D12" s="1636" t="s">
        <v>74</v>
      </c>
      <c r="E12" s="1636" t="s">
        <v>715</v>
      </c>
      <c r="F12" s="1636" t="s">
        <v>716</v>
      </c>
      <c r="G12" s="1636" t="s">
        <v>717</v>
      </c>
      <c r="H12" s="226" t="s">
        <v>67</v>
      </c>
      <c r="I12" s="1642" t="s">
        <v>713</v>
      </c>
      <c r="J12" s="1625"/>
      <c r="K12" s="1625"/>
      <c r="L12" s="26">
        <v>1000</v>
      </c>
      <c r="M12" s="1642">
        <v>1000</v>
      </c>
      <c r="N12" s="1642"/>
      <c r="O12" s="1642">
        <f t="shared" ref="O12:O14" si="3">M12-N12</f>
        <v>1000</v>
      </c>
      <c r="P12" s="1625">
        <v>4400</v>
      </c>
      <c r="Q12" s="1628">
        <f t="shared" ref="Q12:Q17" si="4">O12*P12</f>
        <v>4400000</v>
      </c>
      <c r="R12" s="1993"/>
      <c r="S12" s="1641"/>
      <c r="T12" s="2006"/>
    </row>
    <row r="13" spans="1:20" ht="26.25" customHeight="1">
      <c r="A13" s="1637">
        <v>46191</v>
      </c>
      <c r="B13" s="1626" t="s">
        <v>34</v>
      </c>
      <c r="C13" s="1637" t="s">
        <v>17</v>
      </c>
      <c r="D13" s="1637" t="s">
        <v>74</v>
      </c>
      <c r="E13" s="1637" t="s">
        <v>715</v>
      </c>
      <c r="F13" s="1637" t="s">
        <v>716</v>
      </c>
      <c r="G13" s="1637" t="s">
        <v>717</v>
      </c>
      <c r="H13" s="502" t="s">
        <v>67</v>
      </c>
      <c r="I13" s="1632" t="s">
        <v>714</v>
      </c>
      <c r="J13" s="1626">
        <v>31850</v>
      </c>
      <c r="K13" s="1626">
        <v>34090</v>
      </c>
      <c r="L13" s="28">
        <f>K13-J13</f>
        <v>2240</v>
      </c>
      <c r="M13" s="1632">
        <v>2240</v>
      </c>
      <c r="N13" s="1632">
        <v>4</v>
      </c>
      <c r="O13" s="1632">
        <f t="shared" si="3"/>
        <v>2236</v>
      </c>
      <c r="P13" s="1626">
        <v>3900</v>
      </c>
      <c r="Q13" s="1634">
        <f t="shared" si="4"/>
        <v>8720400</v>
      </c>
      <c r="R13" s="1630" t="s">
        <v>5</v>
      </c>
      <c r="S13" s="111" t="s">
        <v>719</v>
      </c>
      <c r="T13" s="2006"/>
    </row>
    <row r="14" spans="1:20" ht="26.25" customHeight="1">
      <c r="A14" s="1880">
        <v>46198</v>
      </c>
      <c r="B14" s="1857" t="s">
        <v>34</v>
      </c>
      <c r="C14" s="1880" t="s">
        <v>17</v>
      </c>
      <c r="D14" s="1880" t="s">
        <v>46</v>
      </c>
      <c r="E14" s="1880" t="s">
        <v>53</v>
      </c>
      <c r="F14" s="1880"/>
      <c r="G14" s="1880"/>
      <c r="H14" s="84" t="s">
        <v>175</v>
      </c>
      <c r="I14" s="1870" t="s">
        <v>773</v>
      </c>
      <c r="J14" s="1857">
        <v>14200</v>
      </c>
      <c r="K14" s="1857">
        <v>21550</v>
      </c>
      <c r="L14" s="58">
        <f>K14-J14</f>
        <v>7350</v>
      </c>
      <c r="M14" s="1870">
        <v>7350</v>
      </c>
      <c r="N14" s="1870">
        <v>26</v>
      </c>
      <c r="O14" s="1870">
        <f t="shared" si="3"/>
        <v>7324</v>
      </c>
      <c r="P14" s="1857">
        <v>4300</v>
      </c>
      <c r="Q14" s="1863">
        <f>P14*O14</f>
        <v>31493200</v>
      </c>
      <c r="R14" s="1849" t="s">
        <v>5</v>
      </c>
      <c r="S14" s="147" t="s">
        <v>774</v>
      </c>
      <c r="T14" s="1865" t="s">
        <v>772</v>
      </c>
    </row>
    <row r="15" spans="1:20" ht="26.25" customHeight="1">
      <c r="A15" s="1878">
        <v>46203</v>
      </c>
      <c r="B15" s="1859" t="s">
        <v>712</v>
      </c>
      <c r="C15" s="1878" t="s">
        <v>262</v>
      </c>
      <c r="D15" s="1878" t="s">
        <v>274</v>
      </c>
      <c r="E15" s="1878" t="s">
        <v>759</v>
      </c>
      <c r="F15" s="1878" t="s">
        <v>760</v>
      </c>
      <c r="G15" s="1878" t="s">
        <v>761</v>
      </c>
      <c r="H15" s="501" t="s">
        <v>157</v>
      </c>
      <c r="I15" s="1866" t="s">
        <v>762</v>
      </c>
      <c r="J15" s="1859"/>
      <c r="K15" s="1859"/>
      <c r="L15" s="23">
        <v>1392</v>
      </c>
      <c r="M15" s="1866">
        <v>1392</v>
      </c>
      <c r="N15" s="1866"/>
      <c r="O15" s="1866">
        <f>M15-N15</f>
        <v>1392</v>
      </c>
      <c r="P15" s="1859">
        <v>4500</v>
      </c>
      <c r="Q15" s="1868">
        <f>O15*P15</f>
        <v>6264000</v>
      </c>
      <c r="R15" s="1992" t="s">
        <v>5</v>
      </c>
      <c r="S15" s="123" t="s">
        <v>764</v>
      </c>
      <c r="T15" s="2006" t="s">
        <v>758</v>
      </c>
    </row>
    <row r="16" spans="1:20" ht="26.25" customHeight="1">
      <c r="A16" s="1875">
        <v>46203</v>
      </c>
      <c r="B16" s="1860" t="s">
        <v>699</v>
      </c>
      <c r="C16" s="1875" t="s">
        <v>262</v>
      </c>
      <c r="D16" s="1875" t="s">
        <v>274</v>
      </c>
      <c r="E16" s="1875" t="s">
        <v>759</v>
      </c>
      <c r="F16" s="1875" t="s">
        <v>760</v>
      </c>
      <c r="G16" s="1875" t="s">
        <v>761</v>
      </c>
      <c r="H16" s="226" t="s">
        <v>157</v>
      </c>
      <c r="I16" s="1888" t="s">
        <v>762</v>
      </c>
      <c r="J16" s="1860">
        <v>8550</v>
      </c>
      <c r="K16" s="1860">
        <v>14280</v>
      </c>
      <c r="L16" s="26">
        <f>K16-J16-1392</f>
        <v>4338</v>
      </c>
      <c r="M16" s="1888">
        <v>4338</v>
      </c>
      <c r="N16" s="1888">
        <v>30</v>
      </c>
      <c r="O16" s="1888">
        <f t="shared" ref="O16:O17" si="5">M16-N16</f>
        <v>4308</v>
      </c>
      <c r="P16" s="1860">
        <v>4500</v>
      </c>
      <c r="Q16" s="1862">
        <f t="shared" si="4"/>
        <v>19386000</v>
      </c>
      <c r="R16" s="1993"/>
      <c r="S16" s="1887" t="s">
        <v>767</v>
      </c>
      <c r="T16" s="2006"/>
    </row>
    <row r="17" spans="1:20" ht="26.25" customHeight="1">
      <c r="A17" s="1879">
        <v>46203</v>
      </c>
      <c r="B17" s="1861" t="s">
        <v>699</v>
      </c>
      <c r="C17" s="1879" t="s">
        <v>262</v>
      </c>
      <c r="D17" s="1879" t="s">
        <v>263</v>
      </c>
      <c r="E17" s="1879" t="s">
        <v>167</v>
      </c>
      <c r="F17" s="1879" t="s">
        <v>269</v>
      </c>
      <c r="G17" s="1879" t="s">
        <v>270</v>
      </c>
      <c r="H17" s="502" t="s">
        <v>157</v>
      </c>
      <c r="I17" s="1872" t="s">
        <v>763</v>
      </c>
      <c r="J17" s="1861">
        <v>13360</v>
      </c>
      <c r="K17" s="1861">
        <v>20570</v>
      </c>
      <c r="L17" s="28">
        <v>7210</v>
      </c>
      <c r="M17" s="1872">
        <v>7210</v>
      </c>
      <c r="N17" s="1872">
        <v>10</v>
      </c>
      <c r="O17" s="1872">
        <f t="shared" si="5"/>
        <v>7200</v>
      </c>
      <c r="P17" s="1861">
        <v>4100</v>
      </c>
      <c r="Q17" s="1873">
        <f t="shared" si="4"/>
        <v>29520000</v>
      </c>
      <c r="R17" s="1852" t="s">
        <v>5</v>
      </c>
      <c r="S17" s="111" t="s">
        <v>765</v>
      </c>
      <c r="T17" s="2006"/>
    </row>
    <row r="18" spans="1:20" ht="47.25" customHeight="1">
      <c r="A18" s="324"/>
      <c r="B18" s="507"/>
      <c r="C18" s="324"/>
      <c r="D18" s="324"/>
      <c r="E18" s="100"/>
      <c r="F18" s="100"/>
      <c r="G18" s="100"/>
      <c r="H18" s="100"/>
      <c r="I18" s="507"/>
      <c r="J18" s="507"/>
      <c r="K18" s="557"/>
      <c r="L18" s="53"/>
      <c r="M18" s="507"/>
      <c r="N18" s="557"/>
      <c r="O18" s="557"/>
      <c r="P18" s="557"/>
      <c r="Q18" s="507"/>
      <c r="R18" s="54"/>
      <c r="S18" s="608" t="s">
        <v>768</v>
      </c>
      <c r="T18" s="609"/>
    </row>
    <row r="19" spans="1:20" ht="30" customHeight="1">
      <c r="A19" s="72"/>
      <c r="B19" s="75"/>
      <c r="C19" s="72"/>
      <c r="D19" s="72"/>
      <c r="E19" s="73"/>
      <c r="F19" s="73"/>
      <c r="G19" s="73"/>
      <c r="H19" s="74"/>
      <c r="I19" s="75"/>
      <c r="J19" s="75"/>
      <c r="K19" s="75"/>
      <c r="L19" s="11">
        <f>SUBTOTAL(9,L3:L18)</f>
        <v>42400</v>
      </c>
      <c r="M19" s="76"/>
      <c r="N19" s="77"/>
      <c r="O19" s="76"/>
      <c r="P19" s="77"/>
      <c r="Q19" s="66">
        <f>SUBTOTAL(9,Q3:Q18)</f>
        <v>178319400</v>
      </c>
      <c r="R19" s="74"/>
      <c r="S19" s="74"/>
    </row>
    <row r="20" spans="1:20" ht="21.95" customHeight="1">
      <c r="A20" s="4"/>
      <c r="B20" s="7"/>
      <c r="C20" s="4"/>
      <c r="D20" s="4"/>
      <c r="E20" s="5"/>
      <c r="F20" s="5"/>
      <c r="G20" s="5"/>
      <c r="H20" s="5"/>
      <c r="I20" s="7"/>
      <c r="J20" s="7"/>
      <c r="K20" s="7"/>
      <c r="L20" s="7"/>
      <c r="M20" s="7"/>
      <c r="N20" s="6"/>
      <c r="O20" s="6"/>
      <c r="P20" s="5"/>
      <c r="Q20" s="5"/>
      <c r="R20" s="5"/>
      <c r="S20" s="5"/>
    </row>
    <row r="21" spans="1:20" ht="21.95" customHeight="1">
      <c r="A21" s="20"/>
      <c r="B21" s="7"/>
      <c r="C21" s="20"/>
      <c r="D21" s="20"/>
      <c r="E21" s="5"/>
      <c r="F21" s="5"/>
      <c r="G21" s="5"/>
      <c r="H21" s="5"/>
      <c r="I21" s="7"/>
      <c r="J21" s="7"/>
      <c r="K21" s="7"/>
      <c r="L21" s="7"/>
      <c r="M21" s="7"/>
      <c r="N21" s="5"/>
      <c r="O21" s="5"/>
      <c r="P21" s="5"/>
      <c r="Q21" s="5"/>
      <c r="R21" s="5"/>
      <c r="S21" s="5"/>
    </row>
    <row r="22" spans="1:20" ht="21.95" customHeight="1">
      <c r="A22" s="4"/>
      <c r="B22" s="7"/>
      <c r="C22" s="4"/>
      <c r="D22" s="4"/>
      <c r="E22" s="5"/>
      <c r="F22" s="5"/>
      <c r="G22" s="5"/>
      <c r="H22" s="5"/>
      <c r="I22" s="7"/>
      <c r="J22" s="7"/>
      <c r="K22" s="7"/>
      <c r="L22" s="7"/>
      <c r="M22" s="7"/>
      <c r="N22" s="5"/>
      <c r="O22" s="5"/>
      <c r="P22" s="5"/>
      <c r="Q22" s="5"/>
      <c r="R22" s="5"/>
      <c r="S22" s="5"/>
    </row>
    <row r="23" spans="1:20" ht="21.95" customHeight="1">
      <c r="A23" s="4"/>
      <c r="B23" s="7"/>
      <c r="C23" s="4"/>
      <c r="D23" s="4"/>
      <c r="E23" s="5"/>
      <c r="F23" s="5"/>
      <c r="G23" s="5"/>
      <c r="H23" s="5"/>
      <c r="I23" s="7"/>
      <c r="J23" s="7"/>
      <c r="K23" s="7"/>
      <c r="L23" s="7"/>
      <c r="M23" s="7"/>
      <c r="N23" s="7"/>
      <c r="O23" s="5"/>
      <c r="P23" s="7"/>
      <c r="Q23" s="7"/>
      <c r="R23" s="166"/>
      <c r="S23" s="5"/>
    </row>
    <row r="24" spans="1:20" ht="21.95" customHeight="1">
      <c r="A24" s="4"/>
      <c r="B24" s="7"/>
      <c r="C24" s="4"/>
      <c r="D24" s="4"/>
      <c r="E24" s="5"/>
      <c r="F24" s="5"/>
      <c r="G24" s="5"/>
      <c r="H24" s="5"/>
      <c r="I24" s="7"/>
      <c r="J24" s="7"/>
      <c r="K24" s="7"/>
      <c r="L24" s="7"/>
      <c r="M24" s="7"/>
      <c r="N24" s="7"/>
      <c r="O24" s="5"/>
      <c r="P24" s="166"/>
      <c r="Q24" s="5"/>
      <c r="R24" s="5"/>
      <c r="S24" s="5"/>
    </row>
    <row r="25" spans="1:20" ht="21.95" customHeight="1">
      <c r="A25" s="4"/>
      <c r="B25" s="7"/>
      <c r="C25" s="4"/>
      <c r="D25" s="4"/>
      <c r="E25" s="5"/>
      <c r="F25" s="5"/>
      <c r="G25" s="5"/>
      <c r="H25" s="5"/>
      <c r="I25" s="7"/>
      <c r="J25" s="7"/>
      <c r="K25" s="7"/>
      <c r="L25" s="7"/>
      <c r="M25" s="7"/>
      <c r="N25" s="5"/>
      <c r="O25" s="5"/>
      <c r="P25" s="5"/>
      <c r="Q25" s="5"/>
      <c r="R25" s="5"/>
      <c r="S25" s="5"/>
    </row>
    <row r="26" spans="1:20" ht="21.95" customHeight="1">
      <c r="A26" s="4"/>
      <c r="B26" s="7"/>
      <c r="C26" s="4"/>
      <c r="D26" s="4"/>
      <c r="E26" s="5"/>
      <c r="F26" s="5"/>
      <c r="G26" s="5"/>
      <c r="H26" s="5"/>
      <c r="I26" s="7"/>
      <c r="J26" s="7"/>
      <c r="K26" s="7"/>
      <c r="L26" s="7"/>
      <c r="M26" s="7"/>
      <c r="N26" s="5"/>
      <c r="O26" s="5"/>
      <c r="P26" s="5"/>
      <c r="Q26" s="7"/>
      <c r="R26" s="5"/>
      <c r="S26" s="5"/>
    </row>
    <row r="27" spans="1:20" ht="21.95" customHeight="1">
      <c r="A27" s="4"/>
      <c r="B27" s="7"/>
      <c r="C27" s="4"/>
      <c r="D27" s="4"/>
      <c r="E27" s="5"/>
      <c r="F27" s="5"/>
      <c r="G27" s="5"/>
      <c r="H27" s="5"/>
      <c r="I27" s="7"/>
      <c r="J27" s="7"/>
      <c r="K27" s="7"/>
      <c r="L27" s="7"/>
      <c r="M27" s="7"/>
      <c r="N27" s="5"/>
      <c r="O27" s="5"/>
      <c r="P27" s="5"/>
      <c r="Q27" s="5"/>
      <c r="R27" s="5"/>
      <c r="S27" s="5"/>
    </row>
    <row r="28" spans="1:20" ht="21.95" customHeight="1">
      <c r="A28" s="4"/>
      <c r="B28" s="7"/>
      <c r="C28" s="4"/>
      <c r="D28" s="4"/>
      <c r="E28" s="5"/>
      <c r="F28" s="5"/>
      <c r="G28" s="5"/>
      <c r="H28" s="5"/>
      <c r="I28" s="7"/>
      <c r="J28" s="7"/>
      <c r="K28" s="7"/>
      <c r="L28" s="7"/>
      <c r="M28" s="7"/>
      <c r="N28" s="5"/>
      <c r="O28" s="5"/>
      <c r="P28" s="5"/>
      <c r="Q28" s="5"/>
      <c r="R28" s="5"/>
      <c r="S28" s="5"/>
    </row>
    <row r="29" spans="1:20" ht="21.95" customHeight="1">
      <c r="A29" s="4"/>
      <c r="B29" s="7"/>
      <c r="C29" s="4"/>
      <c r="D29" s="4"/>
      <c r="E29" s="5"/>
      <c r="F29" s="5"/>
      <c r="G29" s="5"/>
      <c r="H29" s="5"/>
      <c r="I29" s="7"/>
      <c r="J29" s="7"/>
      <c r="K29" s="7"/>
      <c r="L29" s="7"/>
      <c r="M29" s="7"/>
      <c r="N29" s="5"/>
      <c r="O29" s="5"/>
      <c r="P29" s="5"/>
      <c r="Q29" s="5"/>
      <c r="R29" s="5"/>
      <c r="S29" s="5"/>
    </row>
    <row r="30" spans="1:20" ht="21.95" customHeight="1">
      <c r="A30" s="4"/>
      <c r="B30" s="7"/>
      <c r="C30" s="4"/>
      <c r="D30" s="4"/>
      <c r="E30" s="5"/>
      <c r="F30" s="5"/>
      <c r="G30" s="5"/>
      <c r="H30" s="5"/>
      <c r="I30" s="7"/>
      <c r="J30" s="7"/>
      <c r="K30" s="7"/>
      <c r="L30" s="7"/>
      <c r="M30" s="7"/>
      <c r="N30" s="5"/>
      <c r="O30" s="5"/>
      <c r="P30" s="5"/>
      <c r="Q30" s="5"/>
      <c r="R30" s="5"/>
      <c r="S30" s="5"/>
    </row>
    <row r="31" spans="1:20" ht="21.95" customHeight="1">
      <c r="A31" s="4"/>
      <c r="B31" s="7"/>
      <c r="C31" s="4"/>
      <c r="D31" s="4"/>
      <c r="E31" s="5"/>
      <c r="F31" s="5"/>
      <c r="G31" s="5"/>
      <c r="H31" s="5"/>
      <c r="I31" s="7"/>
      <c r="J31" s="7"/>
      <c r="K31" s="7"/>
      <c r="L31" s="7"/>
      <c r="M31" s="7"/>
      <c r="N31" s="5"/>
      <c r="O31" s="5"/>
      <c r="P31" s="5"/>
      <c r="Q31" s="5"/>
      <c r="R31" s="5"/>
      <c r="S31" s="5"/>
    </row>
    <row r="32" spans="1:20" ht="21.95" customHeight="1">
      <c r="A32" s="4"/>
      <c r="B32" s="7"/>
      <c r="C32" s="4"/>
      <c r="D32" s="4"/>
      <c r="E32" s="5"/>
      <c r="F32" s="5"/>
      <c r="G32" s="5"/>
      <c r="H32" s="5"/>
      <c r="I32" s="7"/>
      <c r="J32" s="7"/>
      <c r="K32" s="7"/>
      <c r="L32" s="7"/>
      <c r="M32" s="7"/>
      <c r="N32" s="5"/>
      <c r="O32" s="5"/>
      <c r="P32" s="5"/>
      <c r="Q32" s="5"/>
      <c r="R32" s="5"/>
      <c r="S32" s="5"/>
    </row>
    <row r="33" spans="1:19" ht="21.95" customHeight="1">
      <c r="A33" s="4"/>
      <c r="B33" s="7"/>
      <c r="C33" s="4"/>
      <c r="D33" s="4"/>
      <c r="E33" s="5"/>
      <c r="F33" s="5"/>
      <c r="G33" s="5"/>
      <c r="H33" s="5"/>
      <c r="I33" s="7"/>
      <c r="J33" s="7"/>
      <c r="K33" s="7"/>
      <c r="L33" s="7"/>
      <c r="M33" s="7"/>
      <c r="N33" s="5"/>
      <c r="O33" s="5"/>
      <c r="P33" s="5"/>
      <c r="Q33" s="5"/>
      <c r="R33" s="5"/>
      <c r="S33" s="5"/>
    </row>
    <row r="34" spans="1:19" ht="21.95" customHeight="1">
      <c r="A34" s="4"/>
      <c r="B34" s="7"/>
      <c r="C34" s="4"/>
      <c r="D34" s="4"/>
      <c r="E34" s="5"/>
      <c r="F34" s="5"/>
      <c r="G34" s="5"/>
      <c r="H34" s="5"/>
      <c r="I34" s="7"/>
      <c r="J34" s="7"/>
      <c r="K34" s="7"/>
      <c r="L34" s="7"/>
      <c r="M34" s="7"/>
      <c r="N34" s="5"/>
      <c r="O34" s="5"/>
      <c r="P34" s="5"/>
      <c r="Q34" s="5"/>
      <c r="R34" s="5"/>
      <c r="S34" s="5"/>
    </row>
    <row r="35" spans="1:19" ht="21.95" customHeight="1">
      <c r="A35" s="4"/>
      <c r="B35" s="7"/>
      <c r="C35" s="4"/>
      <c r="D35" s="4"/>
      <c r="E35" s="5"/>
      <c r="F35" s="5"/>
      <c r="G35" s="5"/>
      <c r="H35" s="5"/>
      <c r="I35" s="7"/>
      <c r="J35" s="7"/>
      <c r="K35" s="7"/>
      <c r="L35" s="7"/>
      <c r="M35" s="7"/>
      <c r="N35" s="5"/>
      <c r="O35" s="5"/>
      <c r="P35" s="5"/>
      <c r="Q35" s="5"/>
      <c r="R35" s="5"/>
      <c r="S35" s="5"/>
    </row>
    <row r="36" spans="1:19" ht="21.95" customHeight="1">
      <c r="A36" s="4"/>
      <c r="B36" s="7"/>
      <c r="C36" s="4"/>
      <c r="D36" s="4"/>
      <c r="E36" s="5"/>
      <c r="F36" s="5"/>
      <c r="G36" s="5"/>
      <c r="H36" s="5"/>
      <c r="I36" s="7"/>
      <c r="J36" s="7"/>
      <c r="K36" s="7"/>
      <c r="L36" s="7"/>
      <c r="M36" s="7"/>
      <c r="N36" s="5"/>
      <c r="O36" s="5"/>
      <c r="P36" s="5"/>
      <c r="Q36" s="5"/>
      <c r="R36" s="5"/>
      <c r="S36" s="5"/>
    </row>
    <row r="37" spans="1:19" ht="21.95" customHeight="1">
      <c r="A37" s="4"/>
      <c r="B37" s="7"/>
      <c r="C37" s="4"/>
      <c r="D37" s="4"/>
      <c r="E37" s="5"/>
      <c r="F37" s="5"/>
      <c r="G37" s="5"/>
      <c r="H37" s="5"/>
      <c r="I37" s="7"/>
      <c r="J37" s="7"/>
      <c r="K37" s="7"/>
      <c r="L37" s="7"/>
      <c r="M37" s="7"/>
      <c r="N37" s="5"/>
      <c r="O37" s="5"/>
      <c r="P37" s="5"/>
      <c r="Q37" s="5"/>
      <c r="R37" s="5"/>
      <c r="S37" s="5"/>
    </row>
    <row r="38" spans="1:19" ht="21.95" customHeight="1">
      <c r="A38" s="4"/>
      <c r="B38" s="7"/>
      <c r="C38" s="4"/>
      <c r="D38" s="4"/>
      <c r="E38" s="5"/>
      <c r="F38" s="5"/>
      <c r="G38" s="5"/>
      <c r="H38" s="5"/>
      <c r="I38" s="7"/>
      <c r="J38" s="7"/>
      <c r="K38" s="7"/>
      <c r="L38" s="7"/>
      <c r="M38" s="7"/>
      <c r="N38" s="5"/>
      <c r="O38" s="5"/>
      <c r="P38" s="5"/>
      <c r="Q38" s="5"/>
      <c r="R38" s="5"/>
      <c r="S38" s="5"/>
    </row>
    <row r="39" spans="1:19" ht="21.95" customHeight="1">
      <c r="A39" s="4"/>
      <c r="B39" s="7"/>
      <c r="C39" s="4"/>
      <c r="D39" s="4"/>
      <c r="E39" s="5"/>
      <c r="F39" s="5"/>
      <c r="G39" s="5"/>
      <c r="H39" s="5"/>
      <c r="I39" s="7"/>
      <c r="J39" s="7"/>
      <c r="K39" s="7"/>
      <c r="L39" s="7"/>
      <c r="M39" s="7"/>
      <c r="N39" s="5"/>
      <c r="O39" s="5"/>
      <c r="P39" s="5"/>
      <c r="Q39" s="5"/>
      <c r="R39" s="5"/>
      <c r="S39" s="5"/>
    </row>
    <row r="40" spans="1:19" ht="21.95" customHeight="1">
      <c r="A40" s="4"/>
      <c r="B40" s="7"/>
      <c r="C40" s="4"/>
      <c r="D40" s="4"/>
      <c r="E40" s="5"/>
      <c r="F40" s="5"/>
      <c r="G40" s="5"/>
      <c r="H40" s="5"/>
      <c r="I40" s="7"/>
      <c r="J40" s="7"/>
      <c r="K40" s="7"/>
      <c r="L40" s="7"/>
      <c r="M40" s="7"/>
      <c r="N40" s="5"/>
      <c r="O40" s="5"/>
      <c r="P40" s="5"/>
      <c r="Q40" s="5"/>
      <c r="R40" s="5"/>
      <c r="S40" s="5"/>
    </row>
    <row r="41" spans="1:19" ht="21.95" customHeight="1">
      <c r="A41" s="4"/>
      <c r="B41" s="7"/>
      <c r="C41" s="4"/>
      <c r="D41" s="4"/>
      <c r="E41" s="5"/>
      <c r="F41" s="5"/>
      <c r="G41" s="5"/>
      <c r="H41" s="5"/>
      <c r="I41" s="7"/>
      <c r="J41" s="7"/>
      <c r="K41" s="7"/>
      <c r="L41" s="7"/>
      <c r="M41" s="7"/>
      <c r="N41" s="5"/>
      <c r="O41" s="5"/>
      <c r="P41" s="5"/>
      <c r="Q41" s="5"/>
      <c r="R41" s="5"/>
      <c r="S41" s="5"/>
    </row>
    <row r="42" spans="1:19" ht="21.95" customHeight="1">
      <c r="A42" s="4"/>
      <c r="B42" s="7"/>
      <c r="C42" s="4"/>
      <c r="D42" s="4"/>
      <c r="E42" s="5"/>
      <c r="F42" s="5"/>
      <c r="G42" s="5"/>
      <c r="H42" s="5"/>
      <c r="I42" s="7"/>
      <c r="J42" s="7"/>
      <c r="K42" s="7"/>
      <c r="L42" s="7"/>
      <c r="M42" s="7"/>
      <c r="N42" s="5"/>
      <c r="O42" s="5"/>
      <c r="P42" s="5"/>
      <c r="Q42" s="5"/>
      <c r="R42" s="5"/>
      <c r="S42" s="5"/>
    </row>
    <row r="43" spans="1:19" ht="21.95" customHeight="1">
      <c r="A43" s="4"/>
      <c r="B43" s="81"/>
      <c r="C43" s="4"/>
      <c r="D43" s="4"/>
      <c r="E43" s="5"/>
      <c r="F43" s="5"/>
      <c r="G43" s="5"/>
      <c r="H43" s="5"/>
      <c r="I43" s="7"/>
      <c r="J43" s="7"/>
      <c r="K43" s="7"/>
      <c r="L43" s="7"/>
      <c r="M43" s="7"/>
      <c r="N43" s="5"/>
      <c r="O43" s="5"/>
      <c r="P43" s="5"/>
      <c r="Q43" s="5"/>
      <c r="R43" s="5"/>
      <c r="S43" s="5"/>
    </row>
    <row r="44" spans="1:19" ht="21.95" customHeight="1">
      <c r="A44" s="4"/>
      <c r="B44" s="7"/>
      <c r="C44" s="4"/>
      <c r="D44" s="4"/>
      <c r="E44" s="5"/>
      <c r="F44" s="5"/>
      <c r="G44" s="5"/>
      <c r="H44" s="5"/>
      <c r="I44" s="7"/>
      <c r="J44" s="7"/>
      <c r="K44" s="7"/>
      <c r="L44" s="7"/>
      <c r="M44" s="7"/>
      <c r="N44" s="5"/>
      <c r="O44" s="5"/>
      <c r="P44" s="5"/>
      <c r="Q44" s="5"/>
      <c r="R44" s="5"/>
      <c r="S44" s="5"/>
    </row>
    <row r="45" spans="1:19" ht="21.95" customHeight="1">
      <c r="A45" s="4"/>
      <c r="B45" s="7"/>
      <c r="C45" s="4"/>
      <c r="D45" s="4"/>
      <c r="E45" s="5"/>
      <c r="F45" s="5"/>
      <c r="G45" s="5"/>
      <c r="H45" s="5"/>
      <c r="I45" s="7"/>
      <c r="J45" s="7"/>
      <c r="K45" s="7"/>
      <c r="L45" s="7"/>
      <c r="M45" s="7"/>
      <c r="N45" s="5"/>
      <c r="O45" s="5"/>
      <c r="P45" s="5"/>
      <c r="Q45" s="5"/>
      <c r="R45" s="5"/>
      <c r="S45" s="5"/>
    </row>
    <row r="46" spans="1:19" ht="21.95" customHeight="1">
      <c r="A46" s="4"/>
      <c r="B46" s="7"/>
      <c r="C46" s="4"/>
      <c r="D46" s="4"/>
      <c r="E46" s="5"/>
      <c r="F46" s="5"/>
      <c r="G46" s="5"/>
      <c r="H46" s="5"/>
      <c r="I46" s="7"/>
      <c r="J46" s="7"/>
      <c r="K46" s="7"/>
      <c r="L46" s="7"/>
      <c r="M46" s="7"/>
      <c r="N46" s="5"/>
      <c r="O46" s="5"/>
      <c r="P46" s="5"/>
      <c r="Q46" s="5"/>
      <c r="R46" s="5"/>
      <c r="S46" s="5"/>
    </row>
    <row r="47" spans="1:19" ht="21.95" customHeight="1">
      <c r="A47" s="4"/>
      <c r="B47" s="7"/>
      <c r="C47" s="4"/>
      <c r="D47" s="4"/>
      <c r="E47" s="5"/>
      <c r="F47" s="5"/>
      <c r="G47" s="5"/>
      <c r="H47" s="5"/>
      <c r="I47" s="7"/>
      <c r="J47" s="7"/>
      <c r="K47" s="7"/>
      <c r="L47" s="7"/>
      <c r="M47" s="7"/>
      <c r="N47" s="5"/>
      <c r="O47" s="5"/>
      <c r="P47" s="5"/>
      <c r="Q47" s="5"/>
      <c r="R47" s="5"/>
      <c r="S47" s="5"/>
    </row>
    <row r="48" spans="1:19">
      <c r="A48" s="4"/>
      <c r="B48" s="7"/>
      <c r="C48" s="4"/>
      <c r="D48" s="4"/>
      <c r="E48" s="5"/>
      <c r="F48" s="5"/>
      <c r="G48" s="5"/>
      <c r="H48" s="5"/>
      <c r="I48" s="7"/>
      <c r="J48" s="7"/>
      <c r="K48" s="7"/>
      <c r="L48" s="7"/>
      <c r="M48" s="7"/>
      <c r="N48" s="5"/>
      <c r="O48" s="5"/>
      <c r="P48" s="5"/>
      <c r="Q48" s="5"/>
      <c r="R48" s="5"/>
      <c r="S48" s="5"/>
    </row>
    <row r="49" spans="1:19">
      <c r="A49" s="4"/>
      <c r="B49" s="7"/>
      <c r="C49" s="4"/>
      <c r="D49" s="4"/>
      <c r="E49" s="5"/>
      <c r="F49" s="5"/>
      <c r="G49" s="5"/>
      <c r="H49" s="5"/>
      <c r="I49" s="7"/>
      <c r="J49" s="7"/>
      <c r="K49" s="7"/>
      <c r="L49" s="7"/>
      <c r="M49" s="7"/>
      <c r="N49" s="5"/>
      <c r="O49" s="5"/>
      <c r="P49" s="5"/>
      <c r="Q49" s="5"/>
      <c r="R49" s="5"/>
      <c r="S49" s="5"/>
    </row>
    <row r="50" spans="1:19">
      <c r="A50" s="4"/>
      <c r="B50" s="7"/>
      <c r="C50" s="4"/>
      <c r="D50" s="4"/>
      <c r="E50" s="5"/>
      <c r="F50" s="5"/>
      <c r="G50" s="5"/>
      <c r="H50" s="5"/>
      <c r="I50" s="7"/>
      <c r="J50" s="7"/>
      <c r="K50" s="7"/>
      <c r="L50" s="7"/>
      <c r="M50" s="7"/>
      <c r="N50" s="5"/>
      <c r="O50" s="5"/>
      <c r="P50" s="5"/>
      <c r="Q50" s="5"/>
      <c r="R50" s="5"/>
      <c r="S50" s="5"/>
    </row>
    <row r="51" spans="1:19">
      <c r="A51" s="4"/>
      <c r="B51" s="7"/>
      <c r="C51" s="4"/>
      <c r="D51" s="4"/>
      <c r="E51" s="5"/>
      <c r="F51" s="5"/>
      <c r="G51" s="5"/>
      <c r="H51" s="5"/>
      <c r="I51" s="7"/>
      <c r="J51" s="7"/>
      <c r="K51" s="7"/>
      <c r="L51" s="7"/>
      <c r="M51" s="7"/>
      <c r="N51" s="5"/>
      <c r="O51" s="5"/>
      <c r="P51" s="5"/>
      <c r="Q51" s="5"/>
      <c r="R51" s="5"/>
      <c r="S51" s="5"/>
    </row>
    <row r="52" spans="1:19">
      <c r="A52" s="4"/>
      <c r="B52" s="7"/>
      <c r="C52" s="4"/>
      <c r="D52" s="4"/>
      <c r="E52" s="5"/>
      <c r="F52" s="5"/>
      <c r="G52" s="5"/>
      <c r="H52" s="5"/>
      <c r="I52" s="7"/>
      <c r="J52" s="7"/>
      <c r="K52" s="7"/>
      <c r="L52" s="7"/>
      <c r="M52" s="7"/>
      <c r="N52" s="5"/>
      <c r="O52" s="5"/>
      <c r="P52" s="5"/>
      <c r="Q52" s="5"/>
      <c r="R52" s="5"/>
      <c r="S52" s="5"/>
    </row>
    <row r="53" spans="1:19">
      <c r="A53" s="4"/>
      <c r="B53" s="7"/>
      <c r="C53" s="4"/>
      <c r="D53" s="4"/>
      <c r="E53" s="5"/>
      <c r="F53" s="5"/>
      <c r="G53" s="5"/>
      <c r="H53" s="5"/>
      <c r="I53" s="7"/>
      <c r="J53" s="7"/>
      <c r="K53" s="7"/>
      <c r="L53" s="7"/>
      <c r="M53" s="7"/>
      <c r="N53" s="5"/>
      <c r="O53" s="5"/>
      <c r="P53" s="5"/>
      <c r="Q53" s="5"/>
      <c r="R53" s="5"/>
      <c r="S53" s="5"/>
    </row>
    <row r="54" spans="1:19">
      <c r="A54" s="4"/>
      <c r="B54" s="7"/>
      <c r="C54" s="4"/>
      <c r="D54" s="4"/>
      <c r="E54" s="5"/>
      <c r="F54" s="5"/>
      <c r="G54" s="5"/>
      <c r="H54" s="5"/>
      <c r="I54" s="7"/>
      <c r="J54" s="7"/>
      <c r="K54" s="7"/>
      <c r="L54" s="7"/>
      <c r="M54" s="7"/>
      <c r="N54" s="5"/>
      <c r="O54" s="5"/>
      <c r="P54" s="5"/>
      <c r="Q54" s="5"/>
      <c r="R54" s="5"/>
      <c r="S54" s="5"/>
    </row>
    <row r="55" spans="1:19">
      <c r="A55" s="4"/>
      <c r="B55" s="7"/>
      <c r="C55" s="4"/>
      <c r="D55" s="4"/>
      <c r="E55" s="5"/>
      <c r="F55" s="5"/>
      <c r="G55" s="5"/>
      <c r="H55" s="5"/>
      <c r="I55" s="7"/>
      <c r="J55" s="7"/>
      <c r="K55" s="7"/>
      <c r="L55" s="7"/>
      <c r="M55" s="7"/>
      <c r="N55" s="5"/>
      <c r="O55" s="5"/>
      <c r="P55" s="5"/>
      <c r="Q55" s="5"/>
      <c r="R55" s="5"/>
      <c r="S55" s="5"/>
    </row>
    <row r="56" spans="1:19">
      <c r="A56" s="4"/>
      <c r="B56" s="7"/>
      <c r="C56" s="4"/>
      <c r="D56" s="4"/>
      <c r="E56" s="5"/>
      <c r="F56" s="5"/>
      <c r="G56" s="5"/>
      <c r="H56" s="5"/>
      <c r="I56" s="7"/>
      <c r="J56" s="7"/>
      <c r="K56" s="7"/>
      <c r="L56" s="7"/>
      <c r="M56" s="7"/>
      <c r="N56" s="5"/>
      <c r="O56" s="5"/>
      <c r="P56" s="5"/>
      <c r="Q56" s="5"/>
      <c r="R56" s="5"/>
      <c r="S56" s="5"/>
    </row>
    <row r="57" spans="1:19">
      <c r="A57" s="4"/>
      <c r="B57" s="7"/>
      <c r="C57" s="4"/>
      <c r="D57" s="4"/>
      <c r="E57" s="5"/>
      <c r="F57" s="5"/>
      <c r="G57" s="5"/>
      <c r="H57" s="5"/>
      <c r="I57" s="7"/>
      <c r="J57" s="7"/>
      <c r="K57" s="7"/>
      <c r="L57" s="7"/>
      <c r="M57" s="7"/>
      <c r="N57" s="5"/>
      <c r="O57" s="5"/>
      <c r="P57" s="5"/>
      <c r="Q57" s="5"/>
      <c r="R57" s="5"/>
      <c r="S57" s="5"/>
    </row>
    <row r="58" spans="1:19">
      <c r="A58" s="4"/>
      <c r="B58" s="7"/>
      <c r="C58" s="4"/>
      <c r="D58" s="4"/>
      <c r="E58" s="5"/>
      <c r="F58" s="5"/>
      <c r="G58" s="5"/>
      <c r="H58" s="5"/>
      <c r="I58" s="7"/>
      <c r="J58" s="7"/>
      <c r="K58" s="7"/>
      <c r="L58" s="7"/>
      <c r="M58" s="7"/>
      <c r="N58" s="5"/>
      <c r="O58" s="5"/>
      <c r="P58" s="5"/>
      <c r="Q58" s="5"/>
      <c r="R58" s="5"/>
      <c r="S58" s="5"/>
    </row>
    <row r="59" spans="1:19">
      <c r="A59" s="4"/>
      <c r="B59" s="7"/>
      <c r="C59" s="4"/>
      <c r="D59" s="4"/>
      <c r="E59" s="5"/>
      <c r="F59" s="5"/>
      <c r="G59" s="5"/>
      <c r="H59" s="5"/>
      <c r="I59" s="7"/>
      <c r="J59" s="7"/>
      <c r="K59" s="7"/>
      <c r="L59" s="7"/>
      <c r="M59" s="7"/>
      <c r="N59" s="5"/>
      <c r="O59" s="5"/>
      <c r="P59" s="5"/>
      <c r="Q59" s="5"/>
      <c r="R59" s="5"/>
      <c r="S59" s="5"/>
    </row>
    <row r="60" spans="1:19">
      <c r="A60" s="4"/>
      <c r="B60" s="7"/>
      <c r="C60" s="4"/>
      <c r="D60" s="4"/>
      <c r="E60" s="5"/>
      <c r="F60" s="5"/>
      <c r="G60" s="5"/>
      <c r="H60" s="5"/>
      <c r="I60" s="7"/>
      <c r="J60" s="7"/>
      <c r="K60" s="7"/>
      <c r="L60" s="7"/>
      <c r="M60" s="7"/>
      <c r="N60" s="5"/>
      <c r="O60" s="5"/>
      <c r="P60" s="5"/>
      <c r="Q60" s="5"/>
      <c r="R60" s="5"/>
      <c r="S60" s="5"/>
    </row>
    <row r="61" spans="1:19">
      <c r="A61" s="4"/>
      <c r="B61" s="7"/>
      <c r="C61" s="4"/>
      <c r="D61" s="4"/>
      <c r="E61" s="5"/>
      <c r="F61" s="5"/>
      <c r="G61" s="5"/>
      <c r="H61" s="5"/>
      <c r="I61" s="7"/>
      <c r="J61" s="7"/>
      <c r="K61" s="7"/>
      <c r="L61" s="7"/>
      <c r="M61" s="7"/>
      <c r="N61" s="5"/>
      <c r="O61" s="5"/>
      <c r="P61" s="5"/>
      <c r="Q61" s="5"/>
      <c r="R61" s="5"/>
      <c r="S61" s="5"/>
    </row>
    <row r="62" spans="1:19">
      <c r="A62" s="4"/>
      <c r="B62" s="7"/>
      <c r="C62" s="4"/>
      <c r="D62" s="4"/>
      <c r="E62" s="5"/>
      <c r="F62" s="5"/>
      <c r="G62" s="5"/>
      <c r="H62" s="5"/>
      <c r="I62" s="7"/>
      <c r="J62" s="7"/>
      <c r="K62" s="7"/>
      <c r="L62" s="7"/>
      <c r="M62" s="7"/>
      <c r="N62" s="5"/>
      <c r="O62" s="5"/>
      <c r="P62" s="5"/>
      <c r="Q62" s="5"/>
      <c r="R62" s="5"/>
      <c r="S62" s="5"/>
    </row>
    <row r="63" spans="1:19">
      <c r="A63" s="4"/>
      <c r="B63" s="7"/>
      <c r="C63" s="4"/>
      <c r="D63" s="4"/>
      <c r="E63" s="5"/>
      <c r="F63" s="5"/>
      <c r="G63" s="5"/>
      <c r="H63" s="5"/>
      <c r="I63" s="7"/>
      <c r="J63" s="7"/>
      <c r="K63" s="7"/>
      <c r="L63" s="7"/>
      <c r="M63" s="7"/>
      <c r="N63" s="5"/>
      <c r="O63" s="5"/>
      <c r="P63" s="5"/>
      <c r="Q63" s="5"/>
      <c r="R63" s="5"/>
      <c r="S63" s="5"/>
    </row>
    <row r="64" spans="1:19">
      <c r="A64" s="4"/>
      <c r="B64" s="7"/>
      <c r="C64" s="4"/>
      <c r="D64" s="4"/>
      <c r="E64" s="5"/>
      <c r="F64" s="5"/>
      <c r="G64" s="5"/>
      <c r="H64" s="5"/>
      <c r="I64" s="7"/>
      <c r="J64" s="7"/>
      <c r="K64" s="7"/>
      <c r="L64" s="7"/>
      <c r="M64" s="7"/>
      <c r="N64" s="5"/>
      <c r="O64" s="5"/>
      <c r="P64" s="5"/>
      <c r="Q64" s="5"/>
      <c r="R64" s="5"/>
      <c r="S64" s="5"/>
    </row>
    <row r="65" spans="1:19">
      <c r="A65" s="4"/>
      <c r="B65" s="7"/>
      <c r="C65" s="4"/>
      <c r="D65" s="4"/>
      <c r="E65" s="5"/>
      <c r="F65" s="5"/>
      <c r="G65" s="5"/>
      <c r="H65" s="5"/>
      <c r="I65" s="7"/>
      <c r="J65" s="7"/>
      <c r="K65" s="7"/>
      <c r="L65" s="7"/>
      <c r="M65" s="7"/>
      <c r="N65" s="5"/>
      <c r="O65" s="5"/>
      <c r="P65" s="5"/>
      <c r="Q65" s="5"/>
      <c r="R65" s="5"/>
      <c r="S65" s="5"/>
    </row>
    <row r="66" spans="1:19">
      <c r="A66" s="4"/>
      <c r="B66" s="7"/>
      <c r="C66" s="4"/>
      <c r="D66" s="4"/>
      <c r="E66" s="5"/>
      <c r="F66" s="5"/>
      <c r="G66" s="5"/>
      <c r="H66" s="5"/>
      <c r="I66" s="7"/>
      <c r="J66" s="7"/>
      <c r="K66" s="7"/>
      <c r="L66" s="7"/>
      <c r="M66" s="7"/>
      <c r="N66" s="5"/>
      <c r="O66" s="5"/>
      <c r="P66" s="5"/>
      <c r="Q66" s="5"/>
      <c r="R66" s="5"/>
      <c r="S66" s="5"/>
    </row>
    <row r="67" spans="1:19">
      <c r="A67" s="4"/>
      <c r="B67" s="7"/>
      <c r="C67" s="4"/>
      <c r="D67" s="4"/>
      <c r="E67" s="5"/>
      <c r="F67" s="5"/>
      <c r="G67" s="5"/>
      <c r="H67" s="5"/>
      <c r="I67" s="7"/>
      <c r="J67" s="7"/>
      <c r="K67" s="7"/>
      <c r="L67" s="7"/>
      <c r="M67" s="7"/>
      <c r="N67" s="5"/>
      <c r="O67" s="5"/>
      <c r="P67" s="5"/>
      <c r="Q67" s="5"/>
      <c r="R67" s="5"/>
      <c r="S67" s="5"/>
    </row>
  </sheetData>
  <autoFilter ref="A2:S18" xr:uid="{B495C380-3747-43B0-B226-858EE8B124DE}"/>
  <mergeCells count="13">
    <mergeCell ref="R15:R16"/>
    <mergeCell ref="R11:R12"/>
    <mergeCell ref="T11:T13"/>
    <mergeCell ref="R5:R8"/>
    <mergeCell ref="T5:T8"/>
    <mergeCell ref="T9:T10"/>
    <mergeCell ref="R9:R10"/>
    <mergeCell ref="T15:T17"/>
    <mergeCell ref="A3:A4"/>
    <mergeCell ref="B3:B4"/>
    <mergeCell ref="E3:E4"/>
    <mergeCell ref="R3:R4"/>
    <mergeCell ref="T3:T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493FC-64B6-448F-9489-B0E645684546}">
  <sheetPr>
    <pageSetUpPr fitToPage="1"/>
  </sheetPr>
  <dimension ref="A1:U97"/>
  <sheetViews>
    <sheetView zoomScale="85" zoomScaleNormal="85" workbookViewId="0">
      <pane ySplit="2" topLeftCell="A27" activePane="bottomLeft" state="frozen"/>
      <selection activeCell="L218" sqref="L218"/>
      <selection pane="bottomLeft" activeCell="P19" sqref="P19"/>
    </sheetView>
  </sheetViews>
  <sheetFormatPr defaultRowHeight="16.5" outlineLevelCol="1"/>
  <cols>
    <col min="1" max="1" width="16.375" style="3" customWidth="1"/>
    <col min="2" max="2" width="17" style="2" customWidth="1"/>
    <col min="3" max="3" width="10.625" style="3" customWidth="1"/>
    <col min="4" max="4" width="13.125" style="3" bestFit="1" customWidth="1"/>
    <col min="5" max="5" width="15.75" style="10" customWidth="1"/>
    <col min="6" max="6" width="15.125" style="10" hidden="1" customWidth="1" outlineLevel="1"/>
    <col min="7" max="7" width="15.75" style="10" hidden="1" customWidth="1" outlineLevel="1"/>
    <col min="8" max="8" width="18.75" style="10" customWidth="1" collapsed="1"/>
    <col min="9" max="9" width="21.5" style="2" bestFit="1" customWidth="1"/>
    <col min="10" max="11" width="15.75" style="2" hidden="1" customWidth="1" outlineLevel="1"/>
    <col min="12" max="12" width="15.75" style="2" customWidth="1" collapsed="1"/>
    <col min="13" max="13" width="17" style="2" customWidth="1"/>
    <col min="14" max="16" width="15.75" style="10" customWidth="1"/>
    <col min="17" max="17" width="18.75" style="10" customWidth="1"/>
    <col min="18" max="18" width="15.75" style="10" customWidth="1"/>
    <col min="19" max="19" width="30.875" style="10" customWidth="1"/>
    <col min="20" max="20" width="15.625" style="10" customWidth="1"/>
    <col min="21" max="21" width="10.875" style="10" customWidth="1"/>
    <col min="22" max="22" width="10.625" style="10" bestFit="1" customWidth="1"/>
    <col min="23" max="16384" width="9" style="10"/>
  </cols>
  <sheetData>
    <row r="1" spans="1:21">
      <c r="A1" s="4"/>
      <c r="B1" s="7"/>
      <c r="C1" s="4"/>
      <c r="D1" s="4"/>
      <c r="E1" s="5"/>
      <c r="F1" s="5"/>
      <c r="G1" s="5"/>
      <c r="H1" s="5"/>
      <c r="I1" s="7"/>
      <c r="J1" s="7"/>
      <c r="K1" s="7"/>
      <c r="L1" s="7"/>
      <c r="M1" s="7"/>
      <c r="N1" s="6"/>
      <c r="O1" s="6"/>
      <c r="P1" s="5"/>
      <c r="Q1" s="5"/>
      <c r="R1" s="5"/>
      <c r="S1" s="5"/>
      <c r="T1" s="5"/>
    </row>
    <row r="2" spans="1:21" ht="30.75" customHeight="1">
      <c r="A2" s="78" t="s">
        <v>4</v>
      </c>
      <c r="B2" s="79" t="s">
        <v>391</v>
      </c>
      <c r="C2" s="78" t="s">
        <v>14</v>
      </c>
      <c r="D2" s="78" t="s">
        <v>13</v>
      </c>
      <c r="E2" s="78" t="s">
        <v>0</v>
      </c>
      <c r="F2" s="78" t="s">
        <v>249</v>
      </c>
      <c r="G2" s="78" t="s">
        <v>260</v>
      </c>
      <c r="H2" s="79" t="s">
        <v>1</v>
      </c>
      <c r="I2" s="79" t="s">
        <v>2</v>
      </c>
      <c r="J2" s="79" t="s">
        <v>80</v>
      </c>
      <c r="K2" s="79" t="s">
        <v>81</v>
      </c>
      <c r="L2" s="8" t="s">
        <v>9</v>
      </c>
      <c r="M2" s="67" t="s">
        <v>78</v>
      </c>
      <c r="N2" s="68" t="s">
        <v>79</v>
      </c>
      <c r="O2" s="69" t="s">
        <v>77</v>
      </c>
      <c r="P2" s="70" t="s">
        <v>7</v>
      </c>
      <c r="Q2" s="9" t="s">
        <v>8</v>
      </c>
      <c r="R2" s="78" t="s">
        <v>3</v>
      </c>
      <c r="S2" s="78" t="s">
        <v>10</v>
      </c>
      <c r="T2" s="80" t="s">
        <v>12</v>
      </c>
    </row>
    <row r="3" spans="1:21" ht="21.95" customHeight="1">
      <c r="A3" s="2001">
        <v>45926</v>
      </c>
      <c r="B3" s="1980" t="s">
        <v>34</v>
      </c>
      <c r="C3" s="242"/>
      <c r="D3" s="242"/>
      <c r="E3" s="2003" t="s">
        <v>38</v>
      </c>
      <c r="F3" s="243"/>
      <c r="G3" s="243"/>
      <c r="H3" s="103" t="s">
        <v>39</v>
      </c>
      <c r="I3" s="22" t="s">
        <v>40</v>
      </c>
      <c r="J3" s="187">
        <v>12630</v>
      </c>
      <c r="K3" s="187">
        <v>13000</v>
      </c>
      <c r="L3" s="23">
        <f>K3-J3</f>
        <v>370</v>
      </c>
      <c r="M3" s="22">
        <v>370</v>
      </c>
      <c r="N3" s="22"/>
      <c r="O3" s="22">
        <f>M3-N3</f>
        <v>370</v>
      </c>
      <c r="P3" s="24">
        <v>3890</v>
      </c>
      <c r="Q3" s="24">
        <f>P3*O3</f>
        <v>1439300</v>
      </c>
      <c r="R3" s="1985" t="s">
        <v>5</v>
      </c>
      <c r="S3" s="31"/>
      <c r="T3" s="1986" t="s">
        <v>90</v>
      </c>
    </row>
    <row r="4" spans="1:21" ht="21.95" customHeight="1">
      <c r="A4" s="2013"/>
      <c r="B4" s="1987"/>
      <c r="C4" s="248"/>
      <c r="D4" s="248"/>
      <c r="E4" s="2005"/>
      <c r="F4" s="244"/>
      <c r="G4" s="244"/>
      <c r="H4" s="32" t="s">
        <v>39</v>
      </c>
      <c r="I4" s="186" t="s">
        <v>41</v>
      </c>
      <c r="J4" s="182">
        <v>13000</v>
      </c>
      <c r="K4" s="182">
        <v>13240</v>
      </c>
      <c r="L4" s="26">
        <f t="shared" ref="L4:L13" si="0">K4-J4</f>
        <v>240</v>
      </c>
      <c r="M4" s="186">
        <v>240</v>
      </c>
      <c r="N4" s="186"/>
      <c r="O4" s="186">
        <f>M4-N4</f>
        <v>240</v>
      </c>
      <c r="P4" s="185">
        <v>5130</v>
      </c>
      <c r="Q4" s="185">
        <f t="shared" ref="Q4:Q14" si="1">P4*O4</f>
        <v>1231200</v>
      </c>
      <c r="R4" s="1979"/>
      <c r="S4" s="33"/>
      <c r="T4" s="1986"/>
    </row>
    <row r="5" spans="1:21" ht="21.95" customHeight="1">
      <c r="A5" s="2013"/>
      <c r="B5" s="1987"/>
      <c r="C5" s="248"/>
      <c r="D5" s="248"/>
      <c r="E5" s="2005"/>
      <c r="F5" s="244"/>
      <c r="G5" s="244"/>
      <c r="H5" s="32" t="s">
        <v>39</v>
      </c>
      <c r="I5" s="186" t="s">
        <v>42</v>
      </c>
      <c r="J5" s="182">
        <v>13240</v>
      </c>
      <c r="K5" s="182">
        <v>13320</v>
      </c>
      <c r="L5" s="26">
        <f t="shared" si="0"/>
        <v>80</v>
      </c>
      <c r="M5" s="186">
        <v>80</v>
      </c>
      <c r="N5" s="186">
        <v>3</v>
      </c>
      <c r="O5" s="186">
        <f t="shared" ref="O5:O14" si="2">M5-N5</f>
        <v>77</v>
      </c>
      <c r="P5" s="185">
        <v>8360</v>
      </c>
      <c r="Q5" s="185">
        <f t="shared" si="1"/>
        <v>643720</v>
      </c>
      <c r="R5" s="1979"/>
      <c r="S5" s="33" t="s">
        <v>48</v>
      </c>
      <c r="T5" s="1986"/>
    </row>
    <row r="6" spans="1:21" ht="21.95" customHeight="1">
      <c r="A6" s="2013"/>
      <c r="B6" s="1987"/>
      <c r="C6" s="248"/>
      <c r="D6" s="248"/>
      <c r="E6" s="2005"/>
      <c r="F6" s="244"/>
      <c r="G6" s="244"/>
      <c r="H6" s="32" t="s">
        <v>39</v>
      </c>
      <c r="I6" s="186" t="s">
        <v>43</v>
      </c>
      <c r="J6" s="182">
        <v>13320</v>
      </c>
      <c r="K6" s="182">
        <v>14740</v>
      </c>
      <c r="L6" s="26">
        <f t="shared" si="0"/>
        <v>1420</v>
      </c>
      <c r="M6" s="186">
        <v>1420</v>
      </c>
      <c r="N6" s="186"/>
      <c r="O6" s="186">
        <f t="shared" si="2"/>
        <v>1420</v>
      </c>
      <c r="P6" s="185">
        <v>13400</v>
      </c>
      <c r="Q6" s="185">
        <f t="shared" si="1"/>
        <v>19028000</v>
      </c>
      <c r="R6" s="1979"/>
      <c r="S6" s="33"/>
      <c r="T6" s="1986"/>
    </row>
    <row r="7" spans="1:21" ht="21.95" customHeight="1">
      <c r="A7" s="2013"/>
      <c r="B7" s="1987"/>
      <c r="C7" s="248"/>
      <c r="D7" s="248"/>
      <c r="E7" s="2005"/>
      <c r="F7" s="244"/>
      <c r="G7" s="244"/>
      <c r="H7" s="32" t="s">
        <v>39</v>
      </c>
      <c r="I7" s="186" t="s">
        <v>44</v>
      </c>
      <c r="J7" s="182">
        <v>14740</v>
      </c>
      <c r="K7" s="182">
        <v>15050</v>
      </c>
      <c r="L7" s="26">
        <f t="shared" si="0"/>
        <v>310</v>
      </c>
      <c r="M7" s="186">
        <v>240</v>
      </c>
      <c r="N7" s="186"/>
      <c r="O7" s="186">
        <f t="shared" si="2"/>
        <v>240</v>
      </c>
      <c r="P7" s="185">
        <v>12900</v>
      </c>
      <c r="Q7" s="185">
        <f t="shared" si="1"/>
        <v>3096000</v>
      </c>
      <c r="R7" s="1979"/>
      <c r="S7" s="33"/>
      <c r="T7" s="1986"/>
    </row>
    <row r="8" spans="1:21" ht="21.95" customHeight="1">
      <c r="A8" s="2013"/>
      <c r="B8" s="1987"/>
      <c r="C8" s="248"/>
      <c r="D8" s="248"/>
      <c r="E8" s="2005"/>
      <c r="F8" s="244"/>
      <c r="G8" s="244"/>
      <c r="H8" s="32" t="s">
        <v>39</v>
      </c>
      <c r="I8" s="186" t="s">
        <v>91</v>
      </c>
      <c r="J8" s="182"/>
      <c r="K8" s="182"/>
      <c r="L8" s="26"/>
      <c r="M8" s="186">
        <v>50</v>
      </c>
      <c r="N8" s="186"/>
      <c r="O8" s="186">
        <f t="shared" si="2"/>
        <v>50</v>
      </c>
      <c r="P8" s="185">
        <v>12000</v>
      </c>
      <c r="Q8" s="185">
        <f t="shared" si="1"/>
        <v>600000</v>
      </c>
      <c r="R8" s="1979"/>
      <c r="S8" s="33" t="s">
        <v>99</v>
      </c>
      <c r="T8" s="1986"/>
    </row>
    <row r="9" spans="1:21" ht="21.95" customHeight="1">
      <c r="A9" s="2013"/>
      <c r="B9" s="1987"/>
      <c r="C9" s="248"/>
      <c r="D9" s="248"/>
      <c r="E9" s="2005"/>
      <c r="F9" s="244"/>
      <c r="G9" s="244"/>
      <c r="H9" s="32" t="s">
        <v>39</v>
      </c>
      <c r="I9" s="186" t="s">
        <v>95</v>
      </c>
      <c r="J9" s="182">
        <v>15050</v>
      </c>
      <c r="K9" s="182">
        <v>19230</v>
      </c>
      <c r="L9" s="26">
        <f t="shared" si="0"/>
        <v>4180</v>
      </c>
      <c r="M9" s="186">
        <v>4190</v>
      </c>
      <c r="N9" s="186">
        <v>25</v>
      </c>
      <c r="O9" s="184">
        <f>M9-N9</f>
        <v>4165</v>
      </c>
      <c r="P9" s="185">
        <v>2610</v>
      </c>
      <c r="Q9" s="185">
        <f t="shared" si="1"/>
        <v>10870650</v>
      </c>
      <c r="R9" s="1979"/>
      <c r="S9" s="33" t="s">
        <v>97</v>
      </c>
      <c r="T9" s="1986"/>
    </row>
    <row r="10" spans="1:21" ht="21.95" customHeight="1">
      <c r="A10" s="2013"/>
      <c r="B10" s="1987"/>
      <c r="C10" s="248"/>
      <c r="D10" s="248"/>
      <c r="E10" s="2005"/>
      <c r="F10" s="244"/>
      <c r="G10" s="244"/>
      <c r="H10" s="32" t="s">
        <v>39</v>
      </c>
      <c r="I10" s="186" t="s">
        <v>223</v>
      </c>
      <c r="J10" s="182">
        <v>19230</v>
      </c>
      <c r="K10" s="182">
        <v>20260</v>
      </c>
      <c r="L10" s="26">
        <f t="shared" si="0"/>
        <v>1030</v>
      </c>
      <c r="M10" s="186">
        <v>1040</v>
      </c>
      <c r="N10" s="186"/>
      <c r="O10" s="186">
        <v>1050</v>
      </c>
      <c r="P10" s="185">
        <v>6400</v>
      </c>
      <c r="Q10" s="185">
        <f t="shared" si="1"/>
        <v>6720000</v>
      </c>
      <c r="R10" s="1979"/>
      <c r="S10" s="33" t="s">
        <v>96</v>
      </c>
      <c r="T10" s="1986"/>
    </row>
    <row r="11" spans="1:21" ht="21.95" customHeight="1">
      <c r="A11" s="2013"/>
      <c r="B11" s="1987"/>
      <c r="C11" s="248"/>
      <c r="D11" s="248"/>
      <c r="E11" s="2005"/>
      <c r="F11" s="244"/>
      <c r="G11" s="244"/>
      <c r="H11" s="32" t="s">
        <v>39</v>
      </c>
      <c r="I11" s="186" t="s">
        <v>93</v>
      </c>
      <c r="J11" s="182">
        <v>20260</v>
      </c>
      <c r="K11" s="182">
        <v>20600</v>
      </c>
      <c r="L11" s="26">
        <f t="shared" si="0"/>
        <v>340</v>
      </c>
      <c r="M11" s="186">
        <v>350</v>
      </c>
      <c r="N11" s="186">
        <v>13</v>
      </c>
      <c r="O11" s="184">
        <f>M11-N11</f>
        <v>337</v>
      </c>
      <c r="P11" s="185">
        <v>8200</v>
      </c>
      <c r="Q11" s="185">
        <f t="shared" si="1"/>
        <v>2763400</v>
      </c>
      <c r="R11" s="1979"/>
      <c r="S11" s="33" t="s">
        <v>98</v>
      </c>
      <c r="T11" s="1986"/>
    </row>
    <row r="12" spans="1:21" ht="21.95" customHeight="1">
      <c r="A12" s="2013"/>
      <c r="B12" s="1987"/>
      <c r="C12" s="248"/>
      <c r="D12" s="248"/>
      <c r="E12" s="2005"/>
      <c r="F12" s="244"/>
      <c r="G12" s="244"/>
      <c r="H12" s="32" t="s">
        <v>39</v>
      </c>
      <c r="I12" s="186" t="s">
        <v>94</v>
      </c>
      <c r="J12" s="182">
        <v>20600</v>
      </c>
      <c r="K12" s="182">
        <v>20700</v>
      </c>
      <c r="L12" s="26">
        <f t="shared" si="0"/>
        <v>100</v>
      </c>
      <c r="M12" s="186">
        <v>100</v>
      </c>
      <c r="N12" s="186">
        <v>3</v>
      </c>
      <c r="O12" s="186">
        <f t="shared" si="2"/>
        <v>97</v>
      </c>
      <c r="P12" s="185">
        <v>6500</v>
      </c>
      <c r="Q12" s="185">
        <f t="shared" si="1"/>
        <v>630500</v>
      </c>
      <c r="R12" s="1979"/>
      <c r="S12" s="33" t="s">
        <v>48</v>
      </c>
      <c r="T12" s="1986"/>
    </row>
    <row r="13" spans="1:21" ht="21.95" customHeight="1">
      <c r="A13" s="2013"/>
      <c r="B13" s="1987"/>
      <c r="C13" s="248"/>
      <c r="D13" s="248"/>
      <c r="E13" s="2005"/>
      <c r="F13" s="244"/>
      <c r="G13" s="244"/>
      <c r="H13" s="32" t="s">
        <v>39</v>
      </c>
      <c r="I13" s="186" t="s">
        <v>45</v>
      </c>
      <c r="J13" s="182">
        <v>20700</v>
      </c>
      <c r="K13" s="182">
        <v>21240</v>
      </c>
      <c r="L13" s="26">
        <f t="shared" si="0"/>
        <v>540</v>
      </c>
      <c r="M13" s="186">
        <v>230</v>
      </c>
      <c r="N13" s="186">
        <v>3</v>
      </c>
      <c r="O13" s="186">
        <f t="shared" si="2"/>
        <v>227</v>
      </c>
      <c r="P13" s="185">
        <v>1850</v>
      </c>
      <c r="Q13" s="185">
        <f t="shared" si="1"/>
        <v>419950</v>
      </c>
      <c r="R13" s="1979"/>
      <c r="S13" s="33" t="s">
        <v>48</v>
      </c>
      <c r="T13" s="1986"/>
    </row>
    <row r="14" spans="1:21" ht="21.95" customHeight="1" thickBot="1">
      <c r="A14" s="2002"/>
      <c r="B14" s="1982"/>
      <c r="C14" s="247"/>
      <c r="D14" s="247"/>
      <c r="E14" s="2004"/>
      <c r="F14" s="245"/>
      <c r="G14" s="245"/>
      <c r="H14" s="194" t="s">
        <v>39</v>
      </c>
      <c r="I14" s="195" t="s">
        <v>92</v>
      </c>
      <c r="J14" s="188"/>
      <c r="K14" s="188"/>
      <c r="L14" s="190"/>
      <c r="M14" s="195">
        <v>310</v>
      </c>
      <c r="N14" s="195">
        <v>3</v>
      </c>
      <c r="O14" s="62">
        <f t="shared" si="2"/>
        <v>307</v>
      </c>
      <c r="P14" s="65">
        <v>500</v>
      </c>
      <c r="Q14" s="196">
        <f t="shared" si="1"/>
        <v>153500</v>
      </c>
      <c r="R14" s="197"/>
      <c r="S14" s="198" t="s">
        <v>100</v>
      </c>
      <c r="T14" s="2014"/>
    </row>
    <row r="15" spans="1:21" s="388" customFormat="1">
      <c r="A15" s="834">
        <v>46154</v>
      </c>
      <c r="B15" s="835" t="s">
        <v>264</v>
      </c>
      <c r="C15" s="834" t="s">
        <v>262</v>
      </c>
      <c r="D15" s="834" t="s">
        <v>261</v>
      </c>
      <c r="E15" s="834" t="s">
        <v>409</v>
      </c>
      <c r="F15" s="834" t="s">
        <v>410</v>
      </c>
      <c r="G15" s="834" t="s">
        <v>411</v>
      </c>
      <c r="H15" s="836" t="s">
        <v>111</v>
      </c>
      <c r="I15" s="832" t="s">
        <v>43</v>
      </c>
      <c r="J15" s="835">
        <v>18360</v>
      </c>
      <c r="K15" s="835">
        <v>42030</v>
      </c>
      <c r="L15" s="98">
        <f>21620-2200</f>
        <v>19420</v>
      </c>
      <c r="M15" s="832">
        <v>19430</v>
      </c>
      <c r="N15" s="832"/>
      <c r="O15" s="327">
        <f>L15</f>
        <v>19420</v>
      </c>
      <c r="P15" s="207">
        <v>19600</v>
      </c>
      <c r="Q15" s="207">
        <f t="shared" ref="Q15:Q33" si="3">P15*O15</f>
        <v>380632000</v>
      </c>
      <c r="R15" s="2010" t="s">
        <v>5</v>
      </c>
      <c r="S15" s="833" t="s">
        <v>425</v>
      </c>
      <c r="T15" s="2007" t="s">
        <v>682</v>
      </c>
      <c r="U15" s="163"/>
    </row>
    <row r="16" spans="1:21" s="388" customFormat="1">
      <c r="A16" s="802">
        <v>46154</v>
      </c>
      <c r="B16" s="792" t="s">
        <v>344</v>
      </c>
      <c r="C16" s="802" t="s">
        <v>262</v>
      </c>
      <c r="D16" s="802" t="s">
        <v>261</v>
      </c>
      <c r="E16" s="802" t="s">
        <v>409</v>
      </c>
      <c r="F16" s="802" t="s">
        <v>410</v>
      </c>
      <c r="G16" s="802" t="s">
        <v>411</v>
      </c>
      <c r="H16" s="226" t="s">
        <v>111</v>
      </c>
      <c r="I16" s="815" t="s">
        <v>43</v>
      </c>
      <c r="J16" s="792"/>
      <c r="K16" s="792"/>
      <c r="L16" s="26">
        <v>800</v>
      </c>
      <c r="M16" s="815">
        <v>800</v>
      </c>
      <c r="N16" s="815"/>
      <c r="O16" s="796">
        <v>800</v>
      </c>
      <c r="P16" s="818">
        <v>19600</v>
      </c>
      <c r="Q16" s="818">
        <f t="shared" si="3"/>
        <v>15680000</v>
      </c>
      <c r="R16" s="1993"/>
      <c r="S16" s="813" t="s">
        <v>419</v>
      </c>
      <c r="T16" s="2008"/>
      <c r="U16" s="163"/>
    </row>
    <row r="17" spans="1:21" s="388" customFormat="1" ht="27">
      <c r="A17" s="802">
        <v>46154</v>
      </c>
      <c r="B17" s="792" t="s">
        <v>242</v>
      </c>
      <c r="C17" s="802" t="s">
        <v>262</v>
      </c>
      <c r="D17" s="802" t="s">
        <v>261</v>
      </c>
      <c r="E17" s="802" t="s">
        <v>409</v>
      </c>
      <c r="F17" s="802" t="s">
        <v>410</v>
      </c>
      <c r="G17" s="802" t="s">
        <v>411</v>
      </c>
      <c r="H17" s="226" t="s">
        <v>111</v>
      </c>
      <c r="I17" s="815" t="s">
        <v>43</v>
      </c>
      <c r="J17" s="792"/>
      <c r="K17" s="792"/>
      <c r="L17" s="26">
        <f>1250+2200</f>
        <v>3450</v>
      </c>
      <c r="M17" s="815">
        <v>3450</v>
      </c>
      <c r="N17" s="815"/>
      <c r="O17" s="796">
        <f>L17</f>
        <v>3450</v>
      </c>
      <c r="P17" s="818">
        <v>19600</v>
      </c>
      <c r="Q17" s="818">
        <f t="shared" si="3"/>
        <v>67620000</v>
      </c>
      <c r="R17" s="1993"/>
      <c r="S17" s="813" t="s">
        <v>424</v>
      </c>
      <c r="T17" s="2008"/>
      <c r="U17" s="163"/>
    </row>
    <row r="18" spans="1:21" s="388" customFormat="1">
      <c r="A18" s="806">
        <v>46154</v>
      </c>
      <c r="B18" s="793" t="s">
        <v>264</v>
      </c>
      <c r="C18" s="806" t="s">
        <v>262</v>
      </c>
      <c r="D18" s="806" t="s">
        <v>261</v>
      </c>
      <c r="E18" s="806" t="s">
        <v>409</v>
      </c>
      <c r="F18" s="806" t="s">
        <v>410</v>
      </c>
      <c r="G18" s="806" t="s">
        <v>411</v>
      </c>
      <c r="H18" s="502" t="s">
        <v>111</v>
      </c>
      <c r="I18" s="801" t="s">
        <v>43</v>
      </c>
      <c r="J18" s="793">
        <v>42030</v>
      </c>
      <c r="K18" s="793">
        <v>42970</v>
      </c>
      <c r="L18" s="28">
        <v>940</v>
      </c>
      <c r="M18" s="801">
        <v>940</v>
      </c>
      <c r="N18" s="801"/>
      <c r="O18" s="814">
        <v>940</v>
      </c>
      <c r="P18" s="819">
        <v>19600</v>
      </c>
      <c r="Q18" s="819">
        <f t="shared" si="3"/>
        <v>18424000</v>
      </c>
      <c r="R18" s="1995"/>
      <c r="S18" s="111"/>
      <c r="T18" s="2008"/>
      <c r="U18" s="163"/>
    </row>
    <row r="19" spans="1:21" s="388" customFormat="1">
      <c r="A19" s="805">
        <v>46154</v>
      </c>
      <c r="B19" s="791" t="s">
        <v>264</v>
      </c>
      <c r="C19" s="805" t="s">
        <v>262</v>
      </c>
      <c r="D19" s="805" t="s">
        <v>261</v>
      </c>
      <c r="E19" s="805" t="s">
        <v>412</v>
      </c>
      <c r="F19" s="805" t="s">
        <v>413</v>
      </c>
      <c r="G19" s="805" t="s">
        <v>414</v>
      </c>
      <c r="H19" s="501" t="s">
        <v>111</v>
      </c>
      <c r="I19" s="797" t="s">
        <v>415</v>
      </c>
      <c r="J19" s="791">
        <v>18780</v>
      </c>
      <c r="K19" s="791">
        <v>24690</v>
      </c>
      <c r="L19" s="23">
        <v>5910</v>
      </c>
      <c r="M19" s="797">
        <v>4930</v>
      </c>
      <c r="N19" s="797">
        <v>18</v>
      </c>
      <c r="O19" s="320">
        <f>M19-N19</f>
        <v>4912</v>
      </c>
      <c r="P19" s="137">
        <v>19200</v>
      </c>
      <c r="Q19" s="137">
        <f t="shared" si="3"/>
        <v>94310400</v>
      </c>
      <c r="R19" s="1992" t="s">
        <v>5</v>
      </c>
      <c r="S19" s="123" t="s">
        <v>461</v>
      </c>
      <c r="T19" s="2008"/>
      <c r="U19" s="163"/>
    </row>
    <row r="20" spans="1:21" s="388" customFormat="1" ht="27">
      <c r="A20" s="802">
        <v>46154</v>
      </c>
      <c r="B20" s="792" t="s">
        <v>242</v>
      </c>
      <c r="C20" s="802" t="s">
        <v>262</v>
      </c>
      <c r="D20" s="802" t="s">
        <v>261</v>
      </c>
      <c r="E20" s="802" t="s">
        <v>412</v>
      </c>
      <c r="F20" s="802" t="s">
        <v>413</v>
      </c>
      <c r="G20" s="802" t="s">
        <v>414</v>
      </c>
      <c r="H20" s="226" t="s">
        <v>111</v>
      </c>
      <c r="I20" s="815" t="s">
        <v>44</v>
      </c>
      <c r="J20" s="792">
        <v>24690</v>
      </c>
      <c r="K20" s="792">
        <v>39200</v>
      </c>
      <c r="L20" s="26">
        <v>12080</v>
      </c>
      <c r="M20" s="815">
        <f>15500-M21-M22</f>
        <v>13070</v>
      </c>
      <c r="N20" s="815">
        <v>21</v>
      </c>
      <c r="O20" s="796">
        <f>M20-N20</f>
        <v>13049</v>
      </c>
      <c r="P20" s="818">
        <v>18800</v>
      </c>
      <c r="Q20" s="818">
        <f t="shared" si="3"/>
        <v>245321200</v>
      </c>
      <c r="R20" s="1993"/>
      <c r="S20" s="813" t="s">
        <v>466</v>
      </c>
      <c r="T20" s="2008"/>
      <c r="U20" s="163"/>
    </row>
    <row r="21" spans="1:21" s="388" customFormat="1">
      <c r="A21" s="802">
        <v>46154</v>
      </c>
      <c r="B21" s="792" t="s">
        <v>264</v>
      </c>
      <c r="C21" s="802" t="s">
        <v>262</v>
      </c>
      <c r="D21" s="802"/>
      <c r="E21" s="802" t="s">
        <v>412</v>
      </c>
      <c r="F21" s="802" t="s">
        <v>413</v>
      </c>
      <c r="G21" s="802" t="s">
        <v>414</v>
      </c>
      <c r="H21" s="226" t="s">
        <v>111</v>
      </c>
      <c r="I21" s="815" t="s">
        <v>44</v>
      </c>
      <c r="J21" s="792"/>
      <c r="K21" s="792"/>
      <c r="L21" s="26">
        <v>2150</v>
      </c>
      <c r="M21" s="815">
        <v>2150</v>
      </c>
      <c r="N21" s="815"/>
      <c r="O21" s="796">
        <v>2150</v>
      </c>
      <c r="P21" s="818">
        <v>18800</v>
      </c>
      <c r="Q21" s="818">
        <f t="shared" si="3"/>
        <v>40420000</v>
      </c>
      <c r="R21" s="1993"/>
      <c r="S21" s="813" t="s">
        <v>420</v>
      </c>
      <c r="T21" s="2008"/>
      <c r="U21" s="163"/>
    </row>
    <row r="22" spans="1:21" s="388" customFormat="1">
      <c r="A22" s="806">
        <v>46154</v>
      </c>
      <c r="B22" s="793" t="s">
        <v>344</v>
      </c>
      <c r="C22" s="806" t="s">
        <v>262</v>
      </c>
      <c r="D22" s="806" t="s">
        <v>261</v>
      </c>
      <c r="E22" s="806" t="s">
        <v>412</v>
      </c>
      <c r="F22" s="806" t="s">
        <v>413</v>
      </c>
      <c r="G22" s="806" t="s">
        <v>414</v>
      </c>
      <c r="H22" s="502" t="s">
        <v>111</v>
      </c>
      <c r="I22" s="801" t="s">
        <v>44</v>
      </c>
      <c r="J22" s="793"/>
      <c r="K22" s="793"/>
      <c r="L22" s="28">
        <v>280</v>
      </c>
      <c r="M22" s="801">
        <v>280</v>
      </c>
      <c r="N22" s="801"/>
      <c r="O22" s="814">
        <v>280</v>
      </c>
      <c r="P22" s="819">
        <v>18800</v>
      </c>
      <c r="Q22" s="819">
        <f t="shared" si="3"/>
        <v>5264000</v>
      </c>
      <c r="R22" s="1995"/>
      <c r="S22" s="111" t="s">
        <v>421</v>
      </c>
      <c r="T22" s="2008"/>
      <c r="U22" s="163"/>
    </row>
    <row r="23" spans="1:21" s="388" customFormat="1">
      <c r="A23" s="87">
        <v>46154</v>
      </c>
      <c r="B23" s="90" t="s">
        <v>264</v>
      </c>
      <c r="C23" s="87" t="s">
        <v>262</v>
      </c>
      <c r="D23" s="87" t="s">
        <v>261</v>
      </c>
      <c r="E23" s="87" t="s">
        <v>416</v>
      </c>
      <c r="F23" s="87" t="s">
        <v>417</v>
      </c>
      <c r="G23" s="87" t="s">
        <v>418</v>
      </c>
      <c r="H23" s="88" t="s">
        <v>111</v>
      </c>
      <c r="I23" s="89" t="s">
        <v>189</v>
      </c>
      <c r="J23" s="90">
        <v>18160</v>
      </c>
      <c r="K23" s="90">
        <v>42940</v>
      </c>
      <c r="L23" s="91">
        <v>24780</v>
      </c>
      <c r="M23" s="89">
        <v>24960</v>
      </c>
      <c r="N23" s="89"/>
      <c r="O23" s="145">
        <v>24780</v>
      </c>
      <c r="P23" s="146">
        <f>18000*0.47-500</f>
        <v>7960</v>
      </c>
      <c r="Q23" s="146">
        <f t="shared" si="3"/>
        <v>197248800</v>
      </c>
      <c r="R23" s="508" t="s">
        <v>5</v>
      </c>
      <c r="S23" s="139" t="s">
        <v>467</v>
      </c>
      <c r="T23" s="2008"/>
      <c r="U23" s="163"/>
    </row>
    <row r="24" spans="1:21" s="388" customFormat="1">
      <c r="A24" s="804">
        <v>46154</v>
      </c>
      <c r="B24" s="794" t="s">
        <v>242</v>
      </c>
      <c r="C24" s="804" t="s">
        <v>262</v>
      </c>
      <c r="D24" s="804" t="s">
        <v>263</v>
      </c>
      <c r="E24" s="804" t="s">
        <v>164</v>
      </c>
      <c r="F24" s="804" t="s">
        <v>111</v>
      </c>
      <c r="G24" s="804"/>
      <c r="H24" s="83" t="s">
        <v>111</v>
      </c>
      <c r="I24" s="810" t="s">
        <v>464</v>
      </c>
      <c r="J24" s="794">
        <v>12900</v>
      </c>
      <c r="K24" s="794">
        <v>16640</v>
      </c>
      <c r="L24" s="440">
        <v>1500</v>
      </c>
      <c r="M24" s="810">
        <v>1500</v>
      </c>
      <c r="N24" s="810"/>
      <c r="O24" s="811">
        <v>1500</v>
      </c>
      <c r="P24" s="817">
        <f>18000*0.47-500</f>
        <v>7960</v>
      </c>
      <c r="Q24" s="817">
        <f t="shared" si="3"/>
        <v>11940000</v>
      </c>
      <c r="R24" s="1999" t="s">
        <v>5</v>
      </c>
      <c r="S24" s="151" t="s">
        <v>468</v>
      </c>
      <c r="T24" s="2008"/>
      <c r="U24" s="163"/>
    </row>
    <row r="25" spans="1:21" s="388" customFormat="1">
      <c r="A25" s="802">
        <v>46154</v>
      </c>
      <c r="B25" s="792" t="s">
        <v>264</v>
      </c>
      <c r="C25" s="802" t="s">
        <v>262</v>
      </c>
      <c r="D25" s="802" t="s">
        <v>263</v>
      </c>
      <c r="E25" s="802" t="s">
        <v>164</v>
      </c>
      <c r="F25" s="802" t="s">
        <v>111</v>
      </c>
      <c r="G25" s="802"/>
      <c r="H25" s="226" t="s">
        <v>111</v>
      </c>
      <c r="I25" s="815" t="s">
        <v>464</v>
      </c>
      <c r="J25" s="792"/>
      <c r="K25" s="792"/>
      <c r="L25" s="26">
        <v>1230</v>
      </c>
      <c r="M25" s="815">
        <v>1250</v>
      </c>
      <c r="N25" s="815"/>
      <c r="O25" s="796">
        <v>1230</v>
      </c>
      <c r="P25" s="818">
        <f>18000*0.47-500</f>
        <v>7960</v>
      </c>
      <c r="Q25" s="818">
        <f t="shared" si="3"/>
        <v>9790800</v>
      </c>
      <c r="R25" s="1993"/>
      <c r="S25" s="813" t="s">
        <v>426</v>
      </c>
      <c r="T25" s="2008"/>
      <c r="U25" s="163"/>
    </row>
    <row r="26" spans="1:21" s="388" customFormat="1">
      <c r="A26" s="802">
        <v>46154</v>
      </c>
      <c r="B26" s="792" t="s">
        <v>305</v>
      </c>
      <c r="C26" s="802" t="s">
        <v>262</v>
      </c>
      <c r="D26" s="802" t="s">
        <v>263</v>
      </c>
      <c r="E26" s="802" t="s">
        <v>164</v>
      </c>
      <c r="F26" s="802" t="s">
        <v>111</v>
      </c>
      <c r="G26" s="802"/>
      <c r="H26" s="226" t="s">
        <v>111</v>
      </c>
      <c r="I26" s="815" t="s">
        <v>464</v>
      </c>
      <c r="J26" s="792"/>
      <c r="K26" s="792"/>
      <c r="L26" s="26">
        <v>1010</v>
      </c>
      <c r="M26" s="815">
        <v>1010</v>
      </c>
      <c r="N26" s="815"/>
      <c r="O26" s="796">
        <v>1010</v>
      </c>
      <c r="P26" s="818">
        <f t="shared" ref="P26:P27" si="4">18000*0.47-500</f>
        <v>7960</v>
      </c>
      <c r="Q26" s="818">
        <f t="shared" si="3"/>
        <v>8039600</v>
      </c>
      <c r="R26" s="1993"/>
      <c r="S26" s="813" t="s">
        <v>422</v>
      </c>
      <c r="T26" s="2008"/>
      <c r="U26" s="163"/>
    </row>
    <row r="27" spans="1:21" s="388" customFormat="1">
      <c r="A27" s="802">
        <v>46154</v>
      </c>
      <c r="B27" s="792" t="s">
        <v>242</v>
      </c>
      <c r="C27" s="802" t="s">
        <v>262</v>
      </c>
      <c r="D27" s="802" t="s">
        <v>263</v>
      </c>
      <c r="E27" s="802" t="s">
        <v>164</v>
      </c>
      <c r="F27" s="802" t="s">
        <v>111</v>
      </c>
      <c r="G27" s="802"/>
      <c r="H27" s="226" t="s">
        <v>111</v>
      </c>
      <c r="I27" s="815" t="s">
        <v>464</v>
      </c>
      <c r="J27" s="792">
        <v>16640</v>
      </c>
      <c r="K27" s="792">
        <v>22260</v>
      </c>
      <c r="L27" s="26">
        <v>5620</v>
      </c>
      <c r="M27" s="815">
        <v>5620</v>
      </c>
      <c r="N27" s="815"/>
      <c r="O27" s="796">
        <v>5620</v>
      </c>
      <c r="P27" s="818">
        <f t="shared" si="4"/>
        <v>7960</v>
      </c>
      <c r="Q27" s="818">
        <f t="shared" si="3"/>
        <v>44735200</v>
      </c>
      <c r="R27" s="1993"/>
      <c r="S27" s="813" t="s">
        <v>462</v>
      </c>
      <c r="T27" s="2008"/>
      <c r="U27" s="163"/>
    </row>
    <row r="28" spans="1:21" s="388" customFormat="1">
      <c r="A28" s="802">
        <v>46154</v>
      </c>
      <c r="B28" s="792" t="s">
        <v>305</v>
      </c>
      <c r="C28" s="802" t="s">
        <v>262</v>
      </c>
      <c r="D28" s="802" t="s">
        <v>263</v>
      </c>
      <c r="E28" s="802" t="s">
        <v>164</v>
      </c>
      <c r="F28" s="802" t="s">
        <v>111</v>
      </c>
      <c r="G28" s="802"/>
      <c r="H28" s="226" t="s">
        <v>111</v>
      </c>
      <c r="I28" s="815" t="s">
        <v>465</v>
      </c>
      <c r="J28" s="792">
        <v>22260</v>
      </c>
      <c r="K28" s="792">
        <v>23590</v>
      </c>
      <c r="L28" s="26">
        <v>660</v>
      </c>
      <c r="M28" s="815">
        <v>660</v>
      </c>
      <c r="N28" s="815">
        <v>6</v>
      </c>
      <c r="O28" s="796">
        <v>654</v>
      </c>
      <c r="P28" s="818">
        <f>19600*0.65-400</f>
        <v>12340</v>
      </c>
      <c r="Q28" s="818">
        <f t="shared" si="3"/>
        <v>8070360</v>
      </c>
      <c r="R28" s="1993"/>
      <c r="S28" s="813" t="s">
        <v>463</v>
      </c>
      <c r="T28" s="2008"/>
      <c r="U28" s="163"/>
    </row>
    <row r="29" spans="1:21" s="388" customFormat="1">
      <c r="A29" s="806">
        <v>46154</v>
      </c>
      <c r="B29" s="793" t="s">
        <v>264</v>
      </c>
      <c r="C29" s="806" t="s">
        <v>262</v>
      </c>
      <c r="D29" s="806" t="s">
        <v>263</v>
      </c>
      <c r="E29" s="806" t="s">
        <v>164</v>
      </c>
      <c r="F29" s="806" t="s">
        <v>111</v>
      </c>
      <c r="G29" s="806"/>
      <c r="H29" s="502" t="s">
        <v>111</v>
      </c>
      <c r="I29" s="815" t="s">
        <v>465</v>
      </c>
      <c r="J29" s="793"/>
      <c r="K29" s="793"/>
      <c r="L29" s="28">
        <v>670</v>
      </c>
      <c r="M29" s="801">
        <v>670</v>
      </c>
      <c r="N29" s="801">
        <v>21</v>
      </c>
      <c r="O29" s="814">
        <v>649</v>
      </c>
      <c r="P29" s="818">
        <f>19600*0.65-400</f>
        <v>12340</v>
      </c>
      <c r="Q29" s="819">
        <f t="shared" si="3"/>
        <v>8008660</v>
      </c>
      <c r="R29" s="1995"/>
      <c r="S29" s="111" t="s">
        <v>423</v>
      </c>
      <c r="T29" s="2008"/>
      <c r="U29" s="163"/>
    </row>
    <row r="30" spans="1:21" s="388" customFormat="1">
      <c r="A30" s="1367">
        <v>46156</v>
      </c>
      <c r="B30" s="1363" t="s">
        <v>264</v>
      </c>
      <c r="C30" s="1367" t="s">
        <v>262</v>
      </c>
      <c r="D30" s="1367" t="s">
        <v>263</v>
      </c>
      <c r="E30" s="1367" t="s">
        <v>164</v>
      </c>
      <c r="F30" s="1367" t="s">
        <v>111</v>
      </c>
      <c r="G30" s="1367"/>
      <c r="H30" s="501" t="s">
        <v>111</v>
      </c>
      <c r="I30" s="1366" t="s">
        <v>460</v>
      </c>
      <c r="J30" s="1363">
        <v>12920</v>
      </c>
      <c r="K30" s="1363">
        <v>22270</v>
      </c>
      <c r="L30" s="23">
        <v>5610</v>
      </c>
      <c r="M30" s="1366">
        <v>5610</v>
      </c>
      <c r="N30" s="1366">
        <v>21</v>
      </c>
      <c r="O30" s="320">
        <v>5589</v>
      </c>
      <c r="P30" s="137">
        <v>3700</v>
      </c>
      <c r="Q30" s="137">
        <f t="shared" si="3"/>
        <v>20679300</v>
      </c>
      <c r="R30" s="1988" t="s">
        <v>5</v>
      </c>
      <c r="S30" s="123" t="s">
        <v>505</v>
      </c>
      <c r="T30" s="2008" t="s">
        <v>516</v>
      </c>
      <c r="U30" s="163"/>
    </row>
    <row r="31" spans="1:21" s="388" customFormat="1">
      <c r="A31" s="1368">
        <v>46156</v>
      </c>
      <c r="B31" s="1362" t="s">
        <v>242</v>
      </c>
      <c r="C31" s="1368" t="s">
        <v>262</v>
      </c>
      <c r="D31" s="1368" t="s">
        <v>263</v>
      </c>
      <c r="E31" s="1368" t="s">
        <v>164</v>
      </c>
      <c r="F31" s="1368" t="s">
        <v>111</v>
      </c>
      <c r="G31" s="1368"/>
      <c r="H31" s="226" t="s">
        <v>111</v>
      </c>
      <c r="I31" s="1375" t="s">
        <v>460</v>
      </c>
      <c r="J31" s="1362"/>
      <c r="K31" s="1362"/>
      <c r="L31" s="26">
        <v>3740</v>
      </c>
      <c r="M31" s="1375">
        <v>3740</v>
      </c>
      <c r="N31" s="1375">
        <v>12</v>
      </c>
      <c r="O31" s="1365">
        <v>3728</v>
      </c>
      <c r="P31" s="1373">
        <v>3700</v>
      </c>
      <c r="Q31" s="1373">
        <f t="shared" si="3"/>
        <v>13793600</v>
      </c>
      <c r="R31" s="1989"/>
      <c r="S31" s="1374" t="s">
        <v>506</v>
      </c>
      <c r="T31" s="2008"/>
      <c r="U31" s="163"/>
    </row>
    <row r="32" spans="1:21" s="388" customFormat="1">
      <c r="A32" s="1368">
        <v>46156</v>
      </c>
      <c r="B32" s="1362" t="s">
        <v>264</v>
      </c>
      <c r="C32" s="1368" t="s">
        <v>262</v>
      </c>
      <c r="D32" s="1368" t="s">
        <v>263</v>
      </c>
      <c r="E32" s="1368" t="s">
        <v>164</v>
      </c>
      <c r="F32" s="1368" t="s">
        <v>111</v>
      </c>
      <c r="G32" s="1368"/>
      <c r="H32" s="226" t="s">
        <v>111</v>
      </c>
      <c r="I32" s="1375" t="s">
        <v>41</v>
      </c>
      <c r="J32" s="1362">
        <v>22260</v>
      </c>
      <c r="K32" s="1362">
        <v>25170</v>
      </c>
      <c r="L32" s="26">
        <v>2910</v>
      </c>
      <c r="M32" s="1375">
        <v>2910</v>
      </c>
      <c r="N32" s="1375">
        <v>39</v>
      </c>
      <c r="O32" s="1365">
        <v>2871</v>
      </c>
      <c r="P32" s="1373">
        <v>10600</v>
      </c>
      <c r="Q32" s="1373">
        <f t="shared" si="3"/>
        <v>30432600</v>
      </c>
      <c r="R32" s="1989"/>
      <c r="S32" s="1374" t="s">
        <v>507</v>
      </c>
      <c r="T32" s="2008"/>
      <c r="U32" s="163"/>
    </row>
    <row r="33" spans="1:21" s="388" customFormat="1" ht="17.25" thickBot="1">
      <c r="A33" s="295">
        <v>46156</v>
      </c>
      <c r="B33" s="1364" t="s">
        <v>264</v>
      </c>
      <c r="C33" s="295" t="s">
        <v>262</v>
      </c>
      <c r="D33" s="295" t="s">
        <v>263</v>
      </c>
      <c r="E33" s="295" t="s">
        <v>164</v>
      </c>
      <c r="F33" s="295" t="s">
        <v>111</v>
      </c>
      <c r="G33" s="295"/>
      <c r="H33" s="61" t="s">
        <v>111</v>
      </c>
      <c r="I33" s="62" t="s">
        <v>165</v>
      </c>
      <c r="J33" s="1364">
        <v>25170</v>
      </c>
      <c r="K33" s="1364">
        <v>26770</v>
      </c>
      <c r="L33" s="64">
        <v>1600</v>
      </c>
      <c r="M33" s="62">
        <v>1620</v>
      </c>
      <c r="N33" s="62"/>
      <c r="O33" s="328">
        <v>1600</v>
      </c>
      <c r="P33" s="329">
        <v>18200</v>
      </c>
      <c r="Q33" s="329">
        <f t="shared" si="3"/>
        <v>29120000</v>
      </c>
      <c r="R33" s="2009"/>
      <c r="S33" s="191"/>
      <c r="T33" s="2011"/>
      <c r="U33" s="163"/>
    </row>
    <row r="34" spans="1:21" s="388" customFormat="1">
      <c r="A34" s="1369">
        <v>46175</v>
      </c>
      <c r="B34" s="1361" t="s">
        <v>264</v>
      </c>
      <c r="C34" s="1369" t="s">
        <v>262</v>
      </c>
      <c r="D34" s="1369" t="s">
        <v>263</v>
      </c>
      <c r="E34" s="1369" t="s">
        <v>164</v>
      </c>
      <c r="F34" s="1369" t="s">
        <v>111</v>
      </c>
      <c r="G34" s="1369"/>
      <c r="H34" s="83" t="s">
        <v>111</v>
      </c>
      <c r="I34" s="1370" t="s">
        <v>43</v>
      </c>
      <c r="J34" s="1361">
        <v>12950</v>
      </c>
      <c r="K34" s="1361">
        <v>15370</v>
      </c>
      <c r="L34" s="462">
        <f>K34-J34</f>
        <v>2420</v>
      </c>
      <c r="M34" s="1370">
        <v>2420</v>
      </c>
      <c r="N34" s="1370">
        <v>6</v>
      </c>
      <c r="O34" s="1371">
        <f>L34-N34</f>
        <v>2414</v>
      </c>
      <c r="P34" s="1372">
        <v>20100</v>
      </c>
      <c r="Q34" s="1372">
        <f>P34*O34</f>
        <v>48521400</v>
      </c>
      <c r="R34" s="1999" t="s">
        <v>5</v>
      </c>
      <c r="S34" s="151" t="s">
        <v>575</v>
      </c>
      <c r="T34" s="2007" t="s">
        <v>660</v>
      </c>
      <c r="U34" s="163"/>
    </row>
    <row r="35" spans="1:21" s="388" customFormat="1" ht="27">
      <c r="A35" s="1287">
        <v>46175</v>
      </c>
      <c r="B35" s="1279" t="s">
        <v>264</v>
      </c>
      <c r="C35" s="1287" t="s">
        <v>262</v>
      </c>
      <c r="D35" s="1287" t="s">
        <v>263</v>
      </c>
      <c r="E35" s="1287" t="s">
        <v>164</v>
      </c>
      <c r="F35" s="1287" t="s">
        <v>111</v>
      </c>
      <c r="G35" s="1287"/>
      <c r="H35" s="226" t="s">
        <v>111</v>
      </c>
      <c r="I35" s="1297" t="s">
        <v>415</v>
      </c>
      <c r="J35" s="1279">
        <v>15370</v>
      </c>
      <c r="K35" s="1279">
        <v>16130</v>
      </c>
      <c r="L35" s="26">
        <f>K35-J35-60</f>
        <v>700</v>
      </c>
      <c r="M35" s="1297">
        <v>750</v>
      </c>
      <c r="N35" s="1297">
        <v>3</v>
      </c>
      <c r="O35" s="1282">
        <f>L35-N35</f>
        <v>697</v>
      </c>
      <c r="P35" s="1294">
        <v>19700</v>
      </c>
      <c r="Q35" s="1294">
        <f t="shared" ref="Q35:Q46" si="5">P35*O35</f>
        <v>13730900</v>
      </c>
      <c r="R35" s="1993"/>
      <c r="S35" s="1296" t="s">
        <v>658</v>
      </c>
      <c r="T35" s="2008"/>
      <c r="U35" s="163"/>
    </row>
    <row r="36" spans="1:21" s="388" customFormat="1">
      <c r="A36" s="1287">
        <v>46175</v>
      </c>
      <c r="B36" s="1279" t="s">
        <v>264</v>
      </c>
      <c r="C36" s="1287" t="s">
        <v>262</v>
      </c>
      <c r="D36" s="1287" t="s">
        <v>263</v>
      </c>
      <c r="E36" s="1287" t="s">
        <v>164</v>
      </c>
      <c r="F36" s="1287" t="s">
        <v>111</v>
      </c>
      <c r="G36" s="1287"/>
      <c r="H36" s="226" t="s">
        <v>111</v>
      </c>
      <c r="I36" s="1297" t="s">
        <v>44</v>
      </c>
      <c r="J36" s="1279">
        <v>16130</v>
      </c>
      <c r="K36" s="1279">
        <v>18970</v>
      </c>
      <c r="L36" s="26">
        <f>K36-J36+60</f>
        <v>2900</v>
      </c>
      <c r="M36" s="1297">
        <v>2840</v>
      </c>
      <c r="N36" s="1297">
        <v>27</v>
      </c>
      <c r="O36" s="1282">
        <f>L36-N36</f>
        <v>2873</v>
      </c>
      <c r="P36" s="1294">
        <v>19300</v>
      </c>
      <c r="Q36" s="1294">
        <f t="shared" si="5"/>
        <v>55448900</v>
      </c>
      <c r="R36" s="1993"/>
      <c r="S36" s="1296" t="s">
        <v>659</v>
      </c>
      <c r="T36" s="2008"/>
      <c r="U36" s="163"/>
    </row>
    <row r="37" spans="1:21" s="388" customFormat="1" ht="27">
      <c r="A37" s="1287">
        <v>46175</v>
      </c>
      <c r="B37" s="1279" t="s">
        <v>264</v>
      </c>
      <c r="C37" s="1287" t="s">
        <v>262</v>
      </c>
      <c r="D37" s="1287" t="s">
        <v>263</v>
      </c>
      <c r="E37" s="1287" t="s">
        <v>164</v>
      </c>
      <c r="F37" s="1287" t="s">
        <v>111</v>
      </c>
      <c r="G37" s="1287"/>
      <c r="H37" s="226" t="s">
        <v>111</v>
      </c>
      <c r="I37" s="1297" t="s">
        <v>40</v>
      </c>
      <c r="J37" s="1279">
        <v>18970</v>
      </c>
      <c r="K37" s="1279">
        <v>20930</v>
      </c>
      <c r="L37" s="26">
        <f t="shared" ref="L37:L46" si="6">K37-J37</f>
        <v>1960</v>
      </c>
      <c r="M37" s="1297">
        <v>1950</v>
      </c>
      <c r="N37" s="1297">
        <v>15</v>
      </c>
      <c r="O37" s="1282">
        <f t="shared" ref="O37:O46" si="7">L37-N37</f>
        <v>1945</v>
      </c>
      <c r="P37" s="1294">
        <v>6400</v>
      </c>
      <c r="Q37" s="1294">
        <f t="shared" si="5"/>
        <v>12448000</v>
      </c>
      <c r="R37" s="1993"/>
      <c r="S37" s="1296" t="s">
        <v>649</v>
      </c>
      <c r="T37" s="2008"/>
      <c r="U37" s="163"/>
    </row>
    <row r="38" spans="1:21" s="388" customFormat="1">
      <c r="A38" s="1288">
        <v>46175</v>
      </c>
      <c r="B38" s="1281" t="s">
        <v>264</v>
      </c>
      <c r="C38" s="1288" t="s">
        <v>262</v>
      </c>
      <c r="D38" s="1288" t="s">
        <v>263</v>
      </c>
      <c r="E38" s="1288" t="s">
        <v>164</v>
      </c>
      <c r="F38" s="1288" t="s">
        <v>111</v>
      </c>
      <c r="G38" s="1288"/>
      <c r="H38" s="502" t="s">
        <v>111</v>
      </c>
      <c r="I38" s="1285" t="s">
        <v>645</v>
      </c>
      <c r="J38" s="1281">
        <v>20930</v>
      </c>
      <c r="K38" s="1281">
        <v>22810</v>
      </c>
      <c r="L38" s="28">
        <f t="shared" si="6"/>
        <v>1880</v>
      </c>
      <c r="M38" s="1285">
        <v>1880</v>
      </c>
      <c r="N38" s="1285">
        <v>6</v>
      </c>
      <c r="O38" s="1292">
        <f t="shared" si="7"/>
        <v>1874</v>
      </c>
      <c r="P38" s="1295">
        <v>9600</v>
      </c>
      <c r="Q38" s="1295">
        <f t="shared" si="5"/>
        <v>17990400</v>
      </c>
      <c r="R38" s="1995"/>
      <c r="S38" s="111" t="s">
        <v>650</v>
      </c>
      <c r="T38" s="2008"/>
      <c r="U38" s="163"/>
    </row>
    <row r="39" spans="1:21" s="388" customFormat="1" ht="27" customHeight="1">
      <c r="A39" s="1314">
        <v>46176</v>
      </c>
      <c r="B39" s="1304" t="s">
        <v>264</v>
      </c>
      <c r="C39" s="1314" t="s">
        <v>262</v>
      </c>
      <c r="D39" s="1314" t="s">
        <v>263</v>
      </c>
      <c r="E39" s="1314" t="s">
        <v>164</v>
      </c>
      <c r="F39" s="1314" t="s">
        <v>111</v>
      </c>
      <c r="G39" s="1314"/>
      <c r="H39" s="83" t="s">
        <v>111</v>
      </c>
      <c r="I39" s="1315" t="s">
        <v>44</v>
      </c>
      <c r="J39" s="1304">
        <v>12920</v>
      </c>
      <c r="K39" s="1304">
        <v>24130</v>
      </c>
      <c r="L39" s="462">
        <f t="shared" si="6"/>
        <v>11210</v>
      </c>
      <c r="M39" s="1315">
        <v>11210</v>
      </c>
      <c r="N39" s="1315">
        <v>3</v>
      </c>
      <c r="O39" s="1316">
        <f t="shared" si="7"/>
        <v>11207</v>
      </c>
      <c r="P39" s="1317">
        <v>19000</v>
      </c>
      <c r="Q39" s="1317">
        <f t="shared" si="5"/>
        <v>212933000</v>
      </c>
      <c r="R39" s="1999" t="s">
        <v>5</v>
      </c>
      <c r="S39" s="151" t="s">
        <v>673</v>
      </c>
      <c r="T39" s="2008" t="s">
        <v>681</v>
      </c>
      <c r="U39" s="163"/>
    </row>
    <row r="40" spans="1:21" s="388" customFormat="1">
      <c r="A40" s="1313">
        <v>46176</v>
      </c>
      <c r="B40" s="1305" t="s">
        <v>264</v>
      </c>
      <c r="C40" s="1313" t="s">
        <v>262</v>
      </c>
      <c r="D40" s="1313" t="s">
        <v>263</v>
      </c>
      <c r="E40" s="1313" t="s">
        <v>164</v>
      </c>
      <c r="F40" s="1313" t="s">
        <v>111</v>
      </c>
      <c r="G40" s="1313"/>
      <c r="H40" s="226" t="s">
        <v>111</v>
      </c>
      <c r="I40" s="1321" t="s">
        <v>44</v>
      </c>
      <c r="J40" s="1305">
        <v>24130</v>
      </c>
      <c r="K40" s="1305">
        <v>24180</v>
      </c>
      <c r="L40" s="26">
        <f t="shared" si="6"/>
        <v>50</v>
      </c>
      <c r="M40" s="1321">
        <v>50</v>
      </c>
      <c r="N40" s="1321">
        <v>3</v>
      </c>
      <c r="O40" s="1308">
        <f t="shared" si="7"/>
        <v>47</v>
      </c>
      <c r="P40" s="1318">
        <v>19000</v>
      </c>
      <c r="Q40" s="1318">
        <f t="shared" si="5"/>
        <v>893000</v>
      </c>
      <c r="R40" s="1993"/>
      <c r="S40" s="1320" t="s">
        <v>648</v>
      </c>
      <c r="T40" s="2008"/>
      <c r="U40" s="163"/>
    </row>
    <row r="41" spans="1:21" s="388" customFormat="1">
      <c r="A41" s="1313">
        <v>46176</v>
      </c>
      <c r="B41" s="1305" t="s">
        <v>264</v>
      </c>
      <c r="C41" s="1313" t="s">
        <v>262</v>
      </c>
      <c r="D41" s="1313" t="s">
        <v>274</v>
      </c>
      <c r="E41" s="1313" t="s">
        <v>646</v>
      </c>
      <c r="F41" s="1313"/>
      <c r="G41" s="1313"/>
      <c r="H41" s="226" t="s">
        <v>111</v>
      </c>
      <c r="I41" s="1321" t="s">
        <v>647</v>
      </c>
      <c r="J41" s="1305">
        <v>15720</v>
      </c>
      <c r="K41" s="1305">
        <v>29570</v>
      </c>
      <c r="L41" s="26">
        <f t="shared" si="6"/>
        <v>13850</v>
      </c>
      <c r="M41" s="1321">
        <v>13850</v>
      </c>
      <c r="N41" s="1308">
        <v>500</v>
      </c>
      <c r="O41" s="1308">
        <f t="shared" si="7"/>
        <v>13350</v>
      </c>
      <c r="P41" s="1318">
        <v>3700</v>
      </c>
      <c r="Q41" s="1318">
        <f t="shared" si="5"/>
        <v>49395000</v>
      </c>
      <c r="R41" s="1993" t="s">
        <v>5</v>
      </c>
      <c r="S41" s="1320"/>
      <c r="T41" s="2008"/>
      <c r="U41" s="163"/>
    </row>
    <row r="42" spans="1:21" s="388" customFormat="1" ht="27">
      <c r="A42" s="1313">
        <v>46176</v>
      </c>
      <c r="B42" s="1305" t="s">
        <v>522</v>
      </c>
      <c r="C42" s="1313" t="s">
        <v>262</v>
      </c>
      <c r="D42" s="1313" t="s">
        <v>274</v>
      </c>
      <c r="E42" s="1313" t="s">
        <v>646</v>
      </c>
      <c r="F42" s="1313"/>
      <c r="G42" s="1313"/>
      <c r="H42" s="226" t="s">
        <v>111</v>
      </c>
      <c r="I42" s="1321" t="s">
        <v>676</v>
      </c>
      <c r="J42" s="1305">
        <v>29570</v>
      </c>
      <c r="K42" s="1305">
        <v>33220</v>
      </c>
      <c r="L42" s="26">
        <f>K42-J42-200</f>
        <v>3450</v>
      </c>
      <c r="M42" s="1321">
        <v>3450</v>
      </c>
      <c r="N42" s="1321">
        <v>3</v>
      </c>
      <c r="O42" s="1308">
        <f>L42-N42</f>
        <v>3447</v>
      </c>
      <c r="P42" s="1318">
        <v>3700</v>
      </c>
      <c r="Q42" s="1318">
        <f t="shared" si="5"/>
        <v>12753900</v>
      </c>
      <c r="R42" s="1993"/>
      <c r="S42" s="1320" t="s">
        <v>674</v>
      </c>
      <c r="T42" s="2008"/>
      <c r="U42" s="163"/>
    </row>
    <row r="43" spans="1:21" s="388" customFormat="1">
      <c r="A43" s="1313">
        <v>46176</v>
      </c>
      <c r="B43" s="1305" t="s">
        <v>264</v>
      </c>
      <c r="C43" s="1313" t="s">
        <v>262</v>
      </c>
      <c r="D43" s="1313" t="s">
        <v>274</v>
      </c>
      <c r="E43" s="1313" t="s">
        <v>646</v>
      </c>
      <c r="F43" s="1313"/>
      <c r="G43" s="1313"/>
      <c r="H43" s="226" t="s">
        <v>111</v>
      </c>
      <c r="I43" s="1321" t="s">
        <v>676</v>
      </c>
      <c r="J43" s="1305"/>
      <c r="K43" s="1305"/>
      <c r="L43" s="26">
        <v>200</v>
      </c>
      <c r="M43" s="1321">
        <v>200</v>
      </c>
      <c r="N43" s="1321"/>
      <c r="O43" s="1308">
        <f t="shared" si="7"/>
        <v>200</v>
      </c>
      <c r="P43" s="1318">
        <v>3700</v>
      </c>
      <c r="Q43" s="1318">
        <f t="shared" si="5"/>
        <v>740000</v>
      </c>
      <c r="R43" s="1993"/>
      <c r="S43" s="1320" t="s">
        <v>675</v>
      </c>
      <c r="T43" s="2008"/>
      <c r="U43" s="163"/>
    </row>
    <row r="44" spans="1:21" s="388" customFormat="1">
      <c r="A44" s="1313">
        <v>46176</v>
      </c>
      <c r="B44" s="1305" t="s">
        <v>264</v>
      </c>
      <c r="C44" s="1313" t="s">
        <v>262</v>
      </c>
      <c r="D44" s="1313" t="s">
        <v>274</v>
      </c>
      <c r="E44" s="1313" t="s">
        <v>646</v>
      </c>
      <c r="F44" s="1313"/>
      <c r="G44" s="1313"/>
      <c r="H44" s="226" t="s">
        <v>111</v>
      </c>
      <c r="I44" s="1321" t="s">
        <v>561</v>
      </c>
      <c r="J44" s="1305">
        <v>33220</v>
      </c>
      <c r="K44" s="1305">
        <v>36920</v>
      </c>
      <c r="L44" s="26">
        <f t="shared" si="6"/>
        <v>3700</v>
      </c>
      <c r="M44" s="1321">
        <v>3700</v>
      </c>
      <c r="N44" s="1321">
        <v>24</v>
      </c>
      <c r="O44" s="1308">
        <f t="shared" si="7"/>
        <v>3676</v>
      </c>
      <c r="P44" s="1318">
        <v>1250</v>
      </c>
      <c r="Q44" s="1318">
        <f t="shared" si="5"/>
        <v>4595000</v>
      </c>
      <c r="R44" s="1993"/>
      <c r="S44" s="1320" t="s">
        <v>651</v>
      </c>
      <c r="T44" s="2008"/>
      <c r="U44" s="163"/>
    </row>
    <row r="45" spans="1:21" s="388" customFormat="1">
      <c r="A45" s="1313">
        <v>46176</v>
      </c>
      <c r="B45" s="1305" t="s">
        <v>264</v>
      </c>
      <c r="C45" s="1313" t="s">
        <v>262</v>
      </c>
      <c r="D45" s="1313" t="s">
        <v>263</v>
      </c>
      <c r="E45" s="1313" t="s">
        <v>38</v>
      </c>
      <c r="F45" s="1313" t="s">
        <v>111</v>
      </c>
      <c r="G45" s="1313"/>
      <c r="H45" s="226" t="s">
        <v>111</v>
      </c>
      <c r="I45" s="1321" t="s">
        <v>561</v>
      </c>
      <c r="J45" s="1305">
        <v>12670</v>
      </c>
      <c r="K45" s="1305">
        <v>14420</v>
      </c>
      <c r="L45" s="26">
        <f t="shared" si="6"/>
        <v>1750</v>
      </c>
      <c r="M45" s="1321">
        <v>1750</v>
      </c>
      <c r="N45" s="1321">
        <v>3</v>
      </c>
      <c r="O45" s="1308">
        <f t="shared" si="7"/>
        <v>1747</v>
      </c>
      <c r="P45" s="1318">
        <v>1250</v>
      </c>
      <c r="Q45" s="1318">
        <f t="shared" si="5"/>
        <v>2183750</v>
      </c>
      <c r="R45" s="1993" t="s">
        <v>5</v>
      </c>
      <c r="S45" s="1320" t="s">
        <v>648</v>
      </c>
      <c r="T45" s="2008"/>
      <c r="U45" s="163"/>
    </row>
    <row r="46" spans="1:21" s="388" customFormat="1" ht="27">
      <c r="A46" s="1313">
        <v>46176</v>
      </c>
      <c r="B46" s="1305" t="s">
        <v>264</v>
      </c>
      <c r="C46" s="1313" t="s">
        <v>262</v>
      </c>
      <c r="D46" s="1313" t="s">
        <v>263</v>
      </c>
      <c r="E46" s="1313" t="s">
        <v>38</v>
      </c>
      <c r="F46" s="1313" t="s">
        <v>111</v>
      </c>
      <c r="G46" s="1313"/>
      <c r="H46" s="226" t="s">
        <v>111</v>
      </c>
      <c r="I46" s="1321" t="s">
        <v>199</v>
      </c>
      <c r="J46" s="1305">
        <v>14420</v>
      </c>
      <c r="K46" s="1305">
        <v>19780</v>
      </c>
      <c r="L46" s="26">
        <f t="shared" si="6"/>
        <v>5360</v>
      </c>
      <c r="M46" s="1321">
        <v>5360</v>
      </c>
      <c r="N46" s="1321">
        <v>30</v>
      </c>
      <c r="O46" s="1308">
        <f t="shared" si="7"/>
        <v>5330</v>
      </c>
      <c r="P46" s="1318">
        <v>11500</v>
      </c>
      <c r="Q46" s="1318">
        <f t="shared" si="5"/>
        <v>61295000</v>
      </c>
      <c r="R46" s="1993"/>
      <c r="S46" s="1320" t="s">
        <v>672</v>
      </c>
      <c r="T46" s="2008"/>
      <c r="U46" s="163"/>
    </row>
    <row r="47" spans="1:21" s="388" customFormat="1">
      <c r="A47" s="1208"/>
      <c r="B47" s="1199"/>
      <c r="C47" s="1208"/>
      <c r="D47" s="1208"/>
      <c r="E47" s="1208"/>
      <c r="F47" s="1208"/>
      <c r="G47" s="1208"/>
      <c r="H47" s="84"/>
      <c r="I47" s="1205"/>
      <c r="J47" s="1199"/>
      <c r="K47" s="1199"/>
      <c r="L47" s="58"/>
      <c r="M47" s="1205"/>
      <c r="N47" s="1205"/>
      <c r="O47" s="1200"/>
      <c r="P47" s="468"/>
      <c r="Q47" s="468"/>
      <c r="R47" s="1204"/>
      <c r="S47" s="147"/>
      <c r="T47" s="1230"/>
      <c r="U47" s="163"/>
    </row>
    <row r="48" spans="1:21">
      <c r="A48" s="173"/>
      <c r="B48" s="374"/>
      <c r="C48" s="246"/>
      <c r="D48" s="246"/>
      <c r="E48" s="173"/>
      <c r="F48" s="246"/>
      <c r="G48" s="246"/>
      <c r="H48" s="84"/>
      <c r="I48" s="85"/>
      <c r="J48" s="174"/>
      <c r="K48" s="174"/>
      <c r="L48" s="58"/>
      <c r="M48" s="85"/>
      <c r="N48" s="85"/>
      <c r="O48" s="85"/>
      <c r="P48" s="86"/>
      <c r="Q48" s="86"/>
      <c r="R48" s="304"/>
      <c r="S48" s="264" t="s">
        <v>617</v>
      </c>
      <c r="T48" s="305"/>
    </row>
    <row r="49" spans="1:19" ht="30" customHeight="1">
      <c r="A49" s="72"/>
      <c r="B49" s="75"/>
      <c r="C49" s="72"/>
      <c r="D49" s="72"/>
      <c r="E49" s="73"/>
      <c r="F49" s="73"/>
      <c r="G49" s="73"/>
      <c r="H49" s="74"/>
      <c r="I49" s="75"/>
      <c r="J49" s="75"/>
      <c r="K49" s="75"/>
      <c r="L49" s="11">
        <f>SUBTOTAL(9,L3:L48)</f>
        <v>152400</v>
      </c>
      <c r="M49" s="76"/>
      <c r="N49" s="77"/>
      <c r="O49" s="76"/>
      <c r="P49" s="77"/>
      <c r="Q49" s="66">
        <f>SUBTOTAL(9,Q3:Q48)</f>
        <v>1790054990</v>
      </c>
      <c r="R49" s="74"/>
      <c r="S49" s="74"/>
    </row>
    <row r="50" spans="1:19" ht="21.95" customHeight="1">
      <c r="A50" s="4"/>
      <c r="B50" s="7"/>
      <c r="C50" s="4"/>
      <c r="D50" s="4"/>
      <c r="E50" s="5"/>
      <c r="F50" s="5"/>
      <c r="G50" s="5"/>
      <c r="H50" s="5"/>
      <c r="I50" s="7"/>
      <c r="J50" s="7"/>
      <c r="K50" s="7"/>
      <c r="L50" s="7"/>
      <c r="M50" s="7"/>
      <c r="N50" s="6"/>
      <c r="O50" s="6"/>
      <c r="P50" s="5"/>
      <c r="Q50" s="5"/>
      <c r="R50" s="5"/>
      <c r="S50" s="5"/>
    </row>
    <row r="51" spans="1:19" ht="21.95" customHeight="1">
      <c r="A51" s="4"/>
      <c r="B51" s="7"/>
      <c r="C51" s="4"/>
      <c r="D51" s="4"/>
      <c r="E51" s="5"/>
      <c r="F51" s="5"/>
      <c r="G51" s="5"/>
      <c r="H51" s="5"/>
      <c r="I51" s="7"/>
      <c r="J51" s="7"/>
      <c r="K51" s="7"/>
      <c r="L51" s="7"/>
      <c r="M51" s="7"/>
      <c r="N51" s="5"/>
      <c r="O51" s="5"/>
      <c r="P51" s="5"/>
      <c r="Q51" s="5"/>
      <c r="R51" s="5"/>
      <c r="S51" s="5" t="s">
        <v>297</v>
      </c>
    </row>
    <row r="52" spans="1:19" ht="21.95" customHeight="1">
      <c r="A52" s="4"/>
      <c r="B52" s="7"/>
      <c r="C52" s="4"/>
      <c r="D52" s="4"/>
      <c r="E52" s="5"/>
      <c r="F52" s="5"/>
      <c r="G52" s="5"/>
      <c r="H52" s="5"/>
      <c r="I52" s="7"/>
      <c r="J52" s="7"/>
      <c r="K52" s="7"/>
      <c r="L52" s="7"/>
      <c r="M52" s="7"/>
      <c r="N52" s="5"/>
      <c r="O52" s="5"/>
      <c r="P52" s="5"/>
      <c r="Q52" s="5"/>
      <c r="R52" s="5"/>
      <c r="S52" s="5"/>
    </row>
    <row r="53" spans="1:19" ht="21.95" customHeight="1">
      <c r="A53" s="4"/>
      <c r="B53" s="7"/>
      <c r="C53" s="4"/>
      <c r="D53" s="4"/>
      <c r="E53" s="5"/>
      <c r="F53" s="5"/>
      <c r="G53" s="5"/>
      <c r="H53" s="5"/>
      <c r="I53" s="7"/>
      <c r="J53" s="7"/>
      <c r="K53" s="7"/>
      <c r="L53" s="7"/>
      <c r="M53" s="7"/>
      <c r="N53" s="7"/>
      <c r="O53" s="5"/>
      <c r="P53" s="7"/>
      <c r="Q53" s="7"/>
      <c r="R53" s="5"/>
    </row>
    <row r="54" spans="1:19" ht="21.95" customHeight="1">
      <c r="A54" s="4"/>
      <c r="B54" s="7"/>
      <c r="C54" s="4"/>
      <c r="D54" s="4"/>
      <c r="E54" s="5"/>
      <c r="F54" s="5"/>
      <c r="G54" s="5"/>
      <c r="H54" s="5"/>
      <c r="I54" s="7"/>
      <c r="J54" s="7"/>
      <c r="K54" s="7"/>
      <c r="L54" s="7"/>
      <c r="M54" s="7"/>
      <c r="N54" s="7"/>
      <c r="O54" s="5"/>
      <c r="P54" s="5"/>
      <c r="Q54" s="5"/>
      <c r="R54" s="5"/>
    </row>
    <row r="55" spans="1:19" ht="21.95" customHeight="1">
      <c r="A55" s="4"/>
      <c r="B55" s="7"/>
      <c r="C55" s="4"/>
      <c r="D55" s="4"/>
      <c r="E55" s="5"/>
      <c r="F55" s="5"/>
      <c r="G55" s="5"/>
      <c r="H55" s="5"/>
      <c r="I55" s="7"/>
      <c r="J55" s="7"/>
      <c r="K55" s="7"/>
      <c r="L55" s="7"/>
      <c r="M55" s="7"/>
      <c r="N55" s="5"/>
      <c r="O55" s="5"/>
      <c r="P55" s="5"/>
      <c r="Q55" s="5"/>
      <c r="S55" s="5"/>
    </row>
    <row r="56" spans="1:19" ht="21.95" customHeight="1">
      <c r="A56" s="4"/>
      <c r="B56" s="7"/>
      <c r="C56" s="4"/>
      <c r="D56" s="4"/>
      <c r="E56" s="5"/>
      <c r="F56" s="5"/>
      <c r="G56" s="5"/>
      <c r="H56" s="5"/>
      <c r="I56" s="7"/>
      <c r="J56" s="7"/>
      <c r="K56" s="7"/>
      <c r="L56" s="7"/>
      <c r="M56" s="7"/>
      <c r="N56" s="5"/>
      <c r="O56" s="5"/>
      <c r="P56" s="5"/>
      <c r="Q56" s="7"/>
      <c r="R56" s="5"/>
      <c r="S56" s="5"/>
    </row>
    <row r="57" spans="1:19" ht="21.95" customHeight="1">
      <c r="A57" s="4"/>
      <c r="B57" s="7"/>
      <c r="C57" s="4"/>
      <c r="D57" s="4"/>
      <c r="E57" s="5"/>
      <c r="F57" s="5"/>
      <c r="G57" s="5"/>
      <c r="H57" s="5"/>
      <c r="I57" s="7"/>
      <c r="J57" s="7"/>
      <c r="K57" s="7"/>
      <c r="L57" s="7"/>
      <c r="M57" s="7"/>
      <c r="N57" s="5"/>
      <c r="O57" s="5"/>
      <c r="P57" s="5"/>
      <c r="Q57" s="5"/>
      <c r="R57" s="5"/>
      <c r="S57" s="5"/>
    </row>
    <row r="58" spans="1:19" ht="21.95" customHeight="1">
      <c r="A58" s="4"/>
      <c r="B58" s="7"/>
      <c r="C58" s="4"/>
      <c r="D58" s="4"/>
      <c r="E58" s="5"/>
      <c r="F58" s="5"/>
      <c r="G58" s="5"/>
      <c r="H58" s="5"/>
      <c r="I58" s="7"/>
      <c r="J58" s="7"/>
      <c r="K58" s="7"/>
      <c r="L58" s="7"/>
      <c r="M58" s="7"/>
      <c r="N58" s="5"/>
      <c r="O58" s="5"/>
      <c r="P58" s="5"/>
      <c r="Q58" s="5"/>
      <c r="R58" s="5"/>
      <c r="S58" s="5"/>
    </row>
    <row r="59" spans="1:19" ht="21.95" customHeight="1">
      <c r="A59" s="4"/>
      <c r="B59" s="7"/>
      <c r="C59" s="4"/>
      <c r="D59" s="4"/>
      <c r="E59" s="5"/>
      <c r="F59" s="5"/>
      <c r="G59" s="5"/>
      <c r="H59" s="5"/>
      <c r="I59" s="7"/>
      <c r="J59" s="7"/>
      <c r="K59" s="7"/>
      <c r="L59" s="7"/>
      <c r="M59" s="7"/>
      <c r="N59" s="5"/>
      <c r="O59" s="5"/>
      <c r="P59" s="5"/>
      <c r="Q59" s="5"/>
      <c r="R59" s="5"/>
      <c r="S59" s="5"/>
    </row>
    <row r="60" spans="1:19" ht="21.95" customHeight="1">
      <c r="A60" s="4"/>
      <c r="B60" s="7"/>
      <c r="C60" s="4"/>
      <c r="D60" s="4"/>
      <c r="E60" s="5"/>
      <c r="F60" s="5"/>
      <c r="G60" s="5"/>
      <c r="H60" s="5"/>
      <c r="I60" s="7"/>
      <c r="J60" s="7"/>
      <c r="K60" s="7"/>
      <c r="L60" s="7"/>
      <c r="M60" s="7"/>
      <c r="N60" s="5"/>
      <c r="O60" s="5"/>
      <c r="P60" s="5"/>
      <c r="Q60" s="5"/>
      <c r="R60" s="5"/>
      <c r="S60" s="5"/>
    </row>
    <row r="61" spans="1:19" ht="21.95" customHeight="1">
      <c r="A61" s="4"/>
      <c r="B61" s="7"/>
      <c r="C61" s="4"/>
      <c r="D61" s="4"/>
      <c r="E61" s="5"/>
      <c r="F61" s="5"/>
      <c r="G61" s="5"/>
      <c r="H61" s="5"/>
      <c r="I61" s="7"/>
      <c r="J61" s="7"/>
      <c r="K61" s="7"/>
      <c r="L61" s="7"/>
      <c r="M61" s="7"/>
      <c r="N61" s="5"/>
      <c r="O61" s="5"/>
      <c r="P61" s="5"/>
      <c r="Q61" s="5"/>
      <c r="R61" s="5"/>
      <c r="S61" s="5"/>
    </row>
    <row r="62" spans="1:19" ht="21.95" customHeight="1">
      <c r="A62" s="4"/>
      <c r="B62" s="7"/>
      <c r="C62" s="4"/>
      <c r="D62" s="4"/>
      <c r="E62" s="5"/>
      <c r="F62" s="5"/>
      <c r="G62" s="5"/>
      <c r="H62" s="5"/>
      <c r="I62" s="7"/>
      <c r="J62" s="7"/>
      <c r="K62" s="7"/>
      <c r="L62" s="7"/>
      <c r="M62" s="7"/>
      <c r="N62" s="5"/>
      <c r="O62" s="5"/>
      <c r="P62" s="5"/>
      <c r="Q62" s="5"/>
      <c r="R62" s="5"/>
      <c r="S62" s="5"/>
    </row>
    <row r="63" spans="1:19" ht="21.95" customHeight="1">
      <c r="A63" s="4"/>
      <c r="B63" s="81"/>
      <c r="C63" s="4"/>
      <c r="D63" s="4"/>
      <c r="E63" s="5"/>
      <c r="F63" s="5"/>
      <c r="G63" s="5"/>
      <c r="H63" s="5"/>
      <c r="I63" s="7"/>
      <c r="J63" s="7"/>
      <c r="K63" s="7"/>
      <c r="L63" s="7"/>
      <c r="M63" s="7"/>
      <c r="N63" s="5"/>
      <c r="O63" s="5"/>
      <c r="P63" s="5"/>
      <c r="Q63" s="5"/>
      <c r="R63" s="5"/>
      <c r="S63" s="5"/>
    </row>
    <row r="64" spans="1:19" ht="21.95" customHeight="1">
      <c r="A64" s="4"/>
      <c r="B64" s="7"/>
      <c r="C64" s="4"/>
      <c r="D64" s="4"/>
      <c r="E64" s="5"/>
      <c r="F64" s="5"/>
      <c r="G64" s="5"/>
      <c r="H64" s="5"/>
      <c r="I64" s="7"/>
      <c r="J64" s="7"/>
      <c r="K64" s="7"/>
      <c r="L64" s="7"/>
      <c r="M64" s="7"/>
      <c r="N64" s="5"/>
      <c r="O64" s="5"/>
      <c r="P64" s="5"/>
      <c r="Q64" s="5"/>
      <c r="R64" s="5"/>
      <c r="S64" s="5"/>
    </row>
    <row r="65" spans="1:19" ht="21.95" customHeight="1">
      <c r="A65" s="4"/>
      <c r="B65" s="7"/>
      <c r="C65" s="4"/>
      <c r="D65" s="4"/>
      <c r="E65" s="5"/>
      <c r="F65" s="5"/>
      <c r="G65" s="5"/>
      <c r="H65" s="5"/>
      <c r="I65" s="7"/>
      <c r="J65" s="7"/>
      <c r="K65" s="7"/>
      <c r="L65" s="7"/>
      <c r="M65" s="7"/>
      <c r="N65" s="5"/>
      <c r="O65" s="5"/>
      <c r="P65" s="5"/>
      <c r="Q65" s="5"/>
      <c r="R65" s="5"/>
      <c r="S65" s="5"/>
    </row>
    <row r="66" spans="1:19" ht="21.95" customHeight="1">
      <c r="A66" s="4"/>
      <c r="B66" s="7"/>
      <c r="C66" s="4"/>
      <c r="D66" s="4"/>
      <c r="E66" s="5"/>
      <c r="F66" s="5"/>
      <c r="G66" s="5"/>
      <c r="H66" s="5"/>
      <c r="I66" s="7"/>
      <c r="J66" s="7"/>
      <c r="K66" s="7"/>
      <c r="L66" s="7"/>
      <c r="M66" s="7"/>
      <c r="N66" s="5"/>
      <c r="O66" s="5"/>
      <c r="P66" s="5"/>
      <c r="Q66" s="5"/>
      <c r="R66" s="5"/>
      <c r="S66" s="5"/>
    </row>
    <row r="67" spans="1:19" ht="21.95" customHeight="1">
      <c r="A67" s="4"/>
      <c r="B67" s="7"/>
      <c r="C67" s="4"/>
      <c r="D67" s="4"/>
      <c r="E67" s="5"/>
      <c r="F67" s="5"/>
      <c r="G67" s="5"/>
      <c r="H67" s="5"/>
      <c r="I67" s="7"/>
      <c r="J67" s="7"/>
      <c r="K67" s="7"/>
      <c r="L67" s="7"/>
      <c r="M67" s="7"/>
      <c r="N67" s="5"/>
      <c r="O67" s="5"/>
      <c r="P67" s="5"/>
      <c r="Q67" s="5"/>
      <c r="R67" s="5"/>
      <c r="S67" s="5"/>
    </row>
    <row r="68" spans="1:19" ht="21.95" customHeight="1">
      <c r="A68" s="4"/>
      <c r="B68" s="7"/>
      <c r="C68" s="4"/>
      <c r="D68" s="4"/>
      <c r="E68" s="5"/>
      <c r="F68" s="5"/>
      <c r="G68" s="5"/>
      <c r="H68" s="5"/>
      <c r="I68" s="7"/>
      <c r="J68" s="7"/>
      <c r="K68" s="7"/>
      <c r="L68" s="7"/>
      <c r="M68" s="7"/>
      <c r="N68" s="5"/>
      <c r="O68" s="5"/>
      <c r="P68" s="5"/>
      <c r="Q68" s="5"/>
      <c r="R68" s="5"/>
      <c r="S68" s="5"/>
    </row>
    <row r="69" spans="1:19" ht="21.95" customHeight="1">
      <c r="A69" s="4"/>
      <c r="B69" s="7"/>
      <c r="C69" s="4"/>
      <c r="D69" s="4"/>
      <c r="E69" s="5"/>
      <c r="F69" s="5"/>
      <c r="G69" s="5"/>
      <c r="H69" s="5"/>
      <c r="I69" s="7"/>
      <c r="J69" s="7"/>
      <c r="K69" s="7"/>
      <c r="L69" s="7"/>
      <c r="M69" s="7"/>
      <c r="N69" s="5"/>
      <c r="O69" s="5"/>
      <c r="P69" s="5"/>
      <c r="Q69" s="5"/>
      <c r="R69" s="5"/>
      <c r="S69" s="5"/>
    </row>
    <row r="70" spans="1:19" ht="21.95" customHeight="1">
      <c r="A70" s="4"/>
      <c r="B70" s="7"/>
      <c r="C70" s="4"/>
      <c r="D70" s="4"/>
      <c r="E70" s="5"/>
      <c r="F70" s="5"/>
      <c r="G70" s="5"/>
      <c r="H70" s="5"/>
      <c r="I70" s="7"/>
      <c r="J70" s="7"/>
      <c r="K70" s="7"/>
      <c r="L70" s="7"/>
      <c r="M70" s="7"/>
      <c r="N70" s="5"/>
      <c r="O70" s="5"/>
      <c r="P70" s="5"/>
      <c r="Q70" s="5"/>
      <c r="R70" s="5"/>
      <c r="S70" s="5"/>
    </row>
    <row r="71" spans="1:19" ht="21.95" customHeight="1">
      <c r="A71" s="4"/>
      <c r="B71" s="7"/>
      <c r="C71" s="4"/>
      <c r="D71" s="4"/>
      <c r="E71" s="5"/>
      <c r="F71" s="5"/>
      <c r="G71" s="5"/>
      <c r="H71" s="5"/>
      <c r="I71" s="7"/>
      <c r="J71" s="7"/>
      <c r="K71" s="7"/>
      <c r="L71" s="7"/>
      <c r="M71" s="7"/>
      <c r="N71" s="5"/>
      <c r="O71" s="5"/>
      <c r="P71" s="5"/>
      <c r="Q71" s="5"/>
      <c r="R71" s="5"/>
      <c r="S71" s="5"/>
    </row>
    <row r="72" spans="1:19" ht="21.95" customHeight="1">
      <c r="A72" s="4"/>
      <c r="B72" s="7"/>
      <c r="C72" s="4"/>
      <c r="D72" s="4"/>
      <c r="E72" s="5"/>
      <c r="F72" s="5"/>
      <c r="G72" s="5"/>
      <c r="H72" s="5"/>
      <c r="I72" s="7"/>
      <c r="J72" s="7"/>
      <c r="K72" s="7"/>
      <c r="L72" s="7"/>
      <c r="M72" s="7"/>
      <c r="N72" s="5"/>
      <c r="O72" s="5"/>
      <c r="P72" s="5"/>
      <c r="Q72" s="5"/>
      <c r="R72" s="5"/>
      <c r="S72" s="5"/>
    </row>
    <row r="73" spans="1:19" ht="21.95" customHeight="1">
      <c r="A73" s="4"/>
      <c r="B73" s="7"/>
      <c r="C73" s="4"/>
      <c r="D73" s="4"/>
      <c r="E73" s="5"/>
      <c r="F73" s="5"/>
      <c r="G73" s="5"/>
      <c r="H73" s="5"/>
      <c r="I73" s="7"/>
      <c r="J73" s="7"/>
      <c r="K73" s="7"/>
      <c r="L73" s="7"/>
      <c r="M73" s="7"/>
      <c r="N73" s="5"/>
      <c r="O73" s="5"/>
      <c r="P73" s="5"/>
      <c r="Q73" s="5"/>
      <c r="R73" s="5"/>
      <c r="S73" s="5"/>
    </row>
    <row r="74" spans="1:19" ht="21.95" customHeight="1">
      <c r="A74" s="4"/>
      <c r="B74" s="7"/>
      <c r="C74" s="4"/>
      <c r="D74" s="4"/>
      <c r="E74" s="5"/>
      <c r="F74" s="5"/>
      <c r="G74" s="5"/>
      <c r="H74" s="5"/>
      <c r="I74" s="7"/>
      <c r="J74" s="7"/>
      <c r="K74" s="7"/>
      <c r="L74" s="7"/>
      <c r="M74" s="7"/>
      <c r="N74" s="5"/>
      <c r="O74" s="5"/>
      <c r="P74" s="5"/>
      <c r="Q74" s="5"/>
      <c r="R74" s="5"/>
      <c r="S74" s="5"/>
    </row>
    <row r="75" spans="1:19" ht="21.95" customHeight="1">
      <c r="A75" s="4"/>
      <c r="B75" s="7"/>
      <c r="C75" s="4"/>
      <c r="D75" s="4"/>
      <c r="E75" s="5"/>
      <c r="F75" s="5"/>
      <c r="G75" s="5"/>
      <c r="H75" s="5"/>
      <c r="I75" s="7"/>
      <c r="J75" s="7"/>
      <c r="K75" s="7"/>
      <c r="L75" s="7"/>
      <c r="M75" s="7"/>
      <c r="N75" s="5"/>
      <c r="O75" s="5"/>
      <c r="P75" s="5"/>
      <c r="Q75" s="5"/>
      <c r="R75" s="5"/>
      <c r="S75" s="5"/>
    </row>
    <row r="76" spans="1:19" ht="21.95" customHeight="1">
      <c r="A76" s="4"/>
      <c r="B76" s="7"/>
      <c r="C76" s="4"/>
      <c r="D76" s="4"/>
      <c r="E76" s="5"/>
      <c r="F76" s="5"/>
      <c r="G76" s="5"/>
      <c r="H76" s="5"/>
      <c r="I76" s="7"/>
      <c r="J76" s="7"/>
      <c r="K76" s="7"/>
      <c r="L76" s="7"/>
      <c r="M76" s="7"/>
      <c r="N76" s="5"/>
      <c r="O76" s="5"/>
      <c r="P76" s="5"/>
      <c r="Q76" s="5"/>
      <c r="R76" s="5"/>
      <c r="S76" s="5"/>
    </row>
    <row r="77" spans="1:19" ht="21.95" customHeight="1">
      <c r="A77" s="4"/>
      <c r="B77" s="7"/>
      <c r="C77" s="4"/>
      <c r="D77" s="4"/>
      <c r="E77" s="5"/>
      <c r="F77" s="5"/>
      <c r="G77" s="5"/>
      <c r="H77" s="5"/>
      <c r="I77" s="7"/>
      <c r="J77" s="7"/>
      <c r="K77" s="7"/>
      <c r="L77" s="7"/>
      <c r="M77" s="7"/>
      <c r="N77" s="5"/>
      <c r="O77" s="5"/>
      <c r="P77" s="5"/>
      <c r="Q77" s="5"/>
      <c r="R77" s="5"/>
      <c r="S77" s="5"/>
    </row>
    <row r="78" spans="1:19">
      <c r="A78" s="4"/>
      <c r="B78" s="7"/>
      <c r="C78" s="4"/>
      <c r="D78" s="4"/>
      <c r="E78" s="5"/>
      <c r="F78" s="5"/>
      <c r="G78" s="5"/>
      <c r="H78" s="5"/>
      <c r="I78" s="7"/>
      <c r="J78" s="7"/>
      <c r="K78" s="7"/>
      <c r="L78" s="7"/>
      <c r="M78" s="7"/>
      <c r="N78" s="5"/>
      <c r="O78" s="5"/>
      <c r="P78" s="5"/>
      <c r="Q78" s="5"/>
      <c r="R78" s="5"/>
      <c r="S78" s="5"/>
    </row>
    <row r="79" spans="1:19">
      <c r="A79" s="4"/>
      <c r="B79" s="7"/>
      <c r="C79" s="4"/>
      <c r="D79" s="4"/>
      <c r="E79" s="5"/>
      <c r="F79" s="5"/>
      <c r="G79" s="5"/>
      <c r="H79" s="5"/>
      <c r="I79" s="7"/>
      <c r="J79" s="7"/>
      <c r="K79" s="7"/>
      <c r="L79" s="7"/>
      <c r="M79" s="7"/>
      <c r="N79" s="5"/>
      <c r="O79" s="5"/>
      <c r="P79" s="5"/>
      <c r="Q79" s="5"/>
      <c r="R79" s="5"/>
      <c r="S79" s="5"/>
    </row>
    <row r="80" spans="1:19">
      <c r="A80" s="4"/>
      <c r="B80" s="7"/>
      <c r="C80" s="4"/>
      <c r="D80" s="4"/>
      <c r="E80" s="5"/>
      <c r="F80" s="5"/>
      <c r="G80" s="5"/>
      <c r="H80" s="5"/>
      <c r="I80" s="7"/>
      <c r="J80" s="7"/>
      <c r="K80" s="7"/>
      <c r="L80" s="7"/>
      <c r="M80" s="7"/>
      <c r="N80" s="5"/>
      <c r="O80" s="5"/>
      <c r="P80" s="5"/>
      <c r="Q80" s="5"/>
      <c r="R80" s="5"/>
      <c r="S80" s="5"/>
    </row>
    <row r="81" spans="1:19">
      <c r="A81" s="4"/>
      <c r="B81" s="7"/>
      <c r="C81" s="4"/>
      <c r="D81" s="4"/>
      <c r="E81" s="5"/>
      <c r="F81" s="5"/>
      <c r="G81" s="5"/>
      <c r="H81" s="5"/>
      <c r="I81" s="7"/>
      <c r="J81" s="7"/>
      <c r="K81" s="7"/>
      <c r="L81" s="7"/>
      <c r="M81" s="7"/>
      <c r="N81" s="5"/>
      <c r="O81" s="5"/>
      <c r="P81" s="5"/>
      <c r="Q81" s="5"/>
      <c r="R81" s="5"/>
      <c r="S81" s="5"/>
    </row>
    <row r="82" spans="1:19">
      <c r="A82" s="4"/>
      <c r="B82" s="7"/>
      <c r="C82" s="4"/>
      <c r="D82" s="4"/>
      <c r="E82" s="5"/>
      <c r="F82" s="5"/>
      <c r="G82" s="5"/>
      <c r="H82" s="5"/>
      <c r="I82" s="7"/>
      <c r="J82" s="7"/>
      <c r="K82" s="7"/>
      <c r="L82" s="7"/>
      <c r="M82" s="7"/>
      <c r="N82" s="5"/>
      <c r="O82" s="5"/>
      <c r="P82" s="5"/>
      <c r="Q82" s="5"/>
      <c r="R82" s="5"/>
      <c r="S82" s="5"/>
    </row>
    <row r="83" spans="1:19">
      <c r="A83" s="4"/>
      <c r="B83" s="7"/>
      <c r="C83" s="4"/>
      <c r="D83" s="4"/>
      <c r="E83" s="5"/>
      <c r="F83" s="5"/>
      <c r="G83" s="5"/>
      <c r="H83" s="5"/>
      <c r="I83" s="7"/>
      <c r="J83" s="7"/>
      <c r="K83" s="7"/>
      <c r="L83" s="7"/>
      <c r="M83" s="7"/>
      <c r="N83" s="5"/>
      <c r="O83" s="5"/>
      <c r="P83" s="5"/>
      <c r="Q83" s="5"/>
      <c r="R83" s="5"/>
      <c r="S83" s="5"/>
    </row>
    <row r="84" spans="1:19">
      <c r="A84" s="4"/>
      <c r="B84" s="7"/>
      <c r="C84" s="4"/>
      <c r="D84" s="4"/>
      <c r="E84" s="5"/>
      <c r="F84" s="5"/>
      <c r="G84" s="5"/>
      <c r="H84" s="5"/>
      <c r="I84" s="7"/>
      <c r="J84" s="7"/>
      <c r="K84" s="7"/>
      <c r="L84" s="7"/>
      <c r="M84" s="7"/>
      <c r="N84" s="5"/>
      <c r="O84" s="5"/>
      <c r="P84" s="5"/>
      <c r="Q84" s="5"/>
      <c r="R84" s="5"/>
      <c r="S84" s="5"/>
    </row>
    <row r="85" spans="1:19">
      <c r="A85" s="4"/>
      <c r="B85" s="7"/>
      <c r="C85" s="4"/>
      <c r="D85" s="4"/>
      <c r="E85" s="5"/>
      <c r="F85" s="5"/>
      <c r="G85" s="5"/>
      <c r="H85" s="5"/>
      <c r="I85" s="7"/>
      <c r="J85" s="7"/>
      <c r="K85" s="7"/>
      <c r="L85" s="7"/>
      <c r="M85" s="7"/>
      <c r="N85" s="5"/>
      <c r="O85" s="5"/>
      <c r="P85" s="5"/>
      <c r="Q85" s="5"/>
      <c r="R85" s="5"/>
      <c r="S85" s="5"/>
    </row>
    <row r="86" spans="1:19">
      <c r="A86" s="4"/>
      <c r="B86" s="7"/>
      <c r="C86" s="4"/>
      <c r="D86" s="4"/>
      <c r="E86" s="5"/>
      <c r="F86" s="5"/>
      <c r="G86" s="5"/>
      <c r="H86" s="5"/>
      <c r="I86" s="7"/>
      <c r="J86" s="7"/>
      <c r="K86" s="7"/>
      <c r="L86" s="7"/>
      <c r="M86" s="7"/>
      <c r="N86" s="5"/>
      <c r="O86" s="5"/>
      <c r="P86" s="5"/>
      <c r="Q86" s="5"/>
      <c r="R86" s="5"/>
      <c r="S86" s="5"/>
    </row>
    <row r="87" spans="1:19">
      <c r="A87" s="4"/>
      <c r="B87" s="7"/>
      <c r="C87" s="4"/>
      <c r="D87" s="4"/>
      <c r="E87" s="5"/>
      <c r="F87" s="5"/>
      <c r="G87" s="5"/>
      <c r="H87" s="5"/>
      <c r="I87" s="7"/>
      <c r="J87" s="7"/>
      <c r="K87" s="7"/>
      <c r="L87" s="7"/>
      <c r="M87" s="7"/>
      <c r="N87" s="5"/>
      <c r="O87" s="5"/>
      <c r="P87" s="5"/>
      <c r="Q87" s="5"/>
      <c r="R87" s="5"/>
      <c r="S87" s="5"/>
    </row>
    <row r="88" spans="1:19">
      <c r="A88" s="4"/>
      <c r="B88" s="7"/>
      <c r="C88" s="4"/>
      <c r="D88" s="4"/>
      <c r="E88" s="5"/>
      <c r="F88" s="5"/>
      <c r="G88" s="5"/>
      <c r="H88" s="5"/>
      <c r="I88" s="7"/>
      <c r="J88" s="7"/>
      <c r="K88" s="7"/>
      <c r="L88" s="7"/>
      <c r="M88" s="7"/>
      <c r="N88" s="5"/>
      <c r="O88" s="5"/>
      <c r="P88" s="5"/>
      <c r="Q88" s="5"/>
      <c r="R88" s="5"/>
      <c r="S88" s="5"/>
    </row>
    <row r="89" spans="1:19">
      <c r="A89" s="4"/>
      <c r="B89" s="7"/>
      <c r="C89" s="4"/>
      <c r="D89" s="4"/>
      <c r="E89" s="5"/>
      <c r="F89" s="5"/>
      <c r="G89" s="5"/>
      <c r="H89" s="5"/>
      <c r="I89" s="7"/>
      <c r="J89" s="7"/>
      <c r="K89" s="7"/>
      <c r="L89" s="7"/>
      <c r="M89" s="7"/>
      <c r="N89" s="5"/>
      <c r="O89" s="5"/>
      <c r="P89" s="5"/>
      <c r="Q89" s="5"/>
      <c r="R89" s="5"/>
      <c r="S89" s="5"/>
    </row>
    <row r="90" spans="1:19">
      <c r="A90" s="4"/>
      <c r="B90" s="7"/>
      <c r="C90" s="4"/>
      <c r="D90" s="4"/>
      <c r="E90" s="5"/>
      <c r="F90" s="5"/>
      <c r="G90" s="5"/>
      <c r="H90" s="5"/>
      <c r="I90" s="7"/>
      <c r="J90" s="7"/>
      <c r="K90" s="7"/>
      <c r="L90" s="7"/>
      <c r="M90" s="7"/>
      <c r="N90" s="5"/>
      <c r="O90" s="5"/>
      <c r="P90" s="5"/>
      <c r="Q90" s="5"/>
      <c r="R90" s="5"/>
      <c r="S90" s="5"/>
    </row>
    <row r="91" spans="1:19">
      <c r="A91" s="4"/>
      <c r="B91" s="7"/>
      <c r="C91" s="4"/>
      <c r="D91" s="4"/>
      <c r="E91" s="5"/>
      <c r="F91" s="5"/>
      <c r="G91" s="5"/>
      <c r="H91" s="5"/>
      <c r="I91" s="7"/>
      <c r="J91" s="7"/>
      <c r="K91" s="7"/>
      <c r="L91" s="7"/>
      <c r="M91" s="7"/>
      <c r="N91" s="5"/>
      <c r="O91" s="5"/>
      <c r="P91" s="5"/>
      <c r="Q91" s="5"/>
      <c r="R91" s="5"/>
      <c r="S91" s="5"/>
    </row>
    <row r="92" spans="1:19">
      <c r="A92" s="4"/>
      <c r="B92" s="7"/>
      <c r="C92" s="4"/>
      <c r="D92" s="4"/>
      <c r="E92" s="5"/>
      <c r="F92" s="5"/>
      <c r="G92" s="5"/>
      <c r="H92" s="5"/>
      <c r="I92" s="7"/>
      <c r="J92" s="7"/>
      <c r="K92" s="7"/>
      <c r="L92" s="7"/>
      <c r="M92" s="7"/>
      <c r="N92" s="5"/>
      <c r="O92" s="5"/>
      <c r="P92" s="5"/>
      <c r="Q92" s="5"/>
      <c r="R92" s="5"/>
      <c r="S92" s="5"/>
    </row>
    <row r="93" spans="1:19">
      <c r="A93" s="4"/>
      <c r="B93" s="7"/>
      <c r="C93" s="4"/>
      <c r="D93" s="4"/>
      <c r="E93" s="5"/>
      <c r="F93" s="5"/>
      <c r="G93" s="5"/>
      <c r="H93" s="5"/>
      <c r="I93" s="7"/>
      <c r="J93" s="7"/>
      <c r="K93" s="7"/>
      <c r="L93" s="7"/>
      <c r="M93" s="7"/>
      <c r="N93" s="5"/>
      <c r="O93" s="5"/>
      <c r="P93" s="5"/>
      <c r="Q93" s="5"/>
      <c r="R93" s="5"/>
      <c r="S93" s="5"/>
    </row>
    <row r="94" spans="1:19">
      <c r="A94" s="4"/>
      <c r="B94" s="7"/>
      <c r="C94" s="4"/>
      <c r="D94" s="4"/>
      <c r="E94" s="5"/>
      <c r="F94" s="5"/>
      <c r="G94" s="5"/>
      <c r="H94" s="5"/>
      <c r="I94" s="7"/>
      <c r="J94" s="7"/>
      <c r="K94" s="7"/>
      <c r="L94" s="7"/>
      <c r="M94" s="7"/>
      <c r="N94" s="5"/>
      <c r="O94" s="5"/>
      <c r="P94" s="5"/>
      <c r="Q94" s="5"/>
      <c r="R94" s="5"/>
      <c r="S94" s="5"/>
    </row>
    <row r="95" spans="1:19">
      <c r="A95" s="4"/>
      <c r="B95" s="7"/>
      <c r="C95" s="4"/>
      <c r="D95" s="4"/>
      <c r="E95" s="5"/>
      <c r="F95" s="5"/>
      <c r="G95" s="5"/>
      <c r="H95" s="5"/>
      <c r="I95" s="7"/>
      <c r="J95" s="7"/>
      <c r="K95" s="7"/>
      <c r="L95" s="7"/>
      <c r="M95" s="7"/>
      <c r="N95" s="5"/>
      <c r="O95" s="5"/>
      <c r="P95" s="5"/>
      <c r="Q95" s="5"/>
      <c r="R95" s="5"/>
      <c r="S95" s="5"/>
    </row>
    <row r="96" spans="1:19">
      <c r="A96" s="4"/>
      <c r="B96" s="7"/>
      <c r="C96" s="4"/>
      <c r="D96" s="4"/>
      <c r="E96" s="5"/>
      <c r="F96" s="5"/>
      <c r="G96" s="5"/>
      <c r="H96" s="5"/>
      <c r="I96" s="7"/>
      <c r="J96" s="7"/>
      <c r="K96" s="7"/>
      <c r="L96" s="7"/>
      <c r="M96" s="7"/>
      <c r="N96" s="5"/>
      <c r="O96" s="5"/>
      <c r="P96" s="5"/>
      <c r="Q96" s="5"/>
      <c r="R96" s="5"/>
      <c r="S96" s="5"/>
    </row>
    <row r="97" spans="1:19">
      <c r="A97" s="4"/>
      <c r="B97" s="7"/>
      <c r="C97" s="4"/>
      <c r="D97" s="4"/>
      <c r="E97" s="5"/>
      <c r="F97" s="5"/>
      <c r="G97" s="5"/>
      <c r="H97" s="5"/>
      <c r="I97" s="7"/>
      <c r="J97" s="7"/>
      <c r="K97" s="7"/>
      <c r="L97" s="7"/>
      <c r="M97" s="7"/>
      <c r="N97" s="5"/>
      <c r="O97" s="5"/>
      <c r="P97" s="5"/>
      <c r="Q97" s="5"/>
      <c r="R97" s="5"/>
      <c r="S97" s="5"/>
    </row>
  </sheetData>
  <autoFilter ref="A2:S49" xr:uid="{B495C380-3747-43B0-B226-858EE8B124DE}"/>
  <mergeCells count="17">
    <mergeCell ref="T30:T33"/>
    <mergeCell ref="A3:A14"/>
    <mergeCell ref="E3:E14"/>
    <mergeCell ref="B3:B14"/>
    <mergeCell ref="T3:T14"/>
    <mergeCell ref="R3:R13"/>
    <mergeCell ref="T15:T29"/>
    <mergeCell ref="R30:R33"/>
    <mergeCell ref="R15:R18"/>
    <mergeCell ref="R19:R22"/>
    <mergeCell ref="R24:R29"/>
    <mergeCell ref="T34:T38"/>
    <mergeCell ref="R39:R40"/>
    <mergeCell ref="R34:R38"/>
    <mergeCell ref="R41:R44"/>
    <mergeCell ref="R45:R46"/>
    <mergeCell ref="T39:T4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F4F99-2F9E-44F6-B7FA-0D34862188B3}">
  <sheetPr>
    <tabColor rgb="FFFFFF00"/>
    <pageSetUpPr fitToPage="1"/>
  </sheetPr>
  <dimension ref="A1:U181"/>
  <sheetViews>
    <sheetView zoomScale="80" zoomScaleNormal="80" workbookViewId="0">
      <pane ySplit="2" topLeftCell="A103" activePane="bottomLeft" state="frozen"/>
      <selection activeCell="L218" sqref="L218"/>
      <selection pane="bottomLeft" activeCell="B918" sqref="B918"/>
    </sheetView>
  </sheetViews>
  <sheetFormatPr defaultRowHeight="16.5" outlineLevelCol="1"/>
  <cols>
    <col min="1" max="1" width="15.125" style="3" bestFit="1" customWidth="1"/>
    <col min="2" max="2" width="17.375" style="2" customWidth="1"/>
    <col min="3" max="3" width="8.125" style="3" customWidth="1"/>
    <col min="4" max="4" width="13.125" style="3" bestFit="1" customWidth="1"/>
    <col min="5" max="5" width="15.75" style="10" customWidth="1"/>
    <col min="6" max="6" width="15.125" style="10" hidden="1" customWidth="1" outlineLevel="1"/>
    <col min="7" max="7" width="15.75" style="10" hidden="1" customWidth="1" outlineLevel="1"/>
    <col min="8" max="8" width="15.5" style="10" customWidth="1" collapsed="1"/>
    <col min="9" max="9" width="15.75" style="2" customWidth="1"/>
    <col min="10" max="11" width="15.75" style="2" customWidth="1" outlineLevel="1"/>
    <col min="12" max="12" width="15.75" style="2" customWidth="1"/>
    <col min="13" max="13" width="17" style="2" customWidth="1"/>
    <col min="14" max="14" width="13.75" style="10" customWidth="1"/>
    <col min="15" max="16" width="15.75" style="10" customWidth="1"/>
    <col min="17" max="17" width="18.75" style="10" customWidth="1"/>
    <col min="18" max="18" width="15.75" style="10" customWidth="1"/>
    <col min="19" max="19" width="30.875" style="10" customWidth="1"/>
    <col min="20" max="20" width="15.625" style="10" customWidth="1"/>
    <col min="21" max="21" width="9" style="10"/>
    <col min="22" max="22" width="10.625" style="10" bestFit="1" customWidth="1"/>
    <col min="23" max="16384" width="9" style="10"/>
  </cols>
  <sheetData>
    <row r="1" spans="1:21">
      <c r="A1" s="4"/>
      <c r="B1" s="7"/>
      <c r="C1" s="4"/>
      <c r="D1" s="4"/>
      <c r="E1" s="5"/>
      <c r="F1" s="5"/>
      <c r="G1" s="5"/>
      <c r="H1" s="5"/>
      <c r="I1" s="7"/>
      <c r="J1" s="7"/>
      <c r="K1" s="7"/>
      <c r="L1" s="7"/>
      <c r="M1" s="7"/>
      <c r="N1" s="6"/>
      <c r="O1" s="6"/>
      <c r="P1" s="5"/>
      <c r="Q1" s="5"/>
      <c r="R1" s="5"/>
      <c r="S1" s="5"/>
      <c r="T1" s="5"/>
    </row>
    <row r="2" spans="1:21" ht="30.75" customHeight="1">
      <c r="A2" s="78" t="s">
        <v>4</v>
      </c>
      <c r="B2" s="79" t="s">
        <v>391</v>
      </c>
      <c r="C2" s="78" t="s">
        <v>14</v>
      </c>
      <c r="D2" s="78" t="s">
        <v>13</v>
      </c>
      <c r="E2" s="78" t="s">
        <v>0</v>
      </c>
      <c r="F2" s="78" t="s">
        <v>249</v>
      </c>
      <c r="G2" s="78" t="s">
        <v>260</v>
      </c>
      <c r="H2" s="79" t="s">
        <v>1</v>
      </c>
      <c r="I2" s="79" t="s">
        <v>2</v>
      </c>
      <c r="J2" s="79" t="s">
        <v>80</v>
      </c>
      <c r="K2" s="79" t="s">
        <v>81</v>
      </c>
      <c r="L2" s="8" t="s">
        <v>9</v>
      </c>
      <c r="M2" s="67" t="s">
        <v>78</v>
      </c>
      <c r="N2" s="68" t="s">
        <v>79</v>
      </c>
      <c r="O2" s="69" t="s">
        <v>77</v>
      </c>
      <c r="P2" s="70" t="s">
        <v>7</v>
      </c>
      <c r="Q2" s="9" t="s">
        <v>8</v>
      </c>
      <c r="R2" s="78" t="s">
        <v>3</v>
      </c>
      <c r="S2" s="78" t="s">
        <v>10</v>
      </c>
      <c r="T2" s="80" t="s">
        <v>12</v>
      </c>
    </row>
    <row r="3" spans="1:21" ht="21.95" customHeight="1">
      <c r="A3" s="199">
        <v>45929</v>
      </c>
      <c r="B3" s="379" t="s">
        <v>34</v>
      </c>
      <c r="C3" s="199"/>
      <c r="D3" s="199"/>
      <c r="E3" s="183" t="s">
        <v>53</v>
      </c>
      <c r="F3" s="236"/>
      <c r="G3" s="236"/>
      <c r="H3" s="21" t="s">
        <v>54</v>
      </c>
      <c r="I3" s="22" t="s">
        <v>55</v>
      </c>
      <c r="J3" s="187">
        <v>14070</v>
      </c>
      <c r="K3" s="187">
        <v>23360</v>
      </c>
      <c r="L3" s="23">
        <f>K3-J3</f>
        <v>9290</v>
      </c>
      <c r="M3" s="22">
        <v>9350</v>
      </c>
      <c r="N3" s="22"/>
      <c r="O3" s="22">
        <v>9290</v>
      </c>
      <c r="P3" s="24">
        <v>365</v>
      </c>
      <c r="Q3" s="24">
        <f>P3*O3</f>
        <v>3390850</v>
      </c>
      <c r="R3" s="189" t="s">
        <v>5</v>
      </c>
      <c r="S3" s="71"/>
      <c r="T3" s="2012" t="s">
        <v>68</v>
      </c>
    </row>
    <row r="4" spans="1:21" ht="21.95" customHeight="1" thickBot="1">
      <c r="A4" s="200">
        <v>45929</v>
      </c>
      <c r="B4" s="381" t="s">
        <v>34</v>
      </c>
      <c r="C4" s="200"/>
      <c r="D4" s="200"/>
      <c r="E4" s="60" t="s">
        <v>53</v>
      </c>
      <c r="F4" s="237"/>
      <c r="G4" s="237"/>
      <c r="H4" s="61" t="s">
        <v>54</v>
      </c>
      <c r="I4" s="62" t="s">
        <v>55</v>
      </c>
      <c r="J4" s="63"/>
      <c r="K4" s="63"/>
      <c r="L4" s="64">
        <v>9580</v>
      </c>
      <c r="M4" s="62">
        <v>9580</v>
      </c>
      <c r="N4" s="62"/>
      <c r="O4" s="62">
        <v>9580</v>
      </c>
      <c r="P4" s="65">
        <v>365</v>
      </c>
      <c r="Q4" s="65">
        <f>P4*O4</f>
        <v>3496700</v>
      </c>
      <c r="R4" s="193" t="s">
        <v>5</v>
      </c>
      <c r="S4" s="192" t="s">
        <v>56</v>
      </c>
      <c r="T4" s="2019"/>
    </row>
    <row r="5" spans="1:21" ht="27">
      <c r="A5" s="567">
        <v>46147</v>
      </c>
      <c r="B5" s="569" t="s">
        <v>241</v>
      </c>
      <c r="C5" s="567" t="s">
        <v>440</v>
      </c>
      <c r="D5" s="153" t="s">
        <v>46</v>
      </c>
      <c r="E5" s="568" t="s">
        <v>53</v>
      </c>
      <c r="F5" s="568" t="s">
        <v>291</v>
      </c>
      <c r="G5" s="568" t="s">
        <v>292</v>
      </c>
      <c r="H5" s="551" t="s">
        <v>112</v>
      </c>
      <c r="I5" s="568" t="s">
        <v>119</v>
      </c>
      <c r="J5" s="569">
        <v>14220</v>
      </c>
      <c r="K5" s="569">
        <v>17620</v>
      </c>
      <c r="L5" s="296">
        <f t="shared" ref="L5:L26" si="0">K5-J5</f>
        <v>3400</v>
      </c>
      <c r="M5" s="561">
        <v>3370</v>
      </c>
      <c r="N5" s="561"/>
      <c r="O5" s="561">
        <f t="shared" ref="O5" si="1">L5</f>
        <v>3400</v>
      </c>
      <c r="P5" s="270">
        <v>420</v>
      </c>
      <c r="Q5" s="270">
        <f t="shared" ref="Q5" si="2">P5*O5</f>
        <v>1428000</v>
      </c>
      <c r="R5" s="551" t="s">
        <v>5</v>
      </c>
      <c r="S5" s="610" t="s">
        <v>458</v>
      </c>
      <c r="T5" s="566" t="s">
        <v>375</v>
      </c>
      <c r="U5" s="163"/>
    </row>
    <row r="6" spans="1:21" s="388" customFormat="1" ht="27">
      <c r="A6" s="680">
        <v>46155</v>
      </c>
      <c r="B6" s="678" t="s">
        <v>264</v>
      </c>
      <c r="C6" s="680" t="s">
        <v>440</v>
      </c>
      <c r="D6" s="138" t="s">
        <v>261</v>
      </c>
      <c r="E6" s="682" t="s">
        <v>441</v>
      </c>
      <c r="F6" s="682"/>
      <c r="G6" s="682"/>
      <c r="H6" s="662" t="s">
        <v>112</v>
      </c>
      <c r="I6" s="682" t="s">
        <v>272</v>
      </c>
      <c r="J6" s="678">
        <v>18700</v>
      </c>
      <c r="K6" s="678">
        <v>42920</v>
      </c>
      <c r="L6" s="249">
        <f t="shared" si="0"/>
        <v>24220</v>
      </c>
      <c r="M6" s="320">
        <v>24130</v>
      </c>
      <c r="N6" s="320"/>
      <c r="O6" s="320">
        <f>L6</f>
        <v>24220</v>
      </c>
      <c r="P6" s="137">
        <v>480</v>
      </c>
      <c r="Q6" s="137">
        <f t="shared" ref="Q6:Q15" si="3">P6*O6</f>
        <v>11625600</v>
      </c>
      <c r="R6" s="662" t="s">
        <v>5</v>
      </c>
      <c r="S6" s="344" t="s">
        <v>459</v>
      </c>
      <c r="T6" s="2015" t="s">
        <v>456</v>
      </c>
      <c r="U6" s="163"/>
    </row>
    <row r="7" spans="1:21" s="388" customFormat="1">
      <c r="A7" s="671">
        <v>46155</v>
      </c>
      <c r="B7" s="679" t="s">
        <v>264</v>
      </c>
      <c r="C7" s="671" t="s">
        <v>440</v>
      </c>
      <c r="D7" s="128" t="s">
        <v>261</v>
      </c>
      <c r="E7" s="672" t="s">
        <v>325</v>
      </c>
      <c r="F7" s="672"/>
      <c r="G7" s="672"/>
      <c r="H7" s="660" t="s">
        <v>112</v>
      </c>
      <c r="I7" s="672" t="s">
        <v>272</v>
      </c>
      <c r="J7" s="679">
        <v>18520</v>
      </c>
      <c r="K7" s="679">
        <v>43200</v>
      </c>
      <c r="L7" s="250">
        <f t="shared" si="0"/>
        <v>24680</v>
      </c>
      <c r="M7" s="637">
        <v>24570</v>
      </c>
      <c r="N7" s="637"/>
      <c r="O7" s="637">
        <f t="shared" ref="O7:O70" si="4">L7</f>
        <v>24680</v>
      </c>
      <c r="P7" s="673">
        <v>480</v>
      </c>
      <c r="Q7" s="673">
        <f t="shared" si="3"/>
        <v>11846400</v>
      </c>
      <c r="R7" s="660" t="s">
        <v>5</v>
      </c>
      <c r="S7" s="345"/>
      <c r="T7" s="2015"/>
      <c r="U7" s="163"/>
    </row>
    <row r="8" spans="1:21" s="388" customFormat="1">
      <c r="A8" s="671">
        <v>46155</v>
      </c>
      <c r="B8" s="679" t="s">
        <v>264</v>
      </c>
      <c r="C8" s="671" t="s">
        <v>440</v>
      </c>
      <c r="D8" s="128" t="s">
        <v>261</v>
      </c>
      <c r="E8" s="672" t="s">
        <v>326</v>
      </c>
      <c r="F8" s="672"/>
      <c r="G8" s="672"/>
      <c r="H8" s="660" t="s">
        <v>112</v>
      </c>
      <c r="I8" s="672" t="s">
        <v>272</v>
      </c>
      <c r="J8" s="679">
        <v>18140</v>
      </c>
      <c r="K8" s="679">
        <v>43960</v>
      </c>
      <c r="L8" s="250">
        <f t="shared" si="0"/>
        <v>25820</v>
      </c>
      <c r="M8" s="637">
        <v>25720</v>
      </c>
      <c r="N8" s="637"/>
      <c r="O8" s="637">
        <f t="shared" si="4"/>
        <v>25820</v>
      </c>
      <c r="P8" s="673">
        <v>480</v>
      </c>
      <c r="Q8" s="673">
        <f t="shared" si="3"/>
        <v>12393600</v>
      </c>
      <c r="R8" s="660" t="s">
        <v>5</v>
      </c>
      <c r="S8" s="345"/>
      <c r="T8" s="2015"/>
      <c r="U8" s="163"/>
    </row>
    <row r="9" spans="1:21" s="388" customFormat="1">
      <c r="A9" s="671">
        <v>46155</v>
      </c>
      <c r="B9" s="679" t="s">
        <v>264</v>
      </c>
      <c r="C9" s="671" t="s">
        <v>440</v>
      </c>
      <c r="D9" s="128" t="s">
        <v>261</v>
      </c>
      <c r="E9" s="672" t="s">
        <v>323</v>
      </c>
      <c r="F9" s="672"/>
      <c r="G9" s="672"/>
      <c r="H9" s="660" t="s">
        <v>112</v>
      </c>
      <c r="I9" s="672" t="s">
        <v>272</v>
      </c>
      <c r="J9" s="679">
        <v>18460</v>
      </c>
      <c r="K9" s="679">
        <v>43520</v>
      </c>
      <c r="L9" s="250">
        <f t="shared" si="0"/>
        <v>25060</v>
      </c>
      <c r="M9" s="637">
        <v>24960</v>
      </c>
      <c r="N9" s="637"/>
      <c r="O9" s="637">
        <f t="shared" si="4"/>
        <v>25060</v>
      </c>
      <c r="P9" s="673">
        <v>480</v>
      </c>
      <c r="Q9" s="673">
        <f t="shared" si="3"/>
        <v>12028800</v>
      </c>
      <c r="R9" s="660" t="s">
        <v>5</v>
      </c>
      <c r="S9" s="345"/>
      <c r="T9" s="2015"/>
      <c r="U9" s="163"/>
    </row>
    <row r="10" spans="1:21" s="388" customFormat="1">
      <c r="A10" s="671">
        <v>46155</v>
      </c>
      <c r="B10" s="679" t="s">
        <v>264</v>
      </c>
      <c r="C10" s="671" t="s">
        <v>440</v>
      </c>
      <c r="D10" s="128" t="s">
        <v>261</v>
      </c>
      <c r="E10" s="672" t="s">
        <v>333</v>
      </c>
      <c r="F10" s="672"/>
      <c r="G10" s="672"/>
      <c r="H10" s="660" t="s">
        <v>112</v>
      </c>
      <c r="I10" s="672" t="s">
        <v>272</v>
      </c>
      <c r="J10" s="679">
        <v>17940</v>
      </c>
      <c r="K10" s="679">
        <v>43200</v>
      </c>
      <c r="L10" s="250">
        <f t="shared" si="0"/>
        <v>25260</v>
      </c>
      <c r="M10" s="637">
        <v>25150</v>
      </c>
      <c r="N10" s="637"/>
      <c r="O10" s="637">
        <f t="shared" si="4"/>
        <v>25260</v>
      </c>
      <c r="P10" s="673">
        <v>480</v>
      </c>
      <c r="Q10" s="673">
        <f t="shared" si="3"/>
        <v>12124800</v>
      </c>
      <c r="R10" s="660" t="s">
        <v>5</v>
      </c>
      <c r="S10" s="345"/>
      <c r="T10" s="2015"/>
      <c r="U10" s="163"/>
    </row>
    <row r="11" spans="1:21" s="388" customFormat="1">
      <c r="A11" s="671">
        <v>46155</v>
      </c>
      <c r="B11" s="679" t="s">
        <v>264</v>
      </c>
      <c r="C11" s="671" t="s">
        <v>440</v>
      </c>
      <c r="D11" s="128" t="s">
        <v>261</v>
      </c>
      <c r="E11" s="672" t="s">
        <v>158</v>
      </c>
      <c r="F11" s="672" t="s">
        <v>442</v>
      </c>
      <c r="G11" s="672" t="s">
        <v>443</v>
      </c>
      <c r="H11" s="660" t="s">
        <v>112</v>
      </c>
      <c r="I11" s="672" t="s">
        <v>272</v>
      </c>
      <c r="J11" s="679">
        <v>18540</v>
      </c>
      <c r="K11" s="679">
        <v>42920</v>
      </c>
      <c r="L11" s="250">
        <f t="shared" si="0"/>
        <v>24380</v>
      </c>
      <c r="M11" s="637">
        <v>24370</v>
      </c>
      <c r="N11" s="637"/>
      <c r="O11" s="637">
        <f t="shared" si="4"/>
        <v>24380</v>
      </c>
      <c r="P11" s="673">
        <v>480</v>
      </c>
      <c r="Q11" s="673">
        <f t="shared" si="3"/>
        <v>11702400</v>
      </c>
      <c r="R11" s="660" t="s">
        <v>5</v>
      </c>
      <c r="S11" s="345"/>
      <c r="T11" s="2015"/>
      <c r="U11" s="163"/>
    </row>
    <row r="12" spans="1:21" s="388" customFormat="1">
      <c r="A12" s="671">
        <v>46155</v>
      </c>
      <c r="B12" s="679" t="s">
        <v>264</v>
      </c>
      <c r="C12" s="671" t="s">
        <v>440</v>
      </c>
      <c r="D12" s="128" t="s">
        <v>261</v>
      </c>
      <c r="E12" s="672" t="s">
        <v>324</v>
      </c>
      <c r="F12" s="672"/>
      <c r="G12" s="672"/>
      <c r="H12" s="660" t="s">
        <v>112</v>
      </c>
      <c r="I12" s="672" t="s">
        <v>272</v>
      </c>
      <c r="J12" s="679">
        <v>18300</v>
      </c>
      <c r="K12" s="679">
        <v>42760</v>
      </c>
      <c r="L12" s="250">
        <f t="shared" si="0"/>
        <v>24460</v>
      </c>
      <c r="M12" s="637">
        <v>24400</v>
      </c>
      <c r="N12" s="637"/>
      <c r="O12" s="637">
        <f t="shared" si="4"/>
        <v>24460</v>
      </c>
      <c r="P12" s="673">
        <v>480</v>
      </c>
      <c r="Q12" s="673">
        <f t="shared" si="3"/>
        <v>11740800</v>
      </c>
      <c r="R12" s="660" t="s">
        <v>5</v>
      </c>
      <c r="S12" s="345"/>
      <c r="T12" s="2015"/>
      <c r="U12" s="163"/>
    </row>
    <row r="13" spans="1:21" s="388" customFormat="1">
      <c r="A13" s="671">
        <v>46155</v>
      </c>
      <c r="B13" s="679" t="s">
        <v>264</v>
      </c>
      <c r="C13" s="671" t="s">
        <v>440</v>
      </c>
      <c r="D13" s="128" t="s">
        <v>261</v>
      </c>
      <c r="E13" s="672" t="s">
        <v>441</v>
      </c>
      <c r="F13" s="672"/>
      <c r="G13" s="672"/>
      <c r="H13" s="660" t="s">
        <v>112</v>
      </c>
      <c r="I13" s="672" t="s">
        <v>272</v>
      </c>
      <c r="J13" s="679">
        <v>18580</v>
      </c>
      <c r="K13" s="679">
        <v>42660</v>
      </c>
      <c r="L13" s="250">
        <f t="shared" si="0"/>
        <v>24080</v>
      </c>
      <c r="M13" s="637">
        <v>23900</v>
      </c>
      <c r="N13" s="637"/>
      <c r="O13" s="637">
        <f t="shared" si="4"/>
        <v>24080</v>
      </c>
      <c r="P13" s="673">
        <v>480</v>
      </c>
      <c r="Q13" s="673">
        <f t="shared" si="3"/>
        <v>11558400</v>
      </c>
      <c r="R13" s="660" t="s">
        <v>5</v>
      </c>
      <c r="S13" s="345"/>
      <c r="T13" s="2015"/>
      <c r="U13" s="163"/>
    </row>
    <row r="14" spans="1:21" s="388" customFormat="1">
      <c r="A14" s="671">
        <v>46155</v>
      </c>
      <c r="B14" s="679" t="s">
        <v>264</v>
      </c>
      <c r="C14" s="671" t="s">
        <v>440</v>
      </c>
      <c r="D14" s="128" t="s">
        <v>261</v>
      </c>
      <c r="E14" s="672" t="s">
        <v>325</v>
      </c>
      <c r="F14" s="672"/>
      <c r="G14" s="672"/>
      <c r="H14" s="660" t="s">
        <v>112</v>
      </c>
      <c r="I14" s="672" t="s">
        <v>272</v>
      </c>
      <c r="J14" s="679">
        <v>18360</v>
      </c>
      <c r="K14" s="679">
        <v>43320</v>
      </c>
      <c r="L14" s="250">
        <f t="shared" si="0"/>
        <v>24960</v>
      </c>
      <c r="M14" s="637">
        <v>24940</v>
      </c>
      <c r="N14" s="637"/>
      <c r="O14" s="637">
        <f t="shared" si="4"/>
        <v>24960</v>
      </c>
      <c r="P14" s="673">
        <v>480</v>
      </c>
      <c r="Q14" s="673">
        <f t="shared" si="3"/>
        <v>11980800</v>
      </c>
      <c r="R14" s="660" t="s">
        <v>5</v>
      </c>
      <c r="S14" s="345"/>
      <c r="T14" s="2015"/>
      <c r="U14" s="163"/>
    </row>
    <row r="15" spans="1:21" s="388" customFormat="1">
      <c r="A15" s="681">
        <v>46155</v>
      </c>
      <c r="B15" s="202" t="s">
        <v>264</v>
      </c>
      <c r="C15" s="681" t="s">
        <v>440</v>
      </c>
      <c r="D15" s="129" t="s">
        <v>261</v>
      </c>
      <c r="E15" s="683" t="s">
        <v>332</v>
      </c>
      <c r="F15" s="683"/>
      <c r="G15" s="683"/>
      <c r="H15" s="661" t="s">
        <v>112</v>
      </c>
      <c r="I15" s="683" t="s">
        <v>272</v>
      </c>
      <c r="J15" s="202">
        <v>18500</v>
      </c>
      <c r="K15" s="202">
        <v>42880</v>
      </c>
      <c r="L15" s="257">
        <f t="shared" si="0"/>
        <v>24380</v>
      </c>
      <c r="M15" s="669">
        <v>24240</v>
      </c>
      <c r="N15" s="669"/>
      <c r="O15" s="669">
        <f t="shared" si="4"/>
        <v>24380</v>
      </c>
      <c r="P15" s="674">
        <v>480</v>
      </c>
      <c r="Q15" s="674">
        <f t="shared" si="3"/>
        <v>11702400</v>
      </c>
      <c r="R15" s="661" t="s">
        <v>5</v>
      </c>
      <c r="S15" s="346"/>
      <c r="T15" s="2015"/>
      <c r="U15" s="163"/>
    </row>
    <row r="16" spans="1:21" s="388" customFormat="1">
      <c r="A16" s="719">
        <v>46156</v>
      </c>
      <c r="B16" s="717" t="s">
        <v>264</v>
      </c>
      <c r="C16" s="719" t="s">
        <v>440</v>
      </c>
      <c r="D16" s="138" t="s">
        <v>261</v>
      </c>
      <c r="E16" s="721" t="s">
        <v>332</v>
      </c>
      <c r="F16" s="721"/>
      <c r="G16" s="721"/>
      <c r="H16" s="701" t="s">
        <v>112</v>
      </c>
      <c r="I16" s="721" t="s">
        <v>272</v>
      </c>
      <c r="J16" s="717">
        <v>18500</v>
      </c>
      <c r="K16" s="717">
        <v>42800</v>
      </c>
      <c r="L16" s="249">
        <f t="shared" si="0"/>
        <v>24300</v>
      </c>
      <c r="M16" s="320">
        <v>24260</v>
      </c>
      <c r="N16" s="320"/>
      <c r="O16" s="320">
        <f t="shared" si="4"/>
        <v>24300</v>
      </c>
      <c r="P16" s="137">
        <v>480</v>
      </c>
      <c r="Q16" s="137">
        <f t="shared" ref="Q16:Q79" si="5">P16*O16</f>
        <v>11664000</v>
      </c>
      <c r="R16" s="701" t="s">
        <v>5</v>
      </c>
      <c r="S16" s="344"/>
      <c r="T16" s="2015" t="s">
        <v>473</v>
      </c>
      <c r="U16" s="163"/>
    </row>
    <row r="17" spans="1:21" s="388" customFormat="1">
      <c r="A17" s="712">
        <v>46156</v>
      </c>
      <c r="B17" s="718" t="s">
        <v>264</v>
      </c>
      <c r="C17" s="712" t="s">
        <v>440</v>
      </c>
      <c r="D17" s="128" t="s">
        <v>261</v>
      </c>
      <c r="E17" s="716" t="s">
        <v>323</v>
      </c>
      <c r="F17" s="716"/>
      <c r="G17" s="716"/>
      <c r="H17" s="699" t="s">
        <v>112</v>
      </c>
      <c r="I17" s="716" t="s">
        <v>272</v>
      </c>
      <c r="J17" s="718">
        <v>18500</v>
      </c>
      <c r="K17" s="718">
        <v>43060</v>
      </c>
      <c r="L17" s="250">
        <f t="shared" si="0"/>
        <v>24560</v>
      </c>
      <c r="M17" s="691">
        <v>24540</v>
      </c>
      <c r="N17" s="691"/>
      <c r="O17" s="691">
        <f t="shared" si="4"/>
        <v>24560</v>
      </c>
      <c r="P17" s="713">
        <v>480</v>
      </c>
      <c r="Q17" s="713">
        <f t="shared" si="5"/>
        <v>11788800</v>
      </c>
      <c r="R17" s="699" t="s">
        <v>5</v>
      </c>
      <c r="S17" s="345"/>
      <c r="T17" s="2015"/>
      <c r="U17" s="163"/>
    </row>
    <row r="18" spans="1:21" s="388" customFormat="1">
      <c r="A18" s="712">
        <v>46156</v>
      </c>
      <c r="B18" s="718" t="s">
        <v>264</v>
      </c>
      <c r="C18" s="712" t="s">
        <v>440</v>
      </c>
      <c r="D18" s="128" t="s">
        <v>261</v>
      </c>
      <c r="E18" s="716" t="s">
        <v>325</v>
      </c>
      <c r="F18" s="716"/>
      <c r="G18" s="716"/>
      <c r="H18" s="699" t="s">
        <v>112</v>
      </c>
      <c r="I18" s="716" t="s">
        <v>272</v>
      </c>
      <c r="J18" s="718">
        <v>18380</v>
      </c>
      <c r="K18" s="718">
        <v>42500</v>
      </c>
      <c r="L18" s="250">
        <f t="shared" si="0"/>
        <v>24120</v>
      </c>
      <c r="M18" s="691">
        <v>23950</v>
      </c>
      <c r="N18" s="691"/>
      <c r="O18" s="691">
        <f t="shared" si="4"/>
        <v>24120</v>
      </c>
      <c r="P18" s="713">
        <v>480</v>
      </c>
      <c r="Q18" s="713">
        <f t="shared" si="5"/>
        <v>11577600</v>
      </c>
      <c r="R18" s="699" t="s">
        <v>5</v>
      </c>
      <c r="S18" s="345"/>
      <c r="T18" s="2015"/>
      <c r="U18" s="163"/>
    </row>
    <row r="19" spans="1:21" s="388" customFormat="1">
      <c r="A19" s="712">
        <v>46156</v>
      </c>
      <c r="B19" s="718" t="s">
        <v>264</v>
      </c>
      <c r="C19" s="712" t="s">
        <v>440</v>
      </c>
      <c r="D19" s="128" t="s">
        <v>261</v>
      </c>
      <c r="E19" s="716" t="s">
        <v>333</v>
      </c>
      <c r="F19" s="716"/>
      <c r="G19" s="716"/>
      <c r="H19" s="699" t="s">
        <v>112</v>
      </c>
      <c r="I19" s="716" t="s">
        <v>272</v>
      </c>
      <c r="J19" s="718">
        <v>17920</v>
      </c>
      <c r="K19" s="718">
        <v>42660</v>
      </c>
      <c r="L19" s="250">
        <f t="shared" si="0"/>
        <v>24740</v>
      </c>
      <c r="M19" s="691">
        <v>24630</v>
      </c>
      <c r="N19" s="691"/>
      <c r="O19" s="691">
        <f t="shared" si="4"/>
        <v>24740</v>
      </c>
      <c r="P19" s="713">
        <v>480</v>
      </c>
      <c r="Q19" s="713">
        <f t="shared" si="5"/>
        <v>11875200</v>
      </c>
      <c r="R19" s="699" t="s">
        <v>5</v>
      </c>
      <c r="S19" s="345"/>
      <c r="T19" s="2015"/>
      <c r="U19" s="163"/>
    </row>
    <row r="20" spans="1:21" s="388" customFormat="1">
      <c r="A20" s="712">
        <v>46156</v>
      </c>
      <c r="B20" s="718" t="s">
        <v>264</v>
      </c>
      <c r="C20" s="712" t="s">
        <v>440</v>
      </c>
      <c r="D20" s="128" t="s">
        <v>261</v>
      </c>
      <c r="E20" s="716" t="s">
        <v>144</v>
      </c>
      <c r="F20" s="716" t="s">
        <v>470</v>
      </c>
      <c r="G20" s="716" t="s">
        <v>471</v>
      </c>
      <c r="H20" s="699" t="s">
        <v>112</v>
      </c>
      <c r="I20" s="716" t="s">
        <v>272</v>
      </c>
      <c r="J20" s="718">
        <v>18400</v>
      </c>
      <c r="K20" s="718">
        <v>43580</v>
      </c>
      <c r="L20" s="250">
        <f t="shared" si="0"/>
        <v>25180</v>
      </c>
      <c r="M20" s="691">
        <v>25110</v>
      </c>
      <c r="N20" s="691"/>
      <c r="O20" s="691">
        <f t="shared" si="4"/>
        <v>25180</v>
      </c>
      <c r="P20" s="713">
        <v>480</v>
      </c>
      <c r="Q20" s="713">
        <f t="shared" si="5"/>
        <v>12086400</v>
      </c>
      <c r="R20" s="699" t="s">
        <v>5</v>
      </c>
      <c r="S20" s="345"/>
      <c r="T20" s="2015"/>
      <c r="U20" s="163"/>
    </row>
    <row r="21" spans="1:21" s="388" customFormat="1">
      <c r="A21" s="712">
        <v>46156</v>
      </c>
      <c r="B21" s="718" t="s">
        <v>264</v>
      </c>
      <c r="C21" s="712" t="s">
        <v>440</v>
      </c>
      <c r="D21" s="128" t="s">
        <v>261</v>
      </c>
      <c r="E21" s="716" t="s">
        <v>324</v>
      </c>
      <c r="F21" s="716"/>
      <c r="G21" s="716"/>
      <c r="H21" s="699" t="s">
        <v>112</v>
      </c>
      <c r="I21" s="716" t="s">
        <v>272</v>
      </c>
      <c r="J21" s="718">
        <v>18420</v>
      </c>
      <c r="K21" s="718">
        <v>42360</v>
      </c>
      <c r="L21" s="250">
        <f t="shared" si="0"/>
        <v>23940</v>
      </c>
      <c r="M21" s="691">
        <v>23900</v>
      </c>
      <c r="N21" s="691"/>
      <c r="O21" s="691">
        <f t="shared" si="4"/>
        <v>23940</v>
      </c>
      <c r="P21" s="713">
        <v>480</v>
      </c>
      <c r="Q21" s="713">
        <f t="shared" si="5"/>
        <v>11491200</v>
      </c>
      <c r="R21" s="699" t="s">
        <v>5</v>
      </c>
      <c r="S21" s="345"/>
      <c r="T21" s="2015"/>
      <c r="U21" s="163"/>
    </row>
    <row r="22" spans="1:21" s="388" customFormat="1">
      <c r="A22" s="712">
        <v>46156</v>
      </c>
      <c r="B22" s="718" t="s">
        <v>264</v>
      </c>
      <c r="C22" s="712" t="s">
        <v>440</v>
      </c>
      <c r="D22" s="128" t="s">
        <v>261</v>
      </c>
      <c r="E22" s="716" t="s">
        <v>472</v>
      </c>
      <c r="F22" s="716"/>
      <c r="G22" s="716"/>
      <c r="H22" s="699" t="s">
        <v>112</v>
      </c>
      <c r="I22" s="716" t="s">
        <v>272</v>
      </c>
      <c r="J22" s="718">
        <v>18800</v>
      </c>
      <c r="K22" s="718">
        <v>42060</v>
      </c>
      <c r="L22" s="250">
        <f t="shared" si="0"/>
        <v>23260</v>
      </c>
      <c r="M22" s="691">
        <v>23220</v>
      </c>
      <c r="N22" s="691"/>
      <c r="O22" s="691">
        <f t="shared" si="4"/>
        <v>23260</v>
      </c>
      <c r="P22" s="713">
        <v>480</v>
      </c>
      <c r="Q22" s="713">
        <f t="shared" si="5"/>
        <v>11164800</v>
      </c>
      <c r="R22" s="699" t="s">
        <v>5</v>
      </c>
      <c r="S22" s="345"/>
      <c r="T22" s="2015"/>
      <c r="U22" s="163"/>
    </row>
    <row r="23" spans="1:21" s="388" customFormat="1">
      <c r="A23" s="712">
        <v>46156</v>
      </c>
      <c r="B23" s="718" t="s">
        <v>264</v>
      </c>
      <c r="C23" s="712" t="s">
        <v>440</v>
      </c>
      <c r="D23" s="128" t="s">
        <v>261</v>
      </c>
      <c r="E23" s="716" t="s">
        <v>332</v>
      </c>
      <c r="F23" s="716"/>
      <c r="G23" s="716"/>
      <c r="H23" s="699" t="s">
        <v>112</v>
      </c>
      <c r="I23" s="716" t="s">
        <v>272</v>
      </c>
      <c r="J23" s="718">
        <v>18460</v>
      </c>
      <c r="K23" s="718">
        <v>42120</v>
      </c>
      <c r="L23" s="250">
        <f t="shared" si="0"/>
        <v>23660</v>
      </c>
      <c r="M23" s="691">
        <v>23650</v>
      </c>
      <c r="N23" s="691"/>
      <c r="O23" s="691">
        <f t="shared" si="4"/>
        <v>23660</v>
      </c>
      <c r="P23" s="713">
        <v>480</v>
      </c>
      <c r="Q23" s="713">
        <f t="shared" si="5"/>
        <v>11356800</v>
      </c>
      <c r="R23" s="699" t="s">
        <v>5</v>
      </c>
      <c r="S23" s="345"/>
      <c r="T23" s="2015"/>
      <c r="U23" s="163"/>
    </row>
    <row r="24" spans="1:21" s="388" customFormat="1">
      <c r="A24" s="712">
        <v>46156</v>
      </c>
      <c r="B24" s="718" t="s">
        <v>264</v>
      </c>
      <c r="C24" s="712" t="s">
        <v>440</v>
      </c>
      <c r="D24" s="128" t="s">
        <v>261</v>
      </c>
      <c r="E24" s="716" t="s">
        <v>323</v>
      </c>
      <c r="F24" s="716"/>
      <c r="G24" s="716"/>
      <c r="H24" s="699" t="s">
        <v>112</v>
      </c>
      <c r="I24" s="716" t="s">
        <v>272</v>
      </c>
      <c r="J24" s="718">
        <v>18700</v>
      </c>
      <c r="K24" s="718">
        <v>43040</v>
      </c>
      <c r="L24" s="250">
        <f t="shared" si="0"/>
        <v>24340</v>
      </c>
      <c r="M24" s="691">
        <v>24290</v>
      </c>
      <c r="N24" s="691"/>
      <c r="O24" s="691">
        <f t="shared" si="4"/>
        <v>24340</v>
      </c>
      <c r="P24" s="713">
        <v>480</v>
      </c>
      <c r="Q24" s="713">
        <f t="shared" si="5"/>
        <v>11683200</v>
      </c>
      <c r="R24" s="699" t="s">
        <v>5</v>
      </c>
      <c r="S24" s="345"/>
      <c r="T24" s="2015"/>
      <c r="U24" s="163"/>
    </row>
    <row r="25" spans="1:21" s="388" customFormat="1">
      <c r="A25" s="720">
        <v>46156</v>
      </c>
      <c r="B25" s="202" t="s">
        <v>264</v>
      </c>
      <c r="C25" s="720" t="s">
        <v>440</v>
      </c>
      <c r="D25" s="129" t="s">
        <v>261</v>
      </c>
      <c r="E25" s="722" t="s">
        <v>325</v>
      </c>
      <c r="F25" s="722"/>
      <c r="G25" s="722"/>
      <c r="H25" s="700" t="s">
        <v>112</v>
      </c>
      <c r="I25" s="722" t="s">
        <v>272</v>
      </c>
      <c r="J25" s="202">
        <v>18500</v>
      </c>
      <c r="K25" s="202">
        <v>42840</v>
      </c>
      <c r="L25" s="257">
        <f t="shared" ref="L25" si="6">K25-J25</f>
        <v>24340</v>
      </c>
      <c r="M25" s="710">
        <v>24270</v>
      </c>
      <c r="N25" s="710"/>
      <c r="O25" s="710">
        <f t="shared" si="4"/>
        <v>24340</v>
      </c>
      <c r="P25" s="714">
        <v>480</v>
      </c>
      <c r="Q25" s="714">
        <f t="shared" si="5"/>
        <v>11683200</v>
      </c>
      <c r="R25" s="700" t="s">
        <v>5</v>
      </c>
      <c r="S25" s="346"/>
      <c r="T25" s="2015"/>
      <c r="U25" s="163"/>
    </row>
    <row r="26" spans="1:21" s="388" customFormat="1">
      <c r="A26" s="826">
        <v>46157</v>
      </c>
      <c r="B26" s="823" t="s">
        <v>264</v>
      </c>
      <c r="C26" s="826" t="s">
        <v>440</v>
      </c>
      <c r="D26" s="138" t="s">
        <v>261</v>
      </c>
      <c r="E26" s="830" t="s">
        <v>158</v>
      </c>
      <c r="F26" s="830" t="s">
        <v>442</v>
      </c>
      <c r="G26" s="830" t="s">
        <v>443</v>
      </c>
      <c r="H26" s="787" t="s">
        <v>112</v>
      </c>
      <c r="I26" s="830" t="s">
        <v>272</v>
      </c>
      <c r="J26" s="823">
        <v>18560</v>
      </c>
      <c r="K26" s="823">
        <v>43580</v>
      </c>
      <c r="L26" s="249">
        <f t="shared" si="0"/>
        <v>25020</v>
      </c>
      <c r="M26" s="320">
        <v>25010</v>
      </c>
      <c r="N26" s="320"/>
      <c r="O26" s="320">
        <f t="shared" si="4"/>
        <v>25020</v>
      </c>
      <c r="P26" s="137">
        <v>480</v>
      </c>
      <c r="Q26" s="137">
        <f t="shared" si="5"/>
        <v>12009600</v>
      </c>
      <c r="R26" s="787" t="s">
        <v>5</v>
      </c>
      <c r="S26" s="344"/>
      <c r="T26" s="2015" t="s">
        <v>498</v>
      </c>
      <c r="U26" s="163"/>
    </row>
    <row r="27" spans="1:21" s="388" customFormat="1">
      <c r="A27" s="816">
        <v>46157</v>
      </c>
      <c r="B27" s="824" t="s">
        <v>264</v>
      </c>
      <c r="C27" s="816" t="s">
        <v>440</v>
      </c>
      <c r="D27" s="128" t="s">
        <v>261</v>
      </c>
      <c r="E27" s="821" t="s">
        <v>220</v>
      </c>
      <c r="F27" s="821" t="s">
        <v>474</v>
      </c>
      <c r="G27" s="821" t="s">
        <v>475</v>
      </c>
      <c r="H27" s="788" t="s">
        <v>112</v>
      </c>
      <c r="I27" s="821" t="s">
        <v>272</v>
      </c>
      <c r="J27" s="824">
        <v>18240</v>
      </c>
      <c r="K27" s="824">
        <v>42480</v>
      </c>
      <c r="L27" s="250">
        <f t="shared" ref="L27:L90" si="7">K27-J27</f>
        <v>24240</v>
      </c>
      <c r="M27" s="796">
        <v>24120</v>
      </c>
      <c r="N27" s="796"/>
      <c r="O27" s="796">
        <f t="shared" si="4"/>
        <v>24240</v>
      </c>
      <c r="P27" s="818">
        <v>480</v>
      </c>
      <c r="Q27" s="818">
        <f t="shared" si="5"/>
        <v>11635200</v>
      </c>
      <c r="R27" s="788" t="s">
        <v>5</v>
      </c>
      <c r="S27" s="345"/>
      <c r="T27" s="2015"/>
      <c r="U27" s="163"/>
    </row>
    <row r="28" spans="1:21" s="388" customFormat="1">
      <c r="A28" s="816">
        <v>46157</v>
      </c>
      <c r="B28" s="824" t="s">
        <v>264</v>
      </c>
      <c r="C28" s="816" t="s">
        <v>440</v>
      </c>
      <c r="D28" s="128" t="s">
        <v>261</v>
      </c>
      <c r="E28" s="821" t="s">
        <v>144</v>
      </c>
      <c r="F28" s="821" t="s">
        <v>470</v>
      </c>
      <c r="G28" s="821" t="s">
        <v>471</v>
      </c>
      <c r="H28" s="788" t="s">
        <v>112</v>
      </c>
      <c r="I28" s="821" t="s">
        <v>272</v>
      </c>
      <c r="J28" s="824">
        <v>18400</v>
      </c>
      <c r="K28" s="824">
        <v>43240</v>
      </c>
      <c r="L28" s="250">
        <f t="shared" si="7"/>
        <v>24840</v>
      </c>
      <c r="M28" s="796">
        <v>24800</v>
      </c>
      <c r="N28" s="796"/>
      <c r="O28" s="796">
        <f t="shared" si="4"/>
        <v>24840</v>
      </c>
      <c r="P28" s="818">
        <v>480</v>
      </c>
      <c r="Q28" s="818">
        <f t="shared" si="5"/>
        <v>11923200</v>
      </c>
      <c r="R28" s="788" t="s">
        <v>5</v>
      </c>
      <c r="S28" s="345"/>
      <c r="T28" s="2015"/>
      <c r="U28" s="163"/>
    </row>
    <row r="29" spans="1:21" s="388" customFormat="1">
      <c r="A29" s="816">
        <v>46157</v>
      </c>
      <c r="B29" s="824" t="s">
        <v>264</v>
      </c>
      <c r="C29" s="816" t="s">
        <v>440</v>
      </c>
      <c r="D29" s="128" t="s">
        <v>261</v>
      </c>
      <c r="E29" s="821" t="s">
        <v>163</v>
      </c>
      <c r="F29" s="821" t="s">
        <v>476</v>
      </c>
      <c r="G29" s="821" t="s">
        <v>477</v>
      </c>
      <c r="H29" s="788" t="s">
        <v>112</v>
      </c>
      <c r="I29" s="821" t="s">
        <v>272</v>
      </c>
      <c r="J29" s="824">
        <v>18740</v>
      </c>
      <c r="K29" s="824">
        <v>43220</v>
      </c>
      <c r="L29" s="250">
        <f t="shared" si="7"/>
        <v>24480</v>
      </c>
      <c r="M29" s="796">
        <v>24430</v>
      </c>
      <c r="N29" s="796"/>
      <c r="O29" s="796">
        <f t="shared" si="4"/>
        <v>24480</v>
      </c>
      <c r="P29" s="818">
        <v>480</v>
      </c>
      <c r="Q29" s="818">
        <f t="shared" si="5"/>
        <v>11750400</v>
      </c>
      <c r="R29" s="788" t="s">
        <v>5</v>
      </c>
      <c r="S29" s="345"/>
      <c r="T29" s="2015"/>
      <c r="U29" s="163"/>
    </row>
    <row r="30" spans="1:21" s="388" customFormat="1">
      <c r="A30" s="816">
        <v>46157</v>
      </c>
      <c r="B30" s="824" t="s">
        <v>264</v>
      </c>
      <c r="C30" s="816" t="s">
        <v>440</v>
      </c>
      <c r="D30" s="128" t="s">
        <v>261</v>
      </c>
      <c r="E30" s="821" t="s">
        <v>168</v>
      </c>
      <c r="F30" s="821" t="s">
        <v>478</v>
      </c>
      <c r="G30" s="821" t="s">
        <v>479</v>
      </c>
      <c r="H30" s="788" t="s">
        <v>112</v>
      </c>
      <c r="I30" s="821" t="s">
        <v>272</v>
      </c>
      <c r="J30" s="824">
        <v>18760</v>
      </c>
      <c r="K30" s="824">
        <v>42460</v>
      </c>
      <c r="L30" s="250">
        <f t="shared" si="7"/>
        <v>23700</v>
      </c>
      <c r="M30" s="796">
        <v>23610</v>
      </c>
      <c r="N30" s="796"/>
      <c r="O30" s="796">
        <f t="shared" si="4"/>
        <v>23700</v>
      </c>
      <c r="P30" s="818">
        <v>480</v>
      </c>
      <c r="Q30" s="818">
        <f t="shared" si="5"/>
        <v>11376000</v>
      </c>
      <c r="R30" s="788" t="s">
        <v>5</v>
      </c>
      <c r="S30" s="345" t="s">
        <v>496</v>
      </c>
      <c r="T30" s="2015"/>
      <c r="U30" s="163"/>
    </row>
    <row r="31" spans="1:21" s="388" customFormat="1">
      <c r="A31" s="820">
        <v>46157</v>
      </c>
      <c r="B31" s="675" t="s">
        <v>264</v>
      </c>
      <c r="C31" s="820" t="s">
        <v>440</v>
      </c>
      <c r="D31" s="127" t="s">
        <v>261</v>
      </c>
      <c r="E31" s="822" t="s">
        <v>154</v>
      </c>
      <c r="F31" s="822" t="s">
        <v>480</v>
      </c>
      <c r="G31" s="822" t="s">
        <v>481</v>
      </c>
      <c r="H31" s="789" t="s">
        <v>112</v>
      </c>
      <c r="I31" s="822" t="s">
        <v>272</v>
      </c>
      <c r="J31" s="675">
        <v>18420</v>
      </c>
      <c r="K31" s="675">
        <v>43020</v>
      </c>
      <c r="L31" s="251">
        <f t="shared" si="7"/>
        <v>24600</v>
      </c>
      <c r="M31" s="812">
        <v>24510</v>
      </c>
      <c r="N31" s="812"/>
      <c r="O31" s="812">
        <f t="shared" si="4"/>
        <v>24600</v>
      </c>
      <c r="P31" s="271">
        <v>480</v>
      </c>
      <c r="Q31" s="271">
        <f t="shared" si="5"/>
        <v>11808000</v>
      </c>
      <c r="R31" s="789" t="s">
        <v>5</v>
      </c>
      <c r="S31" s="339" t="s">
        <v>496</v>
      </c>
      <c r="T31" s="2015"/>
      <c r="U31" s="163"/>
    </row>
    <row r="32" spans="1:21" s="388" customFormat="1">
      <c r="A32" s="826">
        <v>46158</v>
      </c>
      <c r="B32" s="823" t="s">
        <v>314</v>
      </c>
      <c r="C32" s="826" t="s">
        <v>440</v>
      </c>
      <c r="D32" s="138" t="s">
        <v>263</v>
      </c>
      <c r="E32" s="830" t="s">
        <v>172</v>
      </c>
      <c r="F32" s="830" t="s">
        <v>291</v>
      </c>
      <c r="G32" s="830" t="s">
        <v>292</v>
      </c>
      <c r="H32" s="787" t="s">
        <v>112</v>
      </c>
      <c r="I32" s="830" t="s">
        <v>119</v>
      </c>
      <c r="J32" s="823">
        <v>13930</v>
      </c>
      <c r="K32" s="823">
        <v>17800</v>
      </c>
      <c r="L32" s="249">
        <f t="shared" si="7"/>
        <v>3870</v>
      </c>
      <c r="M32" s="320">
        <v>3850</v>
      </c>
      <c r="N32" s="320"/>
      <c r="O32" s="320">
        <f t="shared" si="4"/>
        <v>3870</v>
      </c>
      <c r="P32" s="137">
        <v>445</v>
      </c>
      <c r="Q32" s="137">
        <f t="shared" si="5"/>
        <v>1722150</v>
      </c>
      <c r="R32" s="787" t="s">
        <v>5</v>
      </c>
      <c r="S32" s="344"/>
      <c r="T32" s="2015"/>
      <c r="U32" s="163"/>
    </row>
    <row r="33" spans="1:21" s="388" customFormat="1">
      <c r="A33" s="816">
        <v>46158</v>
      </c>
      <c r="B33" s="824" t="s">
        <v>264</v>
      </c>
      <c r="C33" s="816" t="s">
        <v>440</v>
      </c>
      <c r="D33" s="128" t="s">
        <v>261</v>
      </c>
      <c r="E33" s="821" t="s">
        <v>162</v>
      </c>
      <c r="F33" s="821" t="s">
        <v>482</v>
      </c>
      <c r="G33" s="821" t="s">
        <v>483</v>
      </c>
      <c r="H33" s="788" t="s">
        <v>112</v>
      </c>
      <c r="I33" s="821" t="s">
        <v>107</v>
      </c>
      <c r="J33" s="824">
        <v>18520</v>
      </c>
      <c r="K33" s="824">
        <v>33300</v>
      </c>
      <c r="L33" s="250">
        <f t="shared" si="7"/>
        <v>14780</v>
      </c>
      <c r="M33" s="796">
        <v>14630</v>
      </c>
      <c r="N33" s="796"/>
      <c r="O33" s="796">
        <f t="shared" si="4"/>
        <v>14780</v>
      </c>
      <c r="P33" s="818">
        <v>460</v>
      </c>
      <c r="Q33" s="818">
        <f t="shared" si="5"/>
        <v>6798800</v>
      </c>
      <c r="R33" s="788" t="s">
        <v>5</v>
      </c>
      <c r="S33" s="345"/>
      <c r="T33" s="2015"/>
      <c r="U33" s="163"/>
    </row>
    <row r="34" spans="1:21" s="388" customFormat="1">
      <c r="A34" s="816">
        <v>46158</v>
      </c>
      <c r="B34" s="824" t="s">
        <v>264</v>
      </c>
      <c r="C34" s="816" t="s">
        <v>440</v>
      </c>
      <c r="D34" s="128" t="s">
        <v>261</v>
      </c>
      <c r="E34" s="821" t="s">
        <v>145</v>
      </c>
      <c r="F34" s="821" t="s">
        <v>484</v>
      </c>
      <c r="G34" s="821" t="s">
        <v>485</v>
      </c>
      <c r="H34" s="788" t="s">
        <v>112</v>
      </c>
      <c r="I34" s="821" t="s">
        <v>55</v>
      </c>
      <c r="J34" s="824">
        <v>19060</v>
      </c>
      <c r="K34" s="824">
        <v>42140</v>
      </c>
      <c r="L34" s="250">
        <f t="shared" si="7"/>
        <v>23080</v>
      </c>
      <c r="M34" s="796">
        <v>23020</v>
      </c>
      <c r="N34" s="796"/>
      <c r="O34" s="796">
        <f t="shared" si="4"/>
        <v>23080</v>
      </c>
      <c r="P34" s="818">
        <v>480</v>
      </c>
      <c r="Q34" s="818">
        <f t="shared" si="5"/>
        <v>11078400</v>
      </c>
      <c r="R34" s="788" t="s">
        <v>5</v>
      </c>
      <c r="S34" s="345"/>
      <c r="T34" s="2015"/>
      <c r="U34" s="163"/>
    </row>
    <row r="35" spans="1:21" s="388" customFormat="1">
      <c r="A35" s="816">
        <v>46158</v>
      </c>
      <c r="B35" s="824" t="s">
        <v>264</v>
      </c>
      <c r="C35" s="816" t="s">
        <v>440</v>
      </c>
      <c r="D35" s="128" t="s">
        <v>261</v>
      </c>
      <c r="E35" s="821" t="s">
        <v>486</v>
      </c>
      <c r="F35" s="821"/>
      <c r="G35" s="821"/>
      <c r="H35" s="788" t="s">
        <v>112</v>
      </c>
      <c r="I35" s="821" t="s">
        <v>107</v>
      </c>
      <c r="J35" s="824">
        <v>18840</v>
      </c>
      <c r="K35" s="824">
        <v>33780</v>
      </c>
      <c r="L35" s="250">
        <f t="shared" si="7"/>
        <v>14940</v>
      </c>
      <c r="M35" s="796">
        <v>13460</v>
      </c>
      <c r="N35" s="796"/>
      <c r="O35" s="796">
        <f t="shared" si="4"/>
        <v>14940</v>
      </c>
      <c r="P35" s="818">
        <v>460</v>
      </c>
      <c r="Q35" s="818">
        <f t="shared" si="5"/>
        <v>6872400</v>
      </c>
      <c r="R35" s="788" t="s">
        <v>5</v>
      </c>
      <c r="S35" s="345"/>
      <c r="T35" s="2015"/>
      <c r="U35" s="163"/>
    </row>
    <row r="36" spans="1:21" s="388" customFormat="1">
      <c r="A36" s="816">
        <v>46158</v>
      </c>
      <c r="B36" s="824" t="s">
        <v>264</v>
      </c>
      <c r="C36" s="816" t="s">
        <v>440</v>
      </c>
      <c r="D36" s="128" t="s">
        <v>261</v>
      </c>
      <c r="E36" s="821" t="s">
        <v>472</v>
      </c>
      <c r="F36" s="821"/>
      <c r="G36" s="821"/>
      <c r="H36" s="788" t="s">
        <v>112</v>
      </c>
      <c r="I36" s="821" t="s">
        <v>55</v>
      </c>
      <c r="J36" s="824">
        <v>18840</v>
      </c>
      <c r="K36" s="824">
        <v>41780</v>
      </c>
      <c r="L36" s="250">
        <f t="shared" si="7"/>
        <v>22940</v>
      </c>
      <c r="M36" s="796">
        <v>22810</v>
      </c>
      <c r="N36" s="796"/>
      <c r="O36" s="796">
        <f t="shared" si="4"/>
        <v>22940</v>
      </c>
      <c r="P36" s="818">
        <v>480</v>
      </c>
      <c r="Q36" s="818">
        <f t="shared" si="5"/>
        <v>11011200</v>
      </c>
      <c r="R36" s="788" t="s">
        <v>5</v>
      </c>
      <c r="S36" s="345"/>
      <c r="T36" s="2015"/>
      <c r="U36" s="163"/>
    </row>
    <row r="37" spans="1:21" s="388" customFormat="1">
      <c r="A37" s="816">
        <v>46158</v>
      </c>
      <c r="B37" s="824" t="s">
        <v>264</v>
      </c>
      <c r="C37" s="816" t="s">
        <v>440</v>
      </c>
      <c r="D37" s="128" t="s">
        <v>261</v>
      </c>
      <c r="E37" s="821" t="s">
        <v>163</v>
      </c>
      <c r="F37" s="821" t="s">
        <v>476</v>
      </c>
      <c r="G37" s="821" t="s">
        <v>477</v>
      </c>
      <c r="H37" s="788" t="s">
        <v>112</v>
      </c>
      <c r="I37" s="821" t="s">
        <v>107</v>
      </c>
      <c r="J37" s="824">
        <v>18740</v>
      </c>
      <c r="K37" s="824">
        <v>31080</v>
      </c>
      <c r="L37" s="250">
        <f t="shared" si="7"/>
        <v>12340</v>
      </c>
      <c r="M37" s="796">
        <v>12320</v>
      </c>
      <c r="N37" s="796"/>
      <c r="O37" s="796">
        <f t="shared" si="4"/>
        <v>12340</v>
      </c>
      <c r="P37" s="818">
        <v>460</v>
      </c>
      <c r="Q37" s="818">
        <f t="shared" si="5"/>
        <v>5676400</v>
      </c>
      <c r="R37" s="788" t="s">
        <v>5</v>
      </c>
      <c r="S37" s="345"/>
      <c r="T37" s="2015"/>
      <c r="U37" s="163"/>
    </row>
    <row r="38" spans="1:21" s="388" customFormat="1">
      <c r="A38" s="816">
        <v>46158</v>
      </c>
      <c r="B38" s="824" t="s">
        <v>264</v>
      </c>
      <c r="C38" s="816" t="s">
        <v>440</v>
      </c>
      <c r="D38" s="128" t="s">
        <v>261</v>
      </c>
      <c r="E38" s="821" t="s">
        <v>185</v>
      </c>
      <c r="F38" s="821" t="s">
        <v>487</v>
      </c>
      <c r="G38" s="821" t="s">
        <v>488</v>
      </c>
      <c r="H38" s="788" t="s">
        <v>112</v>
      </c>
      <c r="I38" s="821" t="s">
        <v>107</v>
      </c>
      <c r="J38" s="824">
        <v>18640</v>
      </c>
      <c r="K38" s="824">
        <v>32020</v>
      </c>
      <c r="L38" s="250">
        <f t="shared" si="7"/>
        <v>13380</v>
      </c>
      <c r="M38" s="796">
        <v>13340</v>
      </c>
      <c r="N38" s="796"/>
      <c r="O38" s="796">
        <f t="shared" si="4"/>
        <v>13380</v>
      </c>
      <c r="P38" s="818">
        <v>460</v>
      </c>
      <c r="Q38" s="818">
        <f t="shared" si="5"/>
        <v>6154800</v>
      </c>
      <c r="R38" s="788" t="s">
        <v>5</v>
      </c>
      <c r="S38" s="345"/>
      <c r="T38" s="2015"/>
      <c r="U38" s="163"/>
    </row>
    <row r="39" spans="1:21" s="388" customFormat="1">
      <c r="A39" s="816">
        <v>46158</v>
      </c>
      <c r="B39" s="824" t="s">
        <v>264</v>
      </c>
      <c r="C39" s="816" t="s">
        <v>440</v>
      </c>
      <c r="D39" s="128" t="s">
        <v>261</v>
      </c>
      <c r="E39" s="821" t="s">
        <v>188</v>
      </c>
      <c r="F39" s="821" t="s">
        <v>489</v>
      </c>
      <c r="G39" s="821" t="s">
        <v>490</v>
      </c>
      <c r="H39" s="788" t="s">
        <v>112</v>
      </c>
      <c r="I39" s="821" t="s">
        <v>107</v>
      </c>
      <c r="J39" s="824">
        <v>18440</v>
      </c>
      <c r="K39" s="824">
        <v>33500</v>
      </c>
      <c r="L39" s="250">
        <f t="shared" si="7"/>
        <v>15060</v>
      </c>
      <c r="M39" s="796">
        <v>14890</v>
      </c>
      <c r="N39" s="796"/>
      <c r="O39" s="796">
        <f t="shared" si="4"/>
        <v>15060</v>
      </c>
      <c r="P39" s="818">
        <v>460</v>
      </c>
      <c r="Q39" s="818">
        <f t="shared" si="5"/>
        <v>6927600</v>
      </c>
      <c r="R39" s="788" t="s">
        <v>5</v>
      </c>
      <c r="S39" s="345"/>
      <c r="T39" s="2015"/>
      <c r="U39" s="163"/>
    </row>
    <row r="40" spans="1:21" s="388" customFormat="1">
      <c r="A40" s="816">
        <v>46158</v>
      </c>
      <c r="B40" s="824" t="s">
        <v>264</v>
      </c>
      <c r="C40" s="816" t="s">
        <v>440</v>
      </c>
      <c r="D40" s="128" t="s">
        <v>261</v>
      </c>
      <c r="E40" s="821" t="s">
        <v>326</v>
      </c>
      <c r="F40" s="821"/>
      <c r="G40" s="821"/>
      <c r="H40" s="788" t="s">
        <v>112</v>
      </c>
      <c r="I40" s="821" t="s">
        <v>272</v>
      </c>
      <c r="J40" s="824">
        <v>17960</v>
      </c>
      <c r="K40" s="824">
        <v>43060</v>
      </c>
      <c r="L40" s="250">
        <f t="shared" si="7"/>
        <v>25100</v>
      </c>
      <c r="M40" s="796">
        <v>25060</v>
      </c>
      <c r="N40" s="796"/>
      <c r="O40" s="796">
        <f t="shared" si="4"/>
        <v>25100</v>
      </c>
      <c r="P40" s="818">
        <v>480</v>
      </c>
      <c r="Q40" s="818">
        <f t="shared" si="5"/>
        <v>12048000</v>
      </c>
      <c r="R40" s="788" t="s">
        <v>5</v>
      </c>
      <c r="S40" s="345"/>
      <c r="T40" s="2015"/>
      <c r="U40" s="163"/>
    </row>
    <row r="41" spans="1:21" s="388" customFormat="1">
      <c r="A41" s="816">
        <v>46158</v>
      </c>
      <c r="B41" s="824" t="s">
        <v>264</v>
      </c>
      <c r="C41" s="816" t="s">
        <v>440</v>
      </c>
      <c r="D41" s="128" t="s">
        <v>261</v>
      </c>
      <c r="E41" s="821" t="s">
        <v>131</v>
      </c>
      <c r="F41" s="821" t="s">
        <v>316</v>
      </c>
      <c r="G41" s="821" t="s">
        <v>317</v>
      </c>
      <c r="H41" s="788" t="s">
        <v>112</v>
      </c>
      <c r="I41" s="821" t="s">
        <v>107</v>
      </c>
      <c r="J41" s="824">
        <v>18320</v>
      </c>
      <c r="K41" s="824">
        <v>33460</v>
      </c>
      <c r="L41" s="250">
        <f t="shared" si="7"/>
        <v>15140</v>
      </c>
      <c r="M41" s="796">
        <v>15000</v>
      </c>
      <c r="N41" s="796"/>
      <c r="O41" s="796">
        <f t="shared" si="4"/>
        <v>15140</v>
      </c>
      <c r="P41" s="818">
        <v>460</v>
      </c>
      <c r="Q41" s="818">
        <f t="shared" si="5"/>
        <v>6964400</v>
      </c>
      <c r="R41" s="788" t="s">
        <v>5</v>
      </c>
      <c r="S41" s="345"/>
      <c r="T41" s="2015"/>
      <c r="U41" s="163"/>
    </row>
    <row r="42" spans="1:21" s="388" customFormat="1">
      <c r="A42" s="816">
        <v>46158</v>
      </c>
      <c r="B42" s="824" t="s">
        <v>264</v>
      </c>
      <c r="C42" s="816" t="s">
        <v>440</v>
      </c>
      <c r="D42" s="128" t="s">
        <v>261</v>
      </c>
      <c r="E42" s="821" t="s">
        <v>441</v>
      </c>
      <c r="F42" s="821"/>
      <c r="G42" s="821"/>
      <c r="H42" s="788" t="s">
        <v>112</v>
      </c>
      <c r="I42" s="821" t="s">
        <v>272</v>
      </c>
      <c r="J42" s="824">
        <v>18700</v>
      </c>
      <c r="K42" s="824">
        <v>43600</v>
      </c>
      <c r="L42" s="250">
        <f t="shared" si="7"/>
        <v>24900</v>
      </c>
      <c r="M42" s="796">
        <v>24800</v>
      </c>
      <c r="N42" s="796"/>
      <c r="O42" s="796">
        <f t="shared" si="4"/>
        <v>24900</v>
      </c>
      <c r="P42" s="818">
        <v>480</v>
      </c>
      <c r="Q42" s="818">
        <f t="shared" si="5"/>
        <v>11952000</v>
      </c>
      <c r="R42" s="788" t="s">
        <v>5</v>
      </c>
      <c r="S42" s="345"/>
      <c r="T42" s="2015"/>
      <c r="U42" s="163"/>
    </row>
    <row r="43" spans="1:21" s="388" customFormat="1">
      <c r="A43" s="816">
        <v>46158</v>
      </c>
      <c r="B43" s="824" t="s">
        <v>264</v>
      </c>
      <c r="C43" s="816" t="s">
        <v>440</v>
      </c>
      <c r="D43" s="128" t="s">
        <v>261</v>
      </c>
      <c r="E43" s="821" t="s">
        <v>225</v>
      </c>
      <c r="F43" s="821" t="s">
        <v>491</v>
      </c>
      <c r="G43" s="821" t="s">
        <v>471</v>
      </c>
      <c r="H43" s="788" t="s">
        <v>112</v>
      </c>
      <c r="I43" s="821" t="s">
        <v>272</v>
      </c>
      <c r="J43" s="824">
        <v>18740</v>
      </c>
      <c r="K43" s="824">
        <v>42860</v>
      </c>
      <c r="L43" s="250">
        <f t="shared" si="7"/>
        <v>24120</v>
      </c>
      <c r="M43" s="796">
        <v>24070</v>
      </c>
      <c r="N43" s="796"/>
      <c r="O43" s="796">
        <f t="shared" si="4"/>
        <v>24120</v>
      </c>
      <c r="P43" s="818">
        <v>480</v>
      </c>
      <c r="Q43" s="818">
        <f t="shared" si="5"/>
        <v>11577600</v>
      </c>
      <c r="R43" s="788" t="s">
        <v>5</v>
      </c>
      <c r="S43" s="345"/>
      <c r="T43" s="2015"/>
      <c r="U43" s="163"/>
    </row>
    <row r="44" spans="1:21" s="388" customFormat="1">
      <c r="A44" s="816">
        <v>46158</v>
      </c>
      <c r="B44" s="824" t="s">
        <v>264</v>
      </c>
      <c r="C44" s="816" t="s">
        <v>440</v>
      </c>
      <c r="D44" s="128" t="s">
        <v>261</v>
      </c>
      <c r="E44" s="821" t="s">
        <v>486</v>
      </c>
      <c r="F44" s="821"/>
      <c r="G44" s="821"/>
      <c r="H44" s="788" t="s">
        <v>112</v>
      </c>
      <c r="I44" s="821" t="s">
        <v>107</v>
      </c>
      <c r="J44" s="824">
        <v>18800</v>
      </c>
      <c r="K44" s="824">
        <v>32300</v>
      </c>
      <c r="L44" s="250">
        <f t="shared" si="7"/>
        <v>13500</v>
      </c>
      <c r="M44" s="796">
        <v>14750</v>
      </c>
      <c r="N44" s="796"/>
      <c r="O44" s="796">
        <f t="shared" si="4"/>
        <v>13500</v>
      </c>
      <c r="P44" s="818">
        <v>460</v>
      </c>
      <c r="Q44" s="818">
        <f t="shared" si="5"/>
        <v>6210000</v>
      </c>
      <c r="R44" s="788" t="s">
        <v>5</v>
      </c>
      <c r="S44" s="345"/>
      <c r="T44" s="2015"/>
      <c r="U44" s="163"/>
    </row>
    <row r="45" spans="1:21" s="388" customFormat="1">
      <c r="A45" s="816">
        <v>46158</v>
      </c>
      <c r="B45" s="824" t="s">
        <v>264</v>
      </c>
      <c r="C45" s="816" t="s">
        <v>440</v>
      </c>
      <c r="D45" s="128" t="s">
        <v>261</v>
      </c>
      <c r="E45" s="821" t="s">
        <v>163</v>
      </c>
      <c r="F45" s="821" t="s">
        <v>476</v>
      </c>
      <c r="G45" s="821" t="s">
        <v>477</v>
      </c>
      <c r="H45" s="788" t="s">
        <v>112</v>
      </c>
      <c r="I45" s="821" t="s">
        <v>107</v>
      </c>
      <c r="J45" s="824">
        <v>18700</v>
      </c>
      <c r="K45" s="824">
        <v>37720</v>
      </c>
      <c r="L45" s="250">
        <f t="shared" ref="L45:L48" si="8">K45-J45</f>
        <v>19020</v>
      </c>
      <c r="M45" s="796">
        <v>18990</v>
      </c>
      <c r="N45" s="796"/>
      <c r="O45" s="796">
        <f t="shared" ref="O45:O48" si="9">L45</f>
        <v>19020</v>
      </c>
      <c r="P45" s="818">
        <v>460</v>
      </c>
      <c r="Q45" s="818">
        <f t="shared" ref="Q45:Q48" si="10">P45*O45</f>
        <v>8749200</v>
      </c>
      <c r="R45" s="788" t="s">
        <v>5</v>
      </c>
      <c r="S45" s="345"/>
      <c r="T45" s="2015"/>
      <c r="U45" s="163"/>
    </row>
    <row r="46" spans="1:21" s="388" customFormat="1">
      <c r="A46" s="816">
        <v>46158</v>
      </c>
      <c r="B46" s="824" t="s">
        <v>264</v>
      </c>
      <c r="C46" s="816" t="s">
        <v>440</v>
      </c>
      <c r="D46" s="128" t="s">
        <v>261</v>
      </c>
      <c r="E46" s="821" t="s">
        <v>185</v>
      </c>
      <c r="F46" s="821" t="s">
        <v>487</v>
      </c>
      <c r="G46" s="821" t="s">
        <v>488</v>
      </c>
      <c r="H46" s="788" t="s">
        <v>112</v>
      </c>
      <c r="I46" s="821" t="s">
        <v>107</v>
      </c>
      <c r="J46" s="824">
        <v>18580</v>
      </c>
      <c r="K46" s="824">
        <v>31700</v>
      </c>
      <c r="L46" s="250">
        <f t="shared" si="8"/>
        <v>13120</v>
      </c>
      <c r="M46" s="796">
        <v>13030</v>
      </c>
      <c r="N46" s="796"/>
      <c r="O46" s="796">
        <f t="shared" si="9"/>
        <v>13120</v>
      </c>
      <c r="P46" s="818">
        <v>460</v>
      </c>
      <c r="Q46" s="818">
        <f t="shared" si="10"/>
        <v>6035200</v>
      </c>
      <c r="R46" s="788" t="s">
        <v>5</v>
      </c>
      <c r="S46" s="345"/>
      <c r="T46" s="2015"/>
      <c r="U46" s="163"/>
    </row>
    <row r="47" spans="1:21" s="388" customFormat="1">
      <c r="A47" s="827">
        <v>46158</v>
      </c>
      <c r="B47" s="202" t="s">
        <v>264</v>
      </c>
      <c r="C47" s="827" t="s">
        <v>440</v>
      </c>
      <c r="D47" s="129" t="s">
        <v>261</v>
      </c>
      <c r="E47" s="831" t="s">
        <v>131</v>
      </c>
      <c r="F47" s="831" t="s">
        <v>316</v>
      </c>
      <c r="G47" s="831" t="s">
        <v>317</v>
      </c>
      <c r="H47" s="809" t="s">
        <v>112</v>
      </c>
      <c r="I47" s="831" t="s">
        <v>107</v>
      </c>
      <c r="J47" s="202">
        <v>18280</v>
      </c>
      <c r="K47" s="202">
        <v>35540</v>
      </c>
      <c r="L47" s="257">
        <f t="shared" si="8"/>
        <v>17260</v>
      </c>
      <c r="M47" s="814">
        <v>17070</v>
      </c>
      <c r="N47" s="814">
        <v>500</v>
      </c>
      <c r="O47" s="814">
        <f>L47-N47</f>
        <v>16760</v>
      </c>
      <c r="P47" s="819">
        <v>460</v>
      </c>
      <c r="Q47" s="819">
        <f t="shared" si="10"/>
        <v>7709600</v>
      </c>
      <c r="R47" s="809" t="s">
        <v>5</v>
      </c>
      <c r="S47" s="346" t="s">
        <v>497</v>
      </c>
      <c r="T47" s="2015"/>
      <c r="U47" s="163"/>
    </row>
    <row r="48" spans="1:21" s="388" customFormat="1">
      <c r="A48" s="825">
        <v>46159</v>
      </c>
      <c r="B48" s="829" t="s">
        <v>314</v>
      </c>
      <c r="C48" s="825" t="s">
        <v>440</v>
      </c>
      <c r="D48" s="126" t="s">
        <v>263</v>
      </c>
      <c r="E48" s="828" t="s">
        <v>334</v>
      </c>
      <c r="F48" s="828" t="s">
        <v>492</v>
      </c>
      <c r="G48" s="828" t="s">
        <v>493</v>
      </c>
      <c r="H48" s="808" t="s">
        <v>112</v>
      </c>
      <c r="I48" s="828" t="s">
        <v>271</v>
      </c>
      <c r="J48" s="829">
        <v>21390</v>
      </c>
      <c r="K48" s="829">
        <v>32670</v>
      </c>
      <c r="L48" s="253">
        <f t="shared" si="8"/>
        <v>11280</v>
      </c>
      <c r="M48" s="811"/>
      <c r="N48" s="811"/>
      <c r="O48" s="811">
        <f t="shared" si="9"/>
        <v>11280</v>
      </c>
      <c r="P48" s="817">
        <v>490</v>
      </c>
      <c r="Q48" s="817">
        <f t="shared" si="10"/>
        <v>5527200</v>
      </c>
      <c r="R48" s="808" t="s">
        <v>5</v>
      </c>
      <c r="S48" s="840"/>
      <c r="T48" s="2015"/>
      <c r="U48" s="163"/>
    </row>
    <row r="49" spans="1:21" s="388" customFormat="1">
      <c r="A49" s="816">
        <v>46159</v>
      </c>
      <c r="B49" s="824" t="s">
        <v>314</v>
      </c>
      <c r="C49" s="816" t="s">
        <v>440</v>
      </c>
      <c r="D49" s="128" t="s">
        <v>261</v>
      </c>
      <c r="E49" s="821" t="s">
        <v>118</v>
      </c>
      <c r="F49" s="821" t="s">
        <v>494</v>
      </c>
      <c r="G49" s="821" t="s">
        <v>495</v>
      </c>
      <c r="H49" s="788" t="s">
        <v>112</v>
      </c>
      <c r="I49" s="821" t="s">
        <v>271</v>
      </c>
      <c r="J49" s="824">
        <v>17930</v>
      </c>
      <c r="K49" s="824">
        <v>32120</v>
      </c>
      <c r="L49" s="250">
        <f t="shared" si="7"/>
        <v>14190</v>
      </c>
      <c r="M49" s="796"/>
      <c r="N49" s="796"/>
      <c r="O49" s="796">
        <f t="shared" si="4"/>
        <v>14190</v>
      </c>
      <c r="P49" s="818">
        <v>475</v>
      </c>
      <c r="Q49" s="818">
        <f t="shared" si="5"/>
        <v>6740250</v>
      </c>
      <c r="R49" s="788" t="s">
        <v>5</v>
      </c>
      <c r="S49" s="345"/>
      <c r="T49" s="2015"/>
      <c r="U49" s="163"/>
    </row>
    <row r="50" spans="1:21" s="388" customFormat="1">
      <c r="A50" s="827">
        <v>46159</v>
      </c>
      <c r="B50" s="202" t="s">
        <v>314</v>
      </c>
      <c r="C50" s="827" t="s">
        <v>440</v>
      </c>
      <c r="D50" s="129" t="s">
        <v>261</v>
      </c>
      <c r="E50" s="831" t="s">
        <v>118</v>
      </c>
      <c r="F50" s="831" t="s">
        <v>494</v>
      </c>
      <c r="G50" s="831" t="s">
        <v>495</v>
      </c>
      <c r="H50" s="809" t="s">
        <v>112</v>
      </c>
      <c r="I50" s="831" t="s">
        <v>271</v>
      </c>
      <c r="J50" s="202">
        <v>17910</v>
      </c>
      <c r="K50" s="202">
        <v>33670</v>
      </c>
      <c r="L50" s="257">
        <f t="shared" si="7"/>
        <v>15760</v>
      </c>
      <c r="M50" s="814"/>
      <c r="N50" s="814"/>
      <c r="O50" s="814">
        <f t="shared" si="4"/>
        <v>15760</v>
      </c>
      <c r="P50" s="819">
        <v>475</v>
      </c>
      <c r="Q50" s="819">
        <f t="shared" si="5"/>
        <v>7486000</v>
      </c>
      <c r="R50" s="809" t="s">
        <v>5</v>
      </c>
      <c r="S50" s="346"/>
      <c r="T50" s="2015"/>
      <c r="U50" s="163"/>
    </row>
    <row r="51" spans="1:21" s="388" customFormat="1">
      <c r="A51" s="887">
        <v>46160</v>
      </c>
      <c r="B51" s="890" t="s">
        <v>264</v>
      </c>
      <c r="C51" s="887" t="s">
        <v>440</v>
      </c>
      <c r="D51" s="126" t="s">
        <v>261</v>
      </c>
      <c r="E51" s="889" t="s">
        <v>472</v>
      </c>
      <c r="F51" s="889"/>
      <c r="G51" s="889"/>
      <c r="H51" s="873" t="s">
        <v>112</v>
      </c>
      <c r="I51" s="889" t="s">
        <v>272</v>
      </c>
      <c r="J51" s="890">
        <v>18820</v>
      </c>
      <c r="K51" s="890">
        <v>43060</v>
      </c>
      <c r="L51" s="253">
        <f t="shared" si="7"/>
        <v>24240</v>
      </c>
      <c r="M51" s="878">
        <v>24210</v>
      </c>
      <c r="N51" s="878"/>
      <c r="O51" s="878">
        <f t="shared" si="4"/>
        <v>24240</v>
      </c>
      <c r="P51" s="884">
        <v>500</v>
      </c>
      <c r="Q51" s="884">
        <f t="shared" si="5"/>
        <v>12120000</v>
      </c>
      <c r="R51" s="873" t="s">
        <v>5</v>
      </c>
      <c r="S51" s="840" t="s">
        <v>513</v>
      </c>
      <c r="T51" s="2015" t="s">
        <v>516</v>
      </c>
      <c r="U51" s="163"/>
    </row>
    <row r="52" spans="1:21" s="388" customFormat="1">
      <c r="A52" s="882">
        <v>46160</v>
      </c>
      <c r="B52" s="886" t="s">
        <v>264</v>
      </c>
      <c r="C52" s="882" t="s">
        <v>440</v>
      </c>
      <c r="D52" s="128" t="s">
        <v>261</v>
      </c>
      <c r="E52" s="883" t="s">
        <v>163</v>
      </c>
      <c r="F52" s="883" t="s">
        <v>476</v>
      </c>
      <c r="G52" s="883" t="s">
        <v>477</v>
      </c>
      <c r="H52" s="866" t="s">
        <v>112</v>
      </c>
      <c r="I52" s="883" t="s">
        <v>110</v>
      </c>
      <c r="J52" s="886">
        <v>18760</v>
      </c>
      <c r="K52" s="886">
        <v>28660</v>
      </c>
      <c r="L52" s="250">
        <f t="shared" si="7"/>
        <v>9900</v>
      </c>
      <c r="M52" s="863">
        <v>10010</v>
      </c>
      <c r="N52" s="863"/>
      <c r="O52" s="863">
        <f t="shared" si="4"/>
        <v>9900</v>
      </c>
      <c r="P52" s="885">
        <v>480</v>
      </c>
      <c r="Q52" s="885">
        <f t="shared" si="5"/>
        <v>4752000</v>
      </c>
      <c r="R52" s="866" t="s">
        <v>5</v>
      </c>
      <c r="S52" s="345"/>
      <c r="T52" s="2015"/>
      <c r="U52" s="163"/>
    </row>
    <row r="53" spans="1:21" s="388" customFormat="1">
      <c r="A53" s="882">
        <v>46160</v>
      </c>
      <c r="B53" s="886" t="s">
        <v>264</v>
      </c>
      <c r="C53" s="882" t="s">
        <v>440</v>
      </c>
      <c r="D53" s="128" t="s">
        <v>261</v>
      </c>
      <c r="E53" s="883" t="s">
        <v>116</v>
      </c>
      <c r="F53" s="883" t="s">
        <v>319</v>
      </c>
      <c r="G53" s="883" t="s">
        <v>320</v>
      </c>
      <c r="H53" s="866" t="s">
        <v>112</v>
      </c>
      <c r="I53" s="883" t="s">
        <v>110</v>
      </c>
      <c r="J53" s="886">
        <v>18780</v>
      </c>
      <c r="K53" s="886">
        <v>33420</v>
      </c>
      <c r="L53" s="250">
        <f t="shared" si="7"/>
        <v>14640</v>
      </c>
      <c r="M53" s="863">
        <v>14620</v>
      </c>
      <c r="N53" s="863"/>
      <c r="O53" s="863">
        <f>L53-N53</f>
        <v>14640</v>
      </c>
      <c r="P53" s="885">
        <v>480</v>
      </c>
      <c r="Q53" s="885">
        <f t="shared" si="5"/>
        <v>7027200</v>
      </c>
      <c r="R53" s="866" t="s">
        <v>5</v>
      </c>
      <c r="S53" s="345"/>
      <c r="T53" s="2015"/>
      <c r="U53" s="163"/>
    </row>
    <row r="54" spans="1:21" s="388" customFormat="1">
      <c r="A54" s="882">
        <v>46160</v>
      </c>
      <c r="B54" s="886" t="s">
        <v>264</v>
      </c>
      <c r="C54" s="882" t="s">
        <v>440</v>
      </c>
      <c r="D54" s="128" t="s">
        <v>261</v>
      </c>
      <c r="E54" s="883" t="s">
        <v>118</v>
      </c>
      <c r="F54" s="883" t="s">
        <v>494</v>
      </c>
      <c r="G54" s="883" t="s">
        <v>495</v>
      </c>
      <c r="H54" s="866" t="s">
        <v>112</v>
      </c>
      <c r="I54" s="883" t="s">
        <v>110</v>
      </c>
      <c r="J54" s="886">
        <v>18380</v>
      </c>
      <c r="K54" s="886">
        <v>35340</v>
      </c>
      <c r="L54" s="250">
        <f t="shared" si="7"/>
        <v>16960</v>
      </c>
      <c r="M54" s="863">
        <v>17040</v>
      </c>
      <c r="N54" s="863"/>
      <c r="O54" s="863">
        <f t="shared" si="4"/>
        <v>16960</v>
      </c>
      <c r="P54" s="885">
        <v>480</v>
      </c>
      <c r="Q54" s="885">
        <f t="shared" si="5"/>
        <v>8140800</v>
      </c>
      <c r="R54" s="866" t="s">
        <v>5</v>
      </c>
      <c r="S54" s="345"/>
      <c r="T54" s="2015"/>
      <c r="U54" s="163"/>
    </row>
    <row r="55" spans="1:21" s="388" customFormat="1">
      <c r="A55" s="882">
        <v>46160</v>
      </c>
      <c r="B55" s="886" t="s">
        <v>264</v>
      </c>
      <c r="C55" s="882" t="s">
        <v>440</v>
      </c>
      <c r="D55" s="128" t="s">
        <v>261</v>
      </c>
      <c r="E55" s="883" t="s">
        <v>225</v>
      </c>
      <c r="F55" s="883" t="s">
        <v>491</v>
      </c>
      <c r="G55" s="883" t="s">
        <v>471</v>
      </c>
      <c r="H55" s="866" t="s">
        <v>112</v>
      </c>
      <c r="I55" s="883" t="s">
        <v>110</v>
      </c>
      <c r="J55" s="886">
        <v>18620</v>
      </c>
      <c r="K55" s="886">
        <v>38140</v>
      </c>
      <c r="L55" s="250">
        <f t="shared" si="7"/>
        <v>19520</v>
      </c>
      <c r="M55" s="863">
        <v>19430</v>
      </c>
      <c r="N55" s="863"/>
      <c r="O55" s="863">
        <f t="shared" si="4"/>
        <v>19520</v>
      </c>
      <c r="P55" s="885">
        <v>480</v>
      </c>
      <c r="Q55" s="885">
        <f t="shared" si="5"/>
        <v>9369600</v>
      </c>
      <c r="R55" s="866" t="s">
        <v>5</v>
      </c>
      <c r="S55" s="345"/>
      <c r="T55" s="2015"/>
      <c r="U55" s="163"/>
    </row>
    <row r="56" spans="1:21" s="388" customFormat="1">
      <c r="A56" s="882">
        <v>46160</v>
      </c>
      <c r="B56" s="886" t="s">
        <v>264</v>
      </c>
      <c r="C56" s="882" t="s">
        <v>440</v>
      </c>
      <c r="D56" s="128" t="s">
        <v>261</v>
      </c>
      <c r="E56" s="883" t="s">
        <v>153</v>
      </c>
      <c r="F56" s="883" t="s">
        <v>499</v>
      </c>
      <c r="G56" s="883" t="s">
        <v>500</v>
      </c>
      <c r="H56" s="866" t="s">
        <v>112</v>
      </c>
      <c r="I56" s="883" t="s">
        <v>110</v>
      </c>
      <c r="J56" s="886">
        <v>17980</v>
      </c>
      <c r="K56" s="886">
        <v>37640</v>
      </c>
      <c r="L56" s="250">
        <f t="shared" si="7"/>
        <v>19660</v>
      </c>
      <c r="M56" s="863">
        <v>19630</v>
      </c>
      <c r="N56" s="863"/>
      <c r="O56" s="863">
        <f t="shared" si="4"/>
        <v>19660</v>
      </c>
      <c r="P56" s="885">
        <v>480</v>
      </c>
      <c r="Q56" s="885">
        <f t="shared" si="5"/>
        <v>9436800</v>
      </c>
      <c r="R56" s="866" t="s">
        <v>5</v>
      </c>
      <c r="S56" s="345"/>
      <c r="T56" s="2015"/>
      <c r="U56" s="163"/>
    </row>
    <row r="57" spans="1:21" s="388" customFormat="1">
      <c r="A57" s="882">
        <v>46160</v>
      </c>
      <c r="B57" s="886" t="s">
        <v>264</v>
      </c>
      <c r="C57" s="882" t="s">
        <v>440</v>
      </c>
      <c r="D57" s="128" t="s">
        <v>261</v>
      </c>
      <c r="E57" s="883" t="s">
        <v>156</v>
      </c>
      <c r="F57" s="883" t="s">
        <v>501</v>
      </c>
      <c r="G57" s="883" t="s">
        <v>502</v>
      </c>
      <c r="H57" s="866" t="s">
        <v>112</v>
      </c>
      <c r="I57" s="883" t="s">
        <v>110</v>
      </c>
      <c r="J57" s="886">
        <v>18640</v>
      </c>
      <c r="K57" s="886">
        <v>34640</v>
      </c>
      <c r="L57" s="250">
        <f t="shared" si="7"/>
        <v>16000</v>
      </c>
      <c r="M57" s="863">
        <v>15830</v>
      </c>
      <c r="N57" s="863"/>
      <c r="O57" s="863">
        <f t="shared" si="4"/>
        <v>16000</v>
      </c>
      <c r="P57" s="885">
        <v>480</v>
      </c>
      <c r="Q57" s="885">
        <f t="shared" si="5"/>
        <v>7680000</v>
      </c>
      <c r="R57" s="866" t="s">
        <v>5</v>
      </c>
      <c r="S57" s="345"/>
      <c r="T57" s="2015"/>
      <c r="U57" s="163"/>
    </row>
    <row r="58" spans="1:21" s="388" customFormat="1">
      <c r="A58" s="882">
        <v>46160</v>
      </c>
      <c r="B58" s="886" t="s">
        <v>264</v>
      </c>
      <c r="C58" s="882" t="s">
        <v>440</v>
      </c>
      <c r="D58" s="128" t="s">
        <v>261</v>
      </c>
      <c r="E58" s="883" t="s">
        <v>117</v>
      </c>
      <c r="F58" s="883" t="s">
        <v>329</v>
      </c>
      <c r="G58" s="883" t="s">
        <v>330</v>
      </c>
      <c r="H58" s="866" t="s">
        <v>112</v>
      </c>
      <c r="I58" s="883" t="s">
        <v>272</v>
      </c>
      <c r="J58" s="886">
        <v>18960</v>
      </c>
      <c r="K58" s="886">
        <v>34600</v>
      </c>
      <c r="L58" s="250">
        <f t="shared" si="7"/>
        <v>15640</v>
      </c>
      <c r="M58" s="863">
        <v>15560</v>
      </c>
      <c r="N58" s="863">
        <v>400</v>
      </c>
      <c r="O58" s="863">
        <f>L58-N58</f>
        <v>15240</v>
      </c>
      <c r="P58" s="885">
        <v>480</v>
      </c>
      <c r="Q58" s="885">
        <f t="shared" si="5"/>
        <v>7315200</v>
      </c>
      <c r="R58" s="866" t="s">
        <v>5</v>
      </c>
      <c r="S58" s="345" t="s">
        <v>512</v>
      </c>
      <c r="T58" s="2015"/>
      <c r="U58" s="163"/>
    </row>
    <row r="59" spans="1:21" s="388" customFormat="1">
      <c r="A59" s="882">
        <v>46160</v>
      </c>
      <c r="B59" s="886" t="s">
        <v>264</v>
      </c>
      <c r="C59" s="882" t="s">
        <v>440</v>
      </c>
      <c r="D59" s="128" t="s">
        <v>261</v>
      </c>
      <c r="E59" s="883" t="s">
        <v>179</v>
      </c>
      <c r="F59" s="883" t="s">
        <v>327</v>
      </c>
      <c r="G59" s="883" t="s">
        <v>328</v>
      </c>
      <c r="H59" s="866" t="s">
        <v>112</v>
      </c>
      <c r="I59" s="883" t="s">
        <v>110</v>
      </c>
      <c r="J59" s="886">
        <v>19000</v>
      </c>
      <c r="K59" s="886">
        <v>37080</v>
      </c>
      <c r="L59" s="250">
        <f t="shared" si="7"/>
        <v>18080</v>
      </c>
      <c r="M59" s="863">
        <v>18010</v>
      </c>
      <c r="N59" s="863"/>
      <c r="O59" s="863">
        <f t="shared" si="4"/>
        <v>18080</v>
      </c>
      <c r="P59" s="885">
        <v>480</v>
      </c>
      <c r="Q59" s="885">
        <f t="shared" si="5"/>
        <v>8678400</v>
      </c>
      <c r="R59" s="866" t="s">
        <v>5</v>
      </c>
      <c r="S59" s="345"/>
      <c r="T59" s="2015"/>
      <c r="U59" s="163"/>
    </row>
    <row r="60" spans="1:21" s="388" customFormat="1">
      <c r="A60" s="882">
        <v>46160</v>
      </c>
      <c r="B60" s="886" t="s">
        <v>264</v>
      </c>
      <c r="C60" s="882" t="s">
        <v>440</v>
      </c>
      <c r="D60" s="128" t="s">
        <v>261</v>
      </c>
      <c r="E60" s="883" t="s">
        <v>225</v>
      </c>
      <c r="F60" s="883" t="s">
        <v>491</v>
      </c>
      <c r="G60" s="883" t="s">
        <v>471</v>
      </c>
      <c r="H60" s="866" t="s">
        <v>112</v>
      </c>
      <c r="I60" s="883" t="s">
        <v>110</v>
      </c>
      <c r="J60" s="886">
        <v>18600</v>
      </c>
      <c r="K60" s="886">
        <v>35280</v>
      </c>
      <c r="L60" s="250">
        <f t="shared" si="7"/>
        <v>16680</v>
      </c>
      <c r="M60" s="863">
        <v>16630</v>
      </c>
      <c r="N60" s="863"/>
      <c r="O60" s="863">
        <f t="shared" si="4"/>
        <v>16680</v>
      </c>
      <c r="P60" s="885">
        <v>480</v>
      </c>
      <c r="Q60" s="885">
        <f t="shared" si="5"/>
        <v>8006400</v>
      </c>
      <c r="R60" s="866" t="s">
        <v>5</v>
      </c>
      <c r="S60" s="345"/>
      <c r="T60" s="2015"/>
      <c r="U60" s="163"/>
    </row>
    <row r="61" spans="1:21" s="388" customFormat="1">
      <c r="A61" s="882">
        <v>46160</v>
      </c>
      <c r="B61" s="886" t="s">
        <v>264</v>
      </c>
      <c r="C61" s="882" t="s">
        <v>440</v>
      </c>
      <c r="D61" s="128" t="s">
        <v>261</v>
      </c>
      <c r="E61" s="883" t="s">
        <v>153</v>
      </c>
      <c r="F61" s="883" t="s">
        <v>499</v>
      </c>
      <c r="G61" s="883" t="s">
        <v>500</v>
      </c>
      <c r="H61" s="866" t="s">
        <v>112</v>
      </c>
      <c r="I61" s="883" t="s">
        <v>110</v>
      </c>
      <c r="J61" s="886">
        <v>18080</v>
      </c>
      <c r="K61" s="886">
        <v>36460</v>
      </c>
      <c r="L61" s="250">
        <f t="shared" si="7"/>
        <v>18380</v>
      </c>
      <c r="M61" s="863">
        <v>18270</v>
      </c>
      <c r="N61" s="863"/>
      <c r="O61" s="863">
        <f t="shared" si="4"/>
        <v>18380</v>
      </c>
      <c r="P61" s="885">
        <v>480</v>
      </c>
      <c r="Q61" s="885">
        <f t="shared" si="5"/>
        <v>8822400</v>
      </c>
      <c r="R61" s="866" t="s">
        <v>5</v>
      </c>
      <c r="S61" s="345"/>
      <c r="T61" s="2015"/>
      <c r="U61" s="163"/>
    </row>
    <row r="62" spans="1:21" s="388" customFormat="1">
      <c r="A62" s="882">
        <v>46160</v>
      </c>
      <c r="B62" s="886" t="s">
        <v>314</v>
      </c>
      <c r="C62" s="882" t="s">
        <v>440</v>
      </c>
      <c r="D62" s="128" t="s">
        <v>263</v>
      </c>
      <c r="E62" s="883" t="s">
        <v>172</v>
      </c>
      <c r="F62" s="883" t="s">
        <v>291</v>
      </c>
      <c r="G62" s="883" t="s">
        <v>292</v>
      </c>
      <c r="H62" s="866" t="s">
        <v>112</v>
      </c>
      <c r="I62" s="883" t="s">
        <v>132</v>
      </c>
      <c r="J62" s="886">
        <v>15570</v>
      </c>
      <c r="K62" s="886">
        <v>19660</v>
      </c>
      <c r="L62" s="250">
        <f t="shared" si="7"/>
        <v>4090</v>
      </c>
      <c r="M62" s="863">
        <v>4090</v>
      </c>
      <c r="N62" s="863"/>
      <c r="O62" s="863">
        <f t="shared" si="4"/>
        <v>4090</v>
      </c>
      <c r="P62" s="885">
        <v>465</v>
      </c>
      <c r="Q62" s="885">
        <f t="shared" si="5"/>
        <v>1901850</v>
      </c>
      <c r="R62" s="866" t="s">
        <v>5</v>
      </c>
      <c r="S62" s="345" t="s">
        <v>514</v>
      </c>
      <c r="T62" s="2015"/>
      <c r="U62" s="163"/>
    </row>
    <row r="63" spans="1:21" s="388" customFormat="1">
      <c r="A63" s="882">
        <v>46160</v>
      </c>
      <c r="B63" s="886" t="s">
        <v>314</v>
      </c>
      <c r="C63" s="882" t="s">
        <v>440</v>
      </c>
      <c r="D63" s="128" t="s">
        <v>261</v>
      </c>
      <c r="E63" s="883" t="s">
        <v>118</v>
      </c>
      <c r="F63" s="883" t="s">
        <v>494</v>
      </c>
      <c r="G63" s="883" t="s">
        <v>495</v>
      </c>
      <c r="H63" s="866" t="s">
        <v>112</v>
      </c>
      <c r="I63" s="883" t="s">
        <v>119</v>
      </c>
      <c r="J63" s="886">
        <v>18080</v>
      </c>
      <c r="K63" s="886">
        <v>26800</v>
      </c>
      <c r="L63" s="250">
        <f t="shared" si="7"/>
        <v>8720</v>
      </c>
      <c r="M63" s="863">
        <v>8680</v>
      </c>
      <c r="N63" s="863"/>
      <c r="O63" s="863">
        <f t="shared" si="4"/>
        <v>8720</v>
      </c>
      <c r="P63" s="885">
        <v>450</v>
      </c>
      <c r="Q63" s="885">
        <f t="shared" si="5"/>
        <v>3924000</v>
      </c>
      <c r="R63" s="866" t="s">
        <v>5</v>
      </c>
      <c r="S63" s="345"/>
      <c r="T63" s="2015"/>
      <c r="U63" s="163"/>
    </row>
    <row r="64" spans="1:21" s="388" customFormat="1">
      <c r="A64" s="882">
        <v>46160</v>
      </c>
      <c r="B64" s="886" t="s">
        <v>314</v>
      </c>
      <c r="C64" s="882" t="s">
        <v>440</v>
      </c>
      <c r="D64" s="128" t="s">
        <v>261</v>
      </c>
      <c r="E64" s="883" t="s">
        <v>155</v>
      </c>
      <c r="F64" s="883" t="s">
        <v>510</v>
      </c>
      <c r="G64" s="883" t="s">
        <v>511</v>
      </c>
      <c r="H64" s="866" t="s">
        <v>112</v>
      </c>
      <c r="I64" s="883" t="s">
        <v>255</v>
      </c>
      <c r="J64" s="886">
        <v>18610</v>
      </c>
      <c r="K64" s="886">
        <v>25680</v>
      </c>
      <c r="L64" s="250">
        <f t="shared" si="7"/>
        <v>7070</v>
      </c>
      <c r="M64" s="863">
        <v>7270</v>
      </c>
      <c r="N64" s="863"/>
      <c r="O64" s="863">
        <f t="shared" si="4"/>
        <v>7070</v>
      </c>
      <c r="P64" s="885">
        <v>450</v>
      </c>
      <c r="Q64" s="885">
        <f t="shared" si="5"/>
        <v>3181500</v>
      </c>
      <c r="R64" s="866" t="s">
        <v>5</v>
      </c>
      <c r="S64" s="345"/>
      <c r="T64" s="2015"/>
      <c r="U64" s="163"/>
    </row>
    <row r="65" spans="1:21" s="388" customFormat="1">
      <c r="A65" s="882">
        <v>46160</v>
      </c>
      <c r="B65" s="886" t="s">
        <v>314</v>
      </c>
      <c r="C65" s="882" t="s">
        <v>440</v>
      </c>
      <c r="D65" s="128" t="s">
        <v>261</v>
      </c>
      <c r="E65" s="883" t="s">
        <v>116</v>
      </c>
      <c r="F65" s="883" t="s">
        <v>319</v>
      </c>
      <c r="G65" s="883" t="s">
        <v>320</v>
      </c>
      <c r="H65" s="866" t="s">
        <v>112</v>
      </c>
      <c r="I65" s="883" t="s">
        <v>110</v>
      </c>
      <c r="J65" s="886">
        <v>18840</v>
      </c>
      <c r="K65" s="886">
        <v>32380</v>
      </c>
      <c r="L65" s="250">
        <f t="shared" si="7"/>
        <v>13540</v>
      </c>
      <c r="M65" s="863">
        <v>13450</v>
      </c>
      <c r="N65" s="863"/>
      <c r="O65" s="863">
        <f t="shared" si="4"/>
        <v>13540</v>
      </c>
      <c r="P65" s="885">
        <v>470</v>
      </c>
      <c r="Q65" s="885">
        <f t="shared" si="5"/>
        <v>6363800</v>
      </c>
      <c r="R65" s="866" t="s">
        <v>5</v>
      </c>
      <c r="S65" s="345"/>
      <c r="T65" s="2015"/>
      <c r="U65" s="163"/>
    </row>
    <row r="66" spans="1:21" s="388" customFormat="1">
      <c r="A66" s="880">
        <v>46160</v>
      </c>
      <c r="B66" s="675" t="s">
        <v>314</v>
      </c>
      <c r="C66" s="880" t="s">
        <v>440</v>
      </c>
      <c r="D66" s="127" t="s">
        <v>261</v>
      </c>
      <c r="E66" s="881" t="s">
        <v>117</v>
      </c>
      <c r="F66" s="881" t="s">
        <v>329</v>
      </c>
      <c r="G66" s="881" t="s">
        <v>330</v>
      </c>
      <c r="H66" s="867" t="s">
        <v>112</v>
      </c>
      <c r="I66" s="881" t="s">
        <v>110</v>
      </c>
      <c r="J66" s="675">
        <v>18700</v>
      </c>
      <c r="K66" s="675">
        <v>31220</v>
      </c>
      <c r="L66" s="251">
        <f t="shared" si="7"/>
        <v>12520</v>
      </c>
      <c r="M66" s="877">
        <v>12470</v>
      </c>
      <c r="N66" s="877"/>
      <c r="O66" s="877">
        <f t="shared" si="4"/>
        <v>12520</v>
      </c>
      <c r="P66" s="271">
        <v>470</v>
      </c>
      <c r="Q66" s="271">
        <f t="shared" si="5"/>
        <v>5884400</v>
      </c>
      <c r="R66" s="867" t="s">
        <v>5</v>
      </c>
      <c r="S66" s="339"/>
      <c r="T66" s="2016"/>
      <c r="U66" s="163"/>
    </row>
    <row r="67" spans="1:21" s="388" customFormat="1">
      <c r="A67" s="928">
        <v>46161</v>
      </c>
      <c r="B67" s="925" t="s">
        <v>264</v>
      </c>
      <c r="C67" s="928" t="s">
        <v>440</v>
      </c>
      <c r="D67" s="138" t="s">
        <v>261</v>
      </c>
      <c r="E67" s="932" t="s">
        <v>179</v>
      </c>
      <c r="F67" s="932" t="s">
        <v>327</v>
      </c>
      <c r="G67" s="932" t="s">
        <v>328</v>
      </c>
      <c r="H67" s="894" t="s">
        <v>112</v>
      </c>
      <c r="I67" s="932" t="s">
        <v>272</v>
      </c>
      <c r="J67" s="925">
        <v>18940</v>
      </c>
      <c r="K67" s="925">
        <v>42040</v>
      </c>
      <c r="L67" s="249">
        <f t="shared" si="7"/>
        <v>23100</v>
      </c>
      <c r="M67" s="320">
        <v>22970</v>
      </c>
      <c r="N67" s="320"/>
      <c r="O67" s="320">
        <f t="shared" si="4"/>
        <v>23100</v>
      </c>
      <c r="P67" s="137">
        <v>500</v>
      </c>
      <c r="Q67" s="137">
        <f t="shared" si="5"/>
        <v>11550000</v>
      </c>
      <c r="R67" s="894" t="s">
        <v>5</v>
      </c>
      <c r="S67" s="344"/>
      <c r="T67" s="2016" t="s">
        <v>520</v>
      </c>
      <c r="U67" s="163"/>
    </row>
    <row r="68" spans="1:21" s="388" customFormat="1">
      <c r="A68" s="920">
        <v>46161</v>
      </c>
      <c r="B68" s="926" t="s">
        <v>264</v>
      </c>
      <c r="C68" s="920" t="s">
        <v>440</v>
      </c>
      <c r="D68" s="128" t="s">
        <v>261</v>
      </c>
      <c r="E68" s="924" t="s">
        <v>441</v>
      </c>
      <c r="F68" s="924"/>
      <c r="G68" s="924"/>
      <c r="H68" s="895" t="s">
        <v>112</v>
      </c>
      <c r="I68" s="924" t="s">
        <v>272</v>
      </c>
      <c r="J68" s="926">
        <v>18600</v>
      </c>
      <c r="K68" s="926">
        <v>42320</v>
      </c>
      <c r="L68" s="250">
        <f t="shared" si="7"/>
        <v>23720</v>
      </c>
      <c r="M68" s="902">
        <v>23650</v>
      </c>
      <c r="N68" s="902"/>
      <c r="O68" s="902">
        <f t="shared" si="4"/>
        <v>23720</v>
      </c>
      <c r="P68" s="922">
        <v>500</v>
      </c>
      <c r="Q68" s="922">
        <f t="shared" si="5"/>
        <v>11860000</v>
      </c>
      <c r="R68" s="895" t="s">
        <v>5</v>
      </c>
      <c r="S68" s="345"/>
      <c r="T68" s="2017"/>
      <c r="U68" s="163"/>
    </row>
    <row r="69" spans="1:21" s="388" customFormat="1">
      <c r="A69" s="920">
        <v>46161</v>
      </c>
      <c r="B69" s="926" t="s">
        <v>264</v>
      </c>
      <c r="C69" s="920" t="s">
        <v>440</v>
      </c>
      <c r="D69" s="128" t="s">
        <v>261</v>
      </c>
      <c r="E69" s="924" t="s">
        <v>472</v>
      </c>
      <c r="F69" s="924"/>
      <c r="G69" s="924"/>
      <c r="H69" s="895" t="s">
        <v>112</v>
      </c>
      <c r="I69" s="924" t="s">
        <v>110</v>
      </c>
      <c r="J69" s="926">
        <v>18740</v>
      </c>
      <c r="K69" s="926">
        <v>42180</v>
      </c>
      <c r="L69" s="250">
        <f t="shared" si="7"/>
        <v>23440</v>
      </c>
      <c r="M69" s="902">
        <v>23410</v>
      </c>
      <c r="N69" s="902"/>
      <c r="O69" s="902">
        <f t="shared" si="4"/>
        <v>23440</v>
      </c>
      <c r="P69" s="922">
        <v>480</v>
      </c>
      <c r="Q69" s="922">
        <f t="shared" si="5"/>
        <v>11251200</v>
      </c>
      <c r="R69" s="895" t="s">
        <v>5</v>
      </c>
      <c r="S69" s="345"/>
      <c r="T69" s="2017"/>
      <c r="U69" s="163"/>
    </row>
    <row r="70" spans="1:21" s="388" customFormat="1">
      <c r="A70" s="920">
        <v>46161</v>
      </c>
      <c r="B70" s="926" t="s">
        <v>264</v>
      </c>
      <c r="C70" s="920" t="s">
        <v>440</v>
      </c>
      <c r="D70" s="128" t="s">
        <v>261</v>
      </c>
      <c r="E70" s="924" t="s">
        <v>168</v>
      </c>
      <c r="F70" s="924" t="s">
        <v>478</v>
      </c>
      <c r="G70" s="924" t="s">
        <v>479</v>
      </c>
      <c r="H70" s="895" t="s">
        <v>112</v>
      </c>
      <c r="I70" s="924" t="s">
        <v>272</v>
      </c>
      <c r="J70" s="926">
        <v>18800</v>
      </c>
      <c r="K70" s="926">
        <v>42660</v>
      </c>
      <c r="L70" s="250">
        <f t="shared" si="7"/>
        <v>23860</v>
      </c>
      <c r="M70" s="902">
        <v>23800</v>
      </c>
      <c r="N70" s="902"/>
      <c r="O70" s="902">
        <f t="shared" si="4"/>
        <v>23860</v>
      </c>
      <c r="P70" s="922">
        <v>500</v>
      </c>
      <c r="Q70" s="922">
        <f t="shared" si="5"/>
        <v>11930000</v>
      </c>
      <c r="R70" s="895" t="s">
        <v>5</v>
      </c>
      <c r="S70" s="345"/>
      <c r="T70" s="2017"/>
      <c r="U70" s="163"/>
    </row>
    <row r="71" spans="1:21" s="388" customFormat="1">
      <c r="A71" s="920">
        <v>46161</v>
      </c>
      <c r="B71" s="926" t="s">
        <v>264</v>
      </c>
      <c r="C71" s="920" t="s">
        <v>440</v>
      </c>
      <c r="D71" s="128" t="s">
        <v>261</v>
      </c>
      <c r="E71" s="924" t="s">
        <v>220</v>
      </c>
      <c r="F71" s="924" t="s">
        <v>474</v>
      </c>
      <c r="G71" s="924" t="s">
        <v>475</v>
      </c>
      <c r="H71" s="895" t="s">
        <v>112</v>
      </c>
      <c r="I71" s="924" t="s">
        <v>110</v>
      </c>
      <c r="J71" s="926">
        <v>18100</v>
      </c>
      <c r="K71" s="926">
        <v>38560</v>
      </c>
      <c r="L71" s="250">
        <f t="shared" si="7"/>
        <v>20460</v>
      </c>
      <c r="M71" s="902">
        <v>20320</v>
      </c>
      <c r="N71" s="902"/>
      <c r="O71" s="902">
        <f t="shared" ref="O71:O79" si="11">L71</f>
        <v>20460</v>
      </c>
      <c r="P71" s="922">
        <v>480</v>
      </c>
      <c r="Q71" s="922">
        <f t="shared" si="5"/>
        <v>9820800</v>
      </c>
      <c r="R71" s="895" t="s">
        <v>5</v>
      </c>
      <c r="S71" s="345"/>
      <c r="T71" s="2017"/>
      <c r="U71" s="163"/>
    </row>
    <row r="72" spans="1:21" s="388" customFormat="1">
      <c r="A72" s="920">
        <v>46161</v>
      </c>
      <c r="B72" s="926" t="s">
        <v>264</v>
      </c>
      <c r="C72" s="920" t="s">
        <v>440</v>
      </c>
      <c r="D72" s="128" t="s">
        <v>261</v>
      </c>
      <c r="E72" s="924" t="s">
        <v>144</v>
      </c>
      <c r="F72" s="924" t="s">
        <v>470</v>
      </c>
      <c r="G72" s="924" t="s">
        <v>471</v>
      </c>
      <c r="H72" s="895" t="s">
        <v>112</v>
      </c>
      <c r="I72" s="924" t="s">
        <v>518</v>
      </c>
      <c r="J72" s="926">
        <v>18520</v>
      </c>
      <c r="K72" s="926">
        <v>39520</v>
      </c>
      <c r="L72" s="250">
        <f t="shared" si="7"/>
        <v>21000</v>
      </c>
      <c r="M72" s="902">
        <v>20810</v>
      </c>
      <c r="N72" s="902"/>
      <c r="O72" s="902">
        <f t="shared" si="11"/>
        <v>21000</v>
      </c>
      <c r="P72" s="922">
        <v>420</v>
      </c>
      <c r="Q72" s="922">
        <f t="shared" si="5"/>
        <v>8820000</v>
      </c>
      <c r="R72" s="895" t="s">
        <v>5</v>
      </c>
      <c r="S72" s="345"/>
      <c r="T72" s="2017"/>
      <c r="U72" s="163"/>
    </row>
    <row r="73" spans="1:21" s="388" customFormat="1">
      <c r="A73" s="920">
        <v>46161</v>
      </c>
      <c r="B73" s="926" t="s">
        <v>264</v>
      </c>
      <c r="C73" s="920" t="s">
        <v>440</v>
      </c>
      <c r="D73" s="128" t="s">
        <v>261</v>
      </c>
      <c r="E73" s="924" t="s">
        <v>179</v>
      </c>
      <c r="F73" s="924" t="s">
        <v>327</v>
      </c>
      <c r="G73" s="924" t="s">
        <v>328</v>
      </c>
      <c r="H73" s="895" t="s">
        <v>112</v>
      </c>
      <c r="I73" s="924" t="s">
        <v>272</v>
      </c>
      <c r="J73" s="926">
        <v>18940</v>
      </c>
      <c r="K73" s="926">
        <v>42600</v>
      </c>
      <c r="L73" s="250">
        <f t="shared" si="7"/>
        <v>23660</v>
      </c>
      <c r="M73" s="902">
        <v>23510</v>
      </c>
      <c r="N73" s="902"/>
      <c r="O73" s="902">
        <f t="shared" si="11"/>
        <v>23660</v>
      </c>
      <c r="P73" s="922">
        <v>500</v>
      </c>
      <c r="Q73" s="922">
        <f t="shared" si="5"/>
        <v>11830000</v>
      </c>
      <c r="R73" s="895" t="s">
        <v>5</v>
      </c>
      <c r="S73" s="345"/>
      <c r="T73" s="2017"/>
      <c r="U73" s="163"/>
    </row>
    <row r="74" spans="1:21" s="388" customFormat="1">
      <c r="A74" s="920">
        <v>46161</v>
      </c>
      <c r="B74" s="926" t="s">
        <v>264</v>
      </c>
      <c r="C74" s="920" t="s">
        <v>440</v>
      </c>
      <c r="D74" s="128" t="s">
        <v>261</v>
      </c>
      <c r="E74" s="924" t="s">
        <v>441</v>
      </c>
      <c r="F74" s="924"/>
      <c r="G74" s="924"/>
      <c r="H74" s="895" t="s">
        <v>112</v>
      </c>
      <c r="I74" s="924" t="s">
        <v>272</v>
      </c>
      <c r="J74" s="926">
        <v>18760</v>
      </c>
      <c r="K74" s="926">
        <v>42620</v>
      </c>
      <c r="L74" s="250">
        <f t="shared" si="7"/>
        <v>23860</v>
      </c>
      <c r="M74" s="902">
        <v>23850</v>
      </c>
      <c r="N74" s="902"/>
      <c r="O74" s="902">
        <f t="shared" si="11"/>
        <v>23860</v>
      </c>
      <c r="P74" s="922">
        <v>500</v>
      </c>
      <c r="Q74" s="922">
        <f t="shared" si="5"/>
        <v>11930000</v>
      </c>
      <c r="R74" s="895" t="s">
        <v>5</v>
      </c>
      <c r="S74" s="345"/>
      <c r="T74" s="2017"/>
      <c r="U74" s="163"/>
    </row>
    <row r="75" spans="1:21" s="388" customFormat="1">
      <c r="A75" s="920">
        <v>46161</v>
      </c>
      <c r="B75" s="926" t="s">
        <v>264</v>
      </c>
      <c r="C75" s="920" t="s">
        <v>440</v>
      </c>
      <c r="D75" s="128" t="s">
        <v>261</v>
      </c>
      <c r="E75" s="924" t="s">
        <v>472</v>
      </c>
      <c r="F75" s="924"/>
      <c r="G75" s="924"/>
      <c r="H75" s="895" t="s">
        <v>112</v>
      </c>
      <c r="I75" s="924" t="s">
        <v>110</v>
      </c>
      <c r="J75" s="926">
        <v>18860</v>
      </c>
      <c r="K75" s="926">
        <v>43100</v>
      </c>
      <c r="L75" s="250">
        <f t="shared" si="7"/>
        <v>24240</v>
      </c>
      <c r="M75" s="902">
        <v>24200</v>
      </c>
      <c r="N75" s="902"/>
      <c r="O75" s="902">
        <f t="shared" si="11"/>
        <v>24240</v>
      </c>
      <c r="P75" s="922">
        <v>480</v>
      </c>
      <c r="Q75" s="922">
        <f t="shared" si="5"/>
        <v>11635200</v>
      </c>
      <c r="R75" s="895" t="s">
        <v>5</v>
      </c>
      <c r="S75" s="345"/>
      <c r="T75" s="2017"/>
      <c r="U75" s="163"/>
    </row>
    <row r="76" spans="1:21" s="388" customFormat="1">
      <c r="A76" s="920">
        <v>46161</v>
      </c>
      <c r="B76" s="926" t="s">
        <v>264</v>
      </c>
      <c r="C76" s="920" t="s">
        <v>440</v>
      </c>
      <c r="D76" s="128" t="s">
        <v>261</v>
      </c>
      <c r="E76" s="924" t="s">
        <v>168</v>
      </c>
      <c r="F76" s="924" t="s">
        <v>478</v>
      </c>
      <c r="G76" s="924" t="s">
        <v>479</v>
      </c>
      <c r="H76" s="895" t="s">
        <v>112</v>
      </c>
      <c r="I76" s="924" t="s">
        <v>272</v>
      </c>
      <c r="J76" s="926">
        <v>18800</v>
      </c>
      <c r="K76" s="926">
        <v>42520</v>
      </c>
      <c r="L76" s="250">
        <f t="shared" si="7"/>
        <v>23720</v>
      </c>
      <c r="M76" s="902">
        <v>23680</v>
      </c>
      <c r="N76" s="902"/>
      <c r="O76" s="902">
        <f t="shared" si="11"/>
        <v>23720</v>
      </c>
      <c r="P76" s="922">
        <v>500</v>
      </c>
      <c r="Q76" s="922">
        <f t="shared" si="5"/>
        <v>11860000</v>
      </c>
      <c r="R76" s="895" t="s">
        <v>5</v>
      </c>
      <c r="S76" s="345"/>
      <c r="T76" s="2017"/>
      <c r="U76" s="163"/>
    </row>
    <row r="77" spans="1:21" s="388" customFormat="1">
      <c r="A77" s="920">
        <v>46161</v>
      </c>
      <c r="B77" s="926" t="s">
        <v>264</v>
      </c>
      <c r="C77" s="920" t="s">
        <v>440</v>
      </c>
      <c r="D77" s="128" t="s">
        <v>274</v>
      </c>
      <c r="E77" s="924" t="s">
        <v>519</v>
      </c>
      <c r="F77" s="924"/>
      <c r="G77" s="924"/>
      <c r="H77" s="895" t="s">
        <v>112</v>
      </c>
      <c r="I77" s="924" t="s">
        <v>283</v>
      </c>
      <c r="J77" s="926">
        <v>14820</v>
      </c>
      <c r="K77" s="926">
        <v>20920</v>
      </c>
      <c r="L77" s="250">
        <f t="shared" si="7"/>
        <v>6100</v>
      </c>
      <c r="M77" s="902">
        <v>6060</v>
      </c>
      <c r="N77" s="902"/>
      <c r="O77" s="902">
        <f t="shared" si="11"/>
        <v>6100</v>
      </c>
      <c r="P77" s="922">
        <v>470</v>
      </c>
      <c r="Q77" s="922">
        <f t="shared" si="5"/>
        <v>2867000</v>
      </c>
      <c r="R77" s="895" t="s">
        <v>5</v>
      </c>
      <c r="S77" s="345"/>
      <c r="T77" s="2017"/>
      <c r="U77" s="163"/>
    </row>
    <row r="78" spans="1:21" s="388" customFormat="1">
      <c r="A78" s="920">
        <v>46161</v>
      </c>
      <c r="B78" s="926" t="s">
        <v>314</v>
      </c>
      <c r="C78" s="920" t="s">
        <v>440</v>
      </c>
      <c r="D78" s="128" t="s">
        <v>263</v>
      </c>
      <c r="E78" s="924" t="s">
        <v>172</v>
      </c>
      <c r="F78" s="924" t="s">
        <v>291</v>
      </c>
      <c r="G78" s="924" t="s">
        <v>292</v>
      </c>
      <c r="H78" s="895" t="s">
        <v>112</v>
      </c>
      <c r="I78" s="924" t="s">
        <v>255</v>
      </c>
      <c r="J78" s="926">
        <v>14010</v>
      </c>
      <c r="K78" s="926">
        <v>17900</v>
      </c>
      <c r="L78" s="250">
        <f t="shared" si="7"/>
        <v>3890</v>
      </c>
      <c r="M78" s="902">
        <v>3890</v>
      </c>
      <c r="N78" s="902"/>
      <c r="O78" s="902">
        <f t="shared" si="11"/>
        <v>3890</v>
      </c>
      <c r="P78" s="922">
        <v>465</v>
      </c>
      <c r="Q78" s="922">
        <f t="shared" si="5"/>
        <v>1808850</v>
      </c>
      <c r="R78" s="895" t="s">
        <v>5</v>
      </c>
      <c r="S78" s="345" t="s">
        <v>523</v>
      </c>
      <c r="T78" s="2017"/>
      <c r="U78" s="163"/>
    </row>
    <row r="79" spans="1:21" s="388" customFormat="1">
      <c r="A79" s="929">
        <v>46161</v>
      </c>
      <c r="B79" s="202" t="s">
        <v>314</v>
      </c>
      <c r="C79" s="929" t="s">
        <v>440</v>
      </c>
      <c r="D79" s="129" t="s">
        <v>263</v>
      </c>
      <c r="E79" s="933" t="s">
        <v>172</v>
      </c>
      <c r="F79" s="933" t="s">
        <v>291</v>
      </c>
      <c r="G79" s="933" t="s">
        <v>292</v>
      </c>
      <c r="H79" s="913" t="s">
        <v>112</v>
      </c>
      <c r="I79" s="933" t="s">
        <v>132</v>
      </c>
      <c r="J79" s="202">
        <v>17900</v>
      </c>
      <c r="K79" s="202">
        <v>21120</v>
      </c>
      <c r="L79" s="257">
        <f t="shared" si="7"/>
        <v>3220</v>
      </c>
      <c r="M79" s="918">
        <v>3220</v>
      </c>
      <c r="N79" s="918"/>
      <c r="O79" s="918">
        <f t="shared" si="11"/>
        <v>3220</v>
      </c>
      <c r="P79" s="923">
        <v>465</v>
      </c>
      <c r="Q79" s="923">
        <f t="shared" si="5"/>
        <v>1497300</v>
      </c>
      <c r="R79" s="913" t="s">
        <v>5</v>
      </c>
      <c r="S79" s="346" t="s">
        <v>523</v>
      </c>
      <c r="T79" s="2018"/>
      <c r="U79" s="163"/>
    </row>
    <row r="80" spans="1:21" s="388" customFormat="1">
      <c r="A80" s="1010">
        <v>46162</v>
      </c>
      <c r="B80" s="1008" t="s">
        <v>314</v>
      </c>
      <c r="C80" s="1010" t="s">
        <v>440</v>
      </c>
      <c r="D80" s="138" t="s">
        <v>263</v>
      </c>
      <c r="E80" s="1012" t="s">
        <v>172</v>
      </c>
      <c r="F80" s="1012" t="s">
        <v>291</v>
      </c>
      <c r="G80" s="1012" t="s">
        <v>292</v>
      </c>
      <c r="H80" s="984" t="s">
        <v>112</v>
      </c>
      <c r="I80" s="1012" t="s">
        <v>271</v>
      </c>
      <c r="J80" s="1008">
        <v>14090</v>
      </c>
      <c r="K80" s="1008">
        <v>20150</v>
      </c>
      <c r="L80" s="249">
        <f t="shared" si="7"/>
        <v>6060</v>
      </c>
      <c r="M80" s="320">
        <v>5600</v>
      </c>
      <c r="N80" s="320"/>
      <c r="O80" s="320">
        <v>5600</v>
      </c>
      <c r="P80" s="137">
        <v>500</v>
      </c>
      <c r="Q80" s="137">
        <f>P80*O80</f>
        <v>2800000</v>
      </c>
      <c r="R80" s="1992" t="s">
        <v>5</v>
      </c>
      <c r="S80" s="344"/>
      <c r="T80" s="2015" t="s">
        <v>550</v>
      </c>
      <c r="U80" s="163"/>
    </row>
    <row r="81" spans="1:21" s="388" customFormat="1">
      <c r="A81" s="1001">
        <v>46162</v>
      </c>
      <c r="B81" s="1009" t="s">
        <v>314</v>
      </c>
      <c r="C81" s="1001" t="s">
        <v>440</v>
      </c>
      <c r="D81" s="128" t="s">
        <v>263</v>
      </c>
      <c r="E81" s="1005" t="s">
        <v>172</v>
      </c>
      <c r="F81" s="1005" t="s">
        <v>291</v>
      </c>
      <c r="G81" s="1005" t="s">
        <v>292</v>
      </c>
      <c r="H81" s="985" t="s">
        <v>112</v>
      </c>
      <c r="I81" s="1005" t="s">
        <v>119</v>
      </c>
      <c r="J81" s="1009"/>
      <c r="K81" s="1009"/>
      <c r="L81" s="250"/>
      <c r="M81" s="992">
        <v>410</v>
      </c>
      <c r="N81" s="992"/>
      <c r="O81" s="992">
        <v>410</v>
      </c>
      <c r="P81" s="1003">
        <v>465</v>
      </c>
      <c r="Q81" s="1003">
        <f t="shared" ref="Q81:Q88" si="12">P81*O81</f>
        <v>190650</v>
      </c>
      <c r="R81" s="1993"/>
      <c r="S81" s="345"/>
      <c r="T81" s="2015"/>
      <c r="U81" s="163"/>
    </row>
    <row r="82" spans="1:21" s="388" customFormat="1">
      <c r="A82" s="1001">
        <v>46162</v>
      </c>
      <c r="B82" s="1009" t="s">
        <v>264</v>
      </c>
      <c r="C82" s="1001" t="s">
        <v>440</v>
      </c>
      <c r="D82" s="128" t="s">
        <v>261</v>
      </c>
      <c r="E82" s="1005" t="s">
        <v>323</v>
      </c>
      <c r="F82" s="1005"/>
      <c r="G82" s="1005"/>
      <c r="H82" s="985" t="s">
        <v>112</v>
      </c>
      <c r="I82" s="1005" t="s">
        <v>272</v>
      </c>
      <c r="J82" s="1009">
        <v>18520</v>
      </c>
      <c r="K82" s="1009">
        <v>43540</v>
      </c>
      <c r="L82" s="250">
        <f t="shared" si="7"/>
        <v>25020</v>
      </c>
      <c r="M82" s="992"/>
      <c r="N82" s="992"/>
      <c r="O82" s="992">
        <f>L82</f>
        <v>25020</v>
      </c>
      <c r="P82" s="1003">
        <v>500</v>
      </c>
      <c r="Q82" s="1003">
        <f t="shared" si="12"/>
        <v>12510000</v>
      </c>
      <c r="R82" s="985" t="s">
        <v>5</v>
      </c>
      <c r="S82" s="345"/>
      <c r="T82" s="2015"/>
      <c r="U82" s="163"/>
    </row>
    <row r="83" spans="1:21" s="388" customFormat="1">
      <c r="A83" s="1001">
        <v>46162</v>
      </c>
      <c r="B83" s="1009" t="s">
        <v>264</v>
      </c>
      <c r="C83" s="1001" t="s">
        <v>440</v>
      </c>
      <c r="D83" s="128" t="s">
        <v>261</v>
      </c>
      <c r="E83" s="1005" t="s">
        <v>152</v>
      </c>
      <c r="F83" s="1005" t="s">
        <v>537</v>
      </c>
      <c r="G83" s="1005" t="s">
        <v>538</v>
      </c>
      <c r="H83" s="985" t="s">
        <v>112</v>
      </c>
      <c r="I83" s="1005" t="s">
        <v>110</v>
      </c>
      <c r="J83" s="1009">
        <v>18400</v>
      </c>
      <c r="K83" s="1009">
        <v>41460</v>
      </c>
      <c r="L83" s="250">
        <f t="shared" si="7"/>
        <v>23060</v>
      </c>
      <c r="M83" s="992"/>
      <c r="N83" s="992"/>
      <c r="O83" s="992">
        <f t="shared" ref="O83:O84" si="13">L83</f>
        <v>23060</v>
      </c>
      <c r="P83" s="1003">
        <v>480</v>
      </c>
      <c r="Q83" s="1003">
        <f t="shared" si="12"/>
        <v>11068800</v>
      </c>
      <c r="R83" s="985" t="s">
        <v>5</v>
      </c>
      <c r="S83" s="345"/>
      <c r="T83" s="2015"/>
      <c r="U83" s="163"/>
    </row>
    <row r="84" spans="1:21" s="388" customFormat="1">
      <c r="A84" s="1011">
        <v>46162</v>
      </c>
      <c r="B84" s="202" t="s">
        <v>264</v>
      </c>
      <c r="C84" s="1011" t="s">
        <v>440</v>
      </c>
      <c r="D84" s="129" t="s">
        <v>261</v>
      </c>
      <c r="E84" s="1013" t="s">
        <v>326</v>
      </c>
      <c r="F84" s="1013"/>
      <c r="G84" s="1013"/>
      <c r="H84" s="986" t="s">
        <v>112</v>
      </c>
      <c r="I84" s="1013" t="s">
        <v>110</v>
      </c>
      <c r="J84" s="202">
        <v>18100</v>
      </c>
      <c r="K84" s="202">
        <v>43180</v>
      </c>
      <c r="L84" s="257">
        <f t="shared" si="7"/>
        <v>25080</v>
      </c>
      <c r="M84" s="1002"/>
      <c r="N84" s="1002"/>
      <c r="O84" s="1002">
        <f t="shared" si="13"/>
        <v>25080</v>
      </c>
      <c r="P84" s="1004">
        <v>480</v>
      </c>
      <c r="Q84" s="1004">
        <f t="shared" si="12"/>
        <v>12038400</v>
      </c>
      <c r="R84" s="986" t="s">
        <v>5</v>
      </c>
      <c r="S84" s="346"/>
      <c r="T84" s="2015"/>
      <c r="U84" s="163"/>
    </row>
    <row r="85" spans="1:21" s="388" customFormat="1">
      <c r="A85" s="1080">
        <v>46163</v>
      </c>
      <c r="B85" s="1078" t="s">
        <v>264</v>
      </c>
      <c r="C85" s="1080" t="s">
        <v>262</v>
      </c>
      <c r="D85" s="138" t="s">
        <v>263</v>
      </c>
      <c r="E85" s="1082" t="s">
        <v>172</v>
      </c>
      <c r="F85" s="1082" t="s">
        <v>291</v>
      </c>
      <c r="G85" s="1082" t="s">
        <v>292</v>
      </c>
      <c r="H85" s="1069" t="s">
        <v>112</v>
      </c>
      <c r="I85" s="1082" t="s">
        <v>110</v>
      </c>
      <c r="J85" s="1078">
        <v>14590</v>
      </c>
      <c r="K85" s="1078">
        <v>27080</v>
      </c>
      <c r="L85" s="249">
        <f t="shared" si="7"/>
        <v>12490</v>
      </c>
      <c r="M85" s="320">
        <v>12400</v>
      </c>
      <c r="N85" s="320"/>
      <c r="O85" s="320">
        <f>L85</f>
        <v>12490</v>
      </c>
      <c r="P85" s="137">
        <v>480</v>
      </c>
      <c r="Q85" s="137">
        <f t="shared" si="12"/>
        <v>5995200</v>
      </c>
      <c r="R85" s="1069" t="s">
        <v>5</v>
      </c>
      <c r="S85" s="344" t="s">
        <v>560</v>
      </c>
      <c r="T85" s="2015" t="s">
        <v>572</v>
      </c>
      <c r="U85" s="163"/>
    </row>
    <row r="86" spans="1:21" s="388" customFormat="1">
      <c r="A86" s="1073">
        <v>46163</v>
      </c>
      <c r="B86" s="1079" t="s">
        <v>264</v>
      </c>
      <c r="C86" s="1073" t="s">
        <v>262</v>
      </c>
      <c r="D86" s="128" t="s">
        <v>263</v>
      </c>
      <c r="E86" s="1077" t="s">
        <v>172</v>
      </c>
      <c r="F86" s="1077" t="s">
        <v>291</v>
      </c>
      <c r="G86" s="1077" t="s">
        <v>292</v>
      </c>
      <c r="H86" s="1070" t="s">
        <v>112</v>
      </c>
      <c r="I86" s="1077" t="s">
        <v>110</v>
      </c>
      <c r="J86" s="1079">
        <v>14590</v>
      </c>
      <c r="K86" s="1079">
        <v>25360</v>
      </c>
      <c r="L86" s="250">
        <f t="shared" si="7"/>
        <v>10770</v>
      </c>
      <c r="M86" s="1072">
        <v>10770</v>
      </c>
      <c r="N86" s="1072"/>
      <c r="O86" s="1072">
        <f>M86-N86</f>
        <v>10770</v>
      </c>
      <c r="P86" s="1075">
        <v>480</v>
      </c>
      <c r="Q86" s="1075">
        <f t="shared" si="12"/>
        <v>5169600</v>
      </c>
      <c r="R86" s="1070" t="s">
        <v>5</v>
      </c>
      <c r="S86" s="345" t="s">
        <v>565</v>
      </c>
      <c r="T86" s="2015"/>
      <c r="U86" s="163"/>
    </row>
    <row r="87" spans="1:21" s="388" customFormat="1">
      <c r="A87" s="1073">
        <v>46163</v>
      </c>
      <c r="B87" s="1079" t="s">
        <v>264</v>
      </c>
      <c r="C87" s="1073" t="s">
        <v>440</v>
      </c>
      <c r="D87" s="128" t="s">
        <v>261</v>
      </c>
      <c r="E87" s="1077" t="s">
        <v>117</v>
      </c>
      <c r="F87" s="1077" t="s">
        <v>329</v>
      </c>
      <c r="G87" s="1077" t="s">
        <v>330</v>
      </c>
      <c r="H87" s="1070" t="s">
        <v>112</v>
      </c>
      <c r="I87" s="1077" t="s">
        <v>561</v>
      </c>
      <c r="J87" s="1079">
        <v>18940</v>
      </c>
      <c r="K87" s="1079">
        <v>43480</v>
      </c>
      <c r="L87" s="250">
        <f t="shared" si="7"/>
        <v>24540</v>
      </c>
      <c r="M87" s="1072">
        <v>24640</v>
      </c>
      <c r="N87" s="1072"/>
      <c r="O87" s="1072">
        <f t="shared" ref="O87:O88" si="14">M87-N87</f>
        <v>24640</v>
      </c>
      <c r="P87" s="1075">
        <v>380</v>
      </c>
      <c r="Q87" s="1075">
        <f t="shared" si="12"/>
        <v>9363200</v>
      </c>
      <c r="R87" s="1070" t="s">
        <v>5</v>
      </c>
      <c r="S87" s="345"/>
      <c r="T87" s="2015"/>
      <c r="U87" s="163"/>
    </row>
    <row r="88" spans="1:21" s="388" customFormat="1">
      <c r="A88" s="1081">
        <v>46163</v>
      </c>
      <c r="B88" s="202" t="s">
        <v>264</v>
      </c>
      <c r="C88" s="1081" t="s">
        <v>440</v>
      </c>
      <c r="D88" s="129" t="s">
        <v>261</v>
      </c>
      <c r="E88" s="1083" t="s">
        <v>138</v>
      </c>
      <c r="F88" s="1083" t="s">
        <v>258</v>
      </c>
      <c r="G88" s="1083" t="s">
        <v>259</v>
      </c>
      <c r="H88" s="1071" t="s">
        <v>112</v>
      </c>
      <c r="I88" s="1083" t="s">
        <v>234</v>
      </c>
      <c r="J88" s="202">
        <v>19340</v>
      </c>
      <c r="K88" s="202">
        <v>42260</v>
      </c>
      <c r="L88" s="257">
        <f t="shared" si="7"/>
        <v>22920</v>
      </c>
      <c r="M88" s="1074">
        <v>23530</v>
      </c>
      <c r="N88" s="1074"/>
      <c r="O88" s="1074">
        <f t="shared" si="14"/>
        <v>23530</v>
      </c>
      <c r="P88" s="1076">
        <v>380</v>
      </c>
      <c r="Q88" s="1076">
        <f t="shared" si="12"/>
        <v>8941400</v>
      </c>
      <c r="R88" s="1071" t="s">
        <v>5</v>
      </c>
      <c r="S88" s="346"/>
      <c r="T88" s="2015"/>
      <c r="U88" s="163"/>
    </row>
    <row r="89" spans="1:21" s="388" customFormat="1">
      <c r="A89" s="1113">
        <v>46164</v>
      </c>
      <c r="B89" s="1111" t="s">
        <v>264</v>
      </c>
      <c r="C89" s="1113" t="s">
        <v>262</v>
      </c>
      <c r="D89" s="138" t="s">
        <v>436</v>
      </c>
      <c r="E89" s="1115" t="s">
        <v>437</v>
      </c>
      <c r="F89" s="1115" t="s">
        <v>289</v>
      </c>
      <c r="G89" s="1115" t="s">
        <v>290</v>
      </c>
      <c r="H89" s="1094" t="s">
        <v>112</v>
      </c>
      <c r="I89" s="1115" t="s">
        <v>563</v>
      </c>
      <c r="J89" s="1111">
        <v>2140</v>
      </c>
      <c r="K89" s="1111">
        <v>3590</v>
      </c>
      <c r="L89" s="249">
        <f t="shared" si="7"/>
        <v>1450</v>
      </c>
      <c r="M89" s="320">
        <v>1440</v>
      </c>
      <c r="N89" s="320"/>
      <c r="O89" s="320">
        <f>L89</f>
        <v>1450</v>
      </c>
      <c r="P89" s="137">
        <v>150</v>
      </c>
      <c r="Q89" s="137">
        <f t="shared" ref="Q89" si="15">P89*O89</f>
        <v>217500</v>
      </c>
      <c r="R89" s="1094" t="s">
        <v>5</v>
      </c>
      <c r="S89" s="344" t="s">
        <v>575</v>
      </c>
      <c r="T89" s="2015" t="s">
        <v>594</v>
      </c>
      <c r="U89" s="163"/>
    </row>
    <row r="90" spans="1:21" s="388" customFormat="1">
      <c r="A90" s="1104">
        <v>46164</v>
      </c>
      <c r="B90" s="1112" t="s">
        <v>578</v>
      </c>
      <c r="C90" s="1104" t="s">
        <v>440</v>
      </c>
      <c r="D90" s="128" t="s">
        <v>263</v>
      </c>
      <c r="E90" s="1105" t="s">
        <v>172</v>
      </c>
      <c r="F90" s="1105" t="s">
        <v>291</v>
      </c>
      <c r="G90" s="1105" t="s">
        <v>292</v>
      </c>
      <c r="H90" s="1095" t="s">
        <v>112</v>
      </c>
      <c r="I90" s="1105" t="s">
        <v>272</v>
      </c>
      <c r="J90" s="1112">
        <v>16830</v>
      </c>
      <c r="K90" s="1112">
        <v>19250</v>
      </c>
      <c r="L90" s="250">
        <f t="shared" si="7"/>
        <v>2420</v>
      </c>
      <c r="M90" s="1092">
        <v>2420</v>
      </c>
      <c r="N90" s="1092"/>
      <c r="O90" s="1092">
        <f t="shared" ref="O90:O93" si="16">L90</f>
        <v>2420</v>
      </c>
      <c r="P90" s="1107">
        <v>480</v>
      </c>
      <c r="Q90" s="1107">
        <f t="shared" ref="Q90:Q111" si="17">P90*O90</f>
        <v>1161600</v>
      </c>
      <c r="R90" s="1095" t="s">
        <v>5</v>
      </c>
      <c r="S90" s="345" t="s">
        <v>576</v>
      </c>
      <c r="T90" s="2015"/>
      <c r="U90" s="163"/>
    </row>
    <row r="91" spans="1:21" s="388" customFormat="1">
      <c r="A91" s="1104">
        <v>46164</v>
      </c>
      <c r="B91" s="1112" t="s">
        <v>578</v>
      </c>
      <c r="C91" s="1104" t="s">
        <v>440</v>
      </c>
      <c r="D91" s="128" t="s">
        <v>263</v>
      </c>
      <c r="E91" s="1105" t="s">
        <v>172</v>
      </c>
      <c r="F91" s="1105" t="s">
        <v>291</v>
      </c>
      <c r="G91" s="1105" t="s">
        <v>292</v>
      </c>
      <c r="H91" s="1095" t="s">
        <v>112</v>
      </c>
      <c r="I91" s="1105" t="s">
        <v>119</v>
      </c>
      <c r="J91" s="1112">
        <v>14010</v>
      </c>
      <c r="K91" s="1112">
        <v>16830</v>
      </c>
      <c r="L91" s="250">
        <f t="shared" ref="L91:L95" si="18">K91-J91</f>
        <v>2820</v>
      </c>
      <c r="M91" s="1092">
        <v>2820</v>
      </c>
      <c r="N91" s="1092"/>
      <c r="O91" s="1092">
        <f t="shared" si="16"/>
        <v>2820</v>
      </c>
      <c r="P91" s="1107">
        <v>465</v>
      </c>
      <c r="Q91" s="1107">
        <f t="shared" si="17"/>
        <v>1311300</v>
      </c>
      <c r="R91" s="1095" t="s">
        <v>5</v>
      </c>
      <c r="S91" s="345" t="s">
        <v>576</v>
      </c>
      <c r="T91" s="2015"/>
      <c r="U91" s="163"/>
    </row>
    <row r="92" spans="1:21" s="388" customFormat="1">
      <c r="A92" s="1104">
        <v>46164</v>
      </c>
      <c r="B92" s="1112" t="s">
        <v>522</v>
      </c>
      <c r="C92" s="1104" t="s">
        <v>262</v>
      </c>
      <c r="D92" s="128" t="s">
        <v>263</v>
      </c>
      <c r="E92" s="1105" t="s">
        <v>172</v>
      </c>
      <c r="F92" s="1105" t="s">
        <v>291</v>
      </c>
      <c r="G92" s="1105" t="s">
        <v>292</v>
      </c>
      <c r="H92" s="1095" t="s">
        <v>112</v>
      </c>
      <c r="I92" s="1105" t="s">
        <v>119</v>
      </c>
      <c r="J92" s="1112">
        <v>14110</v>
      </c>
      <c r="K92" s="1112">
        <v>16590</v>
      </c>
      <c r="L92" s="250">
        <f t="shared" si="18"/>
        <v>2480</v>
      </c>
      <c r="M92" s="1092">
        <v>2480</v>
      </c>
      <c r="N92" s="1092"/>
      <c r="O92" s="1092">
        <f t="shared" si="16"/>
        <v>2480</v>
      </c>
      <c r="P92" s="1107">
        <v>465</v>
      </c>
      <c r="Q92" s="1107">
        <f t="shared" si="17"/>
        <v>1153200</v>
      </c>
      <c r="R92" s="1095" t="s">
        <v>5</v>
      </c>
      <c r="S92" s="345" t="s">
        <v>577</v>
      </c>
      <c r="T92" s="2015"/>
      <c r="U92" s="163"/>
    </row>
    <row r="93" spans="1:21" s="388" customFormat="1">
      <c r="A93" s="1104">
        <v>46164</v>
      </c>
      <c r="B93" s="1112" t="s">
        <v>241</v>
      </c>
      <c r="C93" s="1104" t="s">
        <v>440</v>
      </c>
      <c r="D93" s="128" t="s">
        <v>261</v>
      </c>
      <c r="E93" s="1105" t="s">
        <v>159</v>
      </c>
      <c r="F93" s="1105" t="s">
        <v>573</v>
      </c>
      <c r="G93" s="1105" t="s">
        <v>574</v>
      </c>
      <c r="H93" s="1095" t="s">
        <v>112</v>
      </c>
      <c r="I93" s="1105" t="s">
        <v>110</v>
      </c>
      <c r="J93" s="1112">
        <v>18420</v>
      </c>
      <c r="K93" s="1112">
        <v>42920</v>
      </c>
      <c r="L93" s="250">
        <f t="shared" si="18"/>
        <v>24500</v>
      </c>
      <c r="M93" s="1092">
        <v>24320</v>
      </c>
      <c r="N93" s="1092"/>
      <c r="O93" s="1092">
        <f t="shared" si="16"/>
        <v>24500</v>
      </c>
      <c r="P93" s="1107">
        <v>480</v>
      </c>
      <c r="Q93" s="1107">
        <f t="shared" si="17"/>
        <v>11760000</v>
      </c>
      <c r="R93" s="1095" t="s">
        <v>5</v>
      </c>
      <c r="S93" s="345"/>
      <c r="T93" s="2015"/>
      <c r="U93" s="163"/>
    </row>
    <row r="94" spans="1:21" s="388" customFormat="1">
      <c r="A94" s="1114">
        <v>46164</v>
      </c>
      <c r="B94" s="202" t="s">
        <v>264</v>
      </c>
      <c r="C94" s="1114" t="s">
        <v>440</v>
      </c>
      <c r="D94" s="129" t="s">
        <v>261</v>
      </c>
      <c r="E94" s="1116" t="s">
        <v>117</v>
      </c>
      <c r="F94" s="1116" t="s">
        <v>329</v>
      </c>
      <c r="G94" s="1116" t="s">
        <v>330</v>
      </c>
      <c r="H94" s="1096" t="s">
        <v>112</v>
      </c>
      <c r="I94" s="1105" t="s">
        <v>110</v>
      </c>
      <c r="J94" s="202">
        <v>18960</v>
      </c>
      <c r="K94" s="202">
        <v>43460</v>
      </c>
      <c r="L94" s="257">
        <f t="shared" si="18"/>
        <v>24500</v>
      </c>
      <c r="M94" s="1106">
        <v>24390</v>
      </c>
      <c r="N94" s="1106">
        <v>300</v>
      </c>
      <c r="O94" s="1106">
        <f>L94-N94</f>
        <v>24200</v>
      </c>
      <c r="P94" s="1108">
        <v>480</v>
      </c>
      <c r="Q94" s="1108">
        <f t="shared" si="17"/>
        <v>11616000</v>
      </c>
      <c r="R94" s="1096" t="s">
        <v>5</v>
      </c>
      <c r="S94" s="346"/>
      <c r="T94" s="2015"/>
      <c r="U94" s="163"/>
    </row>
    <row r="95" spans="1:21" s="388" customFormat="1">
      <c r="A95" s="143">
        <v>46167</v>
      </c>
      <c r="B95" s="124" t="s">
        <v>264</v>
      </c>
      <c r="C95" s="143" t="s">
        <v>262</v>
      </c>
      <c r="D95" s="144" t="s">
        <v>263</v>
      </c>
      <c r="E95" s="204" t="s">
        <v>334</v>
      </c>
      <c r="F95" s="204" t="s">
        <v>281</v>
      </c>
      <c r="G95" s="204" t="s">
        <v>282</v>
      </c>
      <c r="H95" s="508" t="s">
        <v>112</v>
      </c>
      <c r="I95" s="204" t="s">
        <v>256</v>
      </c>
      <c r="J95" s="124">
        <v>21470</v>
      </c>
      <c r="K95" s="124">
        <v>36550</v>
      </c>
      <c r="L95" s="272">
        <f t="shared" si="18"/>
        <v>15080</v>
      </c>
      <c r="M95" s="145">
        <v>15120</v>
      </c>
      <c r="N95" s="145"/>
      <c r="O95" s="145">
        <v>15080</v>
      </c>
      <c r="P95" s="146">
        <v>480</v>
      </c>
      <c r="Q95" s="146">
        <f t="shared" si="17"/>
        <v>7238400</v>
      </c>
      <c r="R95" s="508" t="s">
        <v>5</v>
      </c>
      <c r="S95" s="255" t="s">
        <v>587</v>
      </c>
      <c r="T95" s="2015"/>
      <c r="U95" s="163"/>
    </row>
    <row r="96" spans="1:21" s="388" customFormat="1">
      <c r="A96" s="1113">
        <v>46168</v>
      </c>
      <c r="B96" s="1111" t="s">
        <v>541</v>
      </c>
      <c r="C96" s="1113" t="s">
        <v>262</v>
      </c>
      <c r="D96" s="138" t="s">
        <v>263</v>
      </c>
      <c r="E96" s="1115" t="s">
        <v>334</v>
      </c>
      <c r="F96" s="1115" t="s">
        <v>281</v>
      </c>
      <c r="G96" s="1115" t="s">
        <v>282</v>
      </c>
      <c r="H96" s="1094" t="s">
        <v>112</v>
      </c>
      <c r="I96" s="1115" t="s">
        <v>110</v>
      </c>
      <c r="J96" s="1111">
        <v>21340</v>
      </c>
      <c r="K96" s="1111">
        <v>28340</v>
      </c>
      <c r="L96" s="249">
        <v>6300</v>
      </c>
      <c r="M96" s="320">
        <v>6300</v>
      </c>
      <c r="N96" s="320"/>
      <c r="O96" s="320">
        <v>6300</v>
      </c>
      <c r="P96" s="137">
        <v>480</v>
      </c>
      <c r="Q96" s="137">
        <f t="shared" si="17"/>
        <v>3024000</v>
      </c>
      <c r="R96" s="1992" t="s">
        <v>5</v>
      </c>
      <c r="S96" s="344" t="s">
        <v>591</v>
      </c>
      <c r="T96" s="2015" t="s">
        <v>599</v>
      </c>
      <c r="U96" s="163"/>
    </row>
    <row r="97" spans="1:21" s="388" customFormat="1">
      <c r="A97" s="1104">
        <v>46168</v>
      </c>
      <c r="B97" s="1112" t="s">
        <v>314</v>
      </c>
      <c r="C97" s="1104" t="s">
        <v>262</v>
      </c>
      <c r="D97" s="128" t="s">
        <v>263</v>
      </c>
      <c r="E97" s="1105" t="s">
        <v>334</v>
      </c>
      <c r="F97" s="1105" t="s">
        <v>281</v>
      </c>
      <c r="G97" s="1105" t="s">
        <v>282</v>
      </c>
      <c r="H97" s="1095" t="s">
        <v>112</v>
      </c>
      <c r="I97" s="1105" t="s">
        <v>110</v>
      </c>
      <c r="J97" s="1112"/>
      <c r="K97" s="1112"/>
      <c r="L97" s="250">
        <v>700</v>
      </c>
      <c r="M97" s="1092">
        <v>690</v>
      </c>
      <c r="N97" s="1092"/>
      <c r="O97" s="1092">
        <v>700</v>
      </c>
      <c r="P97" s="1107">
        <v>480</v>
      </c>
      <c r="Q97" s="1107">
        <f t="shared" si="17"/>
        <v>336000</v>
      </c>
      <c r="R97" s="1993"/>
      <c r="S97" s="345"/>
      <c r="T97" s="2015"/>
      <c r="U97" s="163"/>
    </row>
    <row r="98" spans="1:21" s="388" customFormat="1">
      <c r="A98" s="1104">
        <v>46168</v>
      </c>
      <c r="B98" s="1112" t="s">
        <v>314</v>
      </c>
      <c r="C98" s="1104" t="s">
        <v>262</v>
      </c>
      <c r="D98" s="128" t="s">
        <v>263</v>
      </c>
      <c r="E98" s="1105" t="s">
        <v>334</v>
      </c>
      <c r="F98" s="1105" t="s">
        <v>281</v>
      </c>
      <c r="G98" s="1105" t="s">
        <v>282</v>
      </c>
      <c r="H98" s="1095" t="s">
        <v>112</v>
      </c>
      <c r="I98" s="1105" t="s">
        <v>272</v>
      </c>
      <c r="J98" s="1112">
        <v>21290</v>
      </c>
      <c r="K98" s="1112">
        <v>38460</v>
      </c>
      <c r="L98" s="250">
        <v>15400</v>
      </c>
      <c r="M98" s="1092">
        <v>15400</v>
      </c>
      <c r="N98" s="1092"/>
      <c r="O98" s="1092">
        <v>15400</v>
      </c>
      <c r="P98" s="1107">
        <v>500</v>
      </c>
      <c r="Q98" s="1107">
        <f t="shared" si="17"/>
        <v>7700000</v>
      </c>
      <c r="R98" s="1993" t="s">
        <v>5</v>
      </c>
      <c r="S98" s="345" t="s">
        <v>592</v>
      </c>
      <c r="T98" s="2015"/>
      <c r="U98" s="163"/>
    </row>
    <row r="99" spans="1:21" s="388" customFormat="1">
      <c r="A99" s="1114">
        <v>46168</v>
      </c>
      <c r="B99" s="202" t="s">
        <v>264</v>
      </c>
      <c r="C99" s="1114" t="s">
        <v>262</v>
      </c>
      <c r="D99" s="129" t="s">
        <v>263</v>
      </c>
      <c r="E99" s="1116" t="s">
        <v>334</v>
      </c>
      <c r="F99" s="1116" t="s">
        <v>281</v>
      </c>
      <c r="G99" s="1116" t="s">
        <v>282</v>
      </c>
      <c r="H99" s="1096" t="s">
        <v>112</v>
      </c>
      <c r="I99" s="1116" t="s">
        <v>272</v>
      </c>
      <c r="J99" s="202"/>
      <c r="K99" s="202"/>
      <c r="L99" s="257">
        <v>1770</v>
      </c>
      <c r="M99" s="1106">
        <v>1590</v>
      </c>
      <c r="N99" s="1106"/>
      <c r="O99" s="1106">
        <v>1770</v>
      </c>
      <c r="P99" s="1108">
        <v>500</v>
      </c>
      <c r="Q99" s="1108">
        <f t="shared" si="17"/>
        <v>885000</v>
      </c>
      <c r="R99" s="1995"/>
      <c r="S99" s="346"/>
      <c r="T99" s="2015"/>
      <c r="U99" s="163"/>
    </row>
    <row r="100" spans="1:21" s="388" customFormat="1">
      <c r="A100" s="1133">
        <v>46169</v>
      </c>
      <c r="B100" s="677" t="s">
        <v>264</v>
      </c>
      <c r="C100" s="1133" t="s">
        <v>262</v>
      </c>
      <c r="D100" s="153" t="s">
        <v>263</v>
      </c>
      <c r="E100" s="1135" t="s">
        <v>602</v>
      </c>
      <c r="F100" s="1135" t="s">
        <v>281</v>
      </c>
      <c r="G100" s="1135" t="s">
        <v>282</v>
      </c>
      <c r="H100" s="1125" t="s">
        <v>112</v>
      </c>
      <c r="I100" s="1135" t="s">
        <v>217</v>
      </c>
      <c r="J100" s="677">
        <v>12270</v>
      </c>
      <c r="K100" s="677">
        <v>32620</v>
      </c>
      <c r="L100" s="296">
        <f>K100-J100</f>
        <v>20350</v>
      </c>
      <c r="M100" s="1123">
        <v>20210</v>
      </c>
      <c r="N100" s="1123"/>
      <c r="O100" s="1123">
        <v>20350</v>
      </c>
      <c r="P100" s="270">
        <v>460</v>
      </c>
      <c r="Q100" s="270">
        <f t="shared" si="17"/>
        <v>9361000</v>
      </c>
      <c r="R100" s="1125" t="s">
        <v>5</v>
      </c>
      <c r="S100" s="610" t="s">
        <v>600</v>
      </c>
      <c r="T100" s="1131" t="s">
        <v>607</v>
      </c>
      <c r="U100" s="163"/>
    </row>
    <row r="101" spans="1:21" s="388" customFormat="1">
      <c r="A101" s="1193">
        <v>46170</v>
      </c>
      <c r="B101" s="1191" t="s">
        <v>264</v>
      </c>
      <c r="C101" s="1193" t="s">
        <v>262</v>
      </c>
      <c r="D101" s="138" t="s">
        <v>263</v>
      </c>
      <c r="E101" s="1195" t="s">
        <v>334</v>
      </c>
      <c r="F101" s="1195" t="s">
        <v>281</v>
      </c>
      <c r="G101" s="1195" t="s">
        <v>282</v>
      </c>
      <c r="H101" s="1159" t="s">
        <v>112</v>
      </c>
      <c r="I101" s="1195" t="s">
        <v>272</v>
      </c>
      <c r="J101" s="1191">
        <v>21290</v>
      </c>
      <c r="K101" s="1191">
        <v>48330</v>
      </c>
      <c r="L101" s="249">
        <f t="shared" ref="L101:L117" si="19">K101-J101</f>
        <v>27040</v>
      </c>
      <c r="M101" s="320">
        <v>26590</v>
      </c>
      <c r="N101" s="320"/>
      <c r="O101" s="320">
        <f>L101</f>
        <v>27040</v>
      </c>
      <c r="P101" s="137">
        <v>500</v>
      </c>
      <c r="Q101" s="137">
        <f t="shared" si="17"/>
        <v>13520000</v>
      </c>
      <c r="R101" s="1159" t="s">
        <v>5</v>
      </c>
      <c r="S101" s="344"/>
      <c r="T101" s="2015" t="s">
        <v>615</v>
      </c>
      <c r="U101" s="163"/>
    </row>
    <row r="102" spans="1:21" s="388" customFormat="1">
      <c r="A102" s="1182">
        <v>46170</v>
      </c>
      <c r="B102" s="1192" t="s">
        <v>305</v>
      </c>
      <c r="C102" s="1182" t="s">
        <v>440</v>
      </c>
      <c r="D102" s="128" t="s">
        <v>261</v>
      </c>
      <c r="E102" s="1186" t="s">
        <v>608</v>
      </c>
      <c r="F102" s="1186"/>
      <c r="G102" s="1186"/>
      <c r="H102" s="1160" t="s">
        <v>112</v>
      </c>
      <c r="I102" s="1186" t="s">
        <v>132</v>
      </c>
      <c r="J102" s="1192">
        <v>18760</v>
      </c>
      <c r="K102" s="1192">
        <v>37650</v>
      </c>
      <c r="L102" s="250">
        <f t="shared" si="19"/>
        <v>18890</v>
      </c>
      <c r="M102" s="1172">
        <v>18870</v>
      </c>
      <c r="N102" s="1172"/>
      <c r="O102" s="1172">
        <f t="shared" ref="O102:O108" si="20">L102</f>
        <v>18890</v>
      </c>
      <c r="P102" s="1184">
        <v>480</v>
      </c>
      <c r="Q102" s="1184">
        <f t="shared" si="17"/>
        <v>9067200</v>
      </c>
      <c r="R102" s="1160" t="s">
        <v>5</v>
      </c>
      <c r="S102" s="345"/>
      <c r="T102" s="2015"/>
      <c r="U102" s="163"/>
    </row>
    <row r="103" spans="1:21" s="388" customFormat="1">
      <c r="A103" s="1182">
        <v>46170</v>
      </c>
      <c r="B103" s="1192" t="s">
        <v>305</v>
      </c>
      <c r="C103" s="1182" t="s">
        <v>440</v>
      </c>
      <c r="D103" s="128" t="s">
        <v>261</v>
      </c>
      <c r="E103" s="1186" t="s">
        <v>146</v>
      </c>
      <c r="F103" s="1186" t="s">
        <v>609</v>
      </c>
      <c r="G103" s="1186" t="s">
        <v>610</v>
      </c>
      <c r="H103" s="1160" t="s">
        <v>112</v>
      </c>
      <c r="I103" s="1186" t="s">
        <v>271</v>
      </c>
      <c r="J103" s="1192">
        <v>17780</v>
      </c>
      <c r="K103" s="1192">
        <v>30830</v>
      </c>
      <c r="L103" s="250">
        <f t="shared" si="19"/>
        <v>13050</v>
      </c>
      <c r="M103" s="1172">
        <v>13070</v>
      </c>
      <c r="N103" s="1172">
        <v>500</v>
      </c>
      <c r="O103" s="1172">
        <f>L103-N103</f>
        <v>12550</v>
      </c>
      <c r="P103" s="1184">
        <v>495</v>
      </c>
      <c r="Q103" s="1184">
        <f t="shared" si="17"/>
        <v>6212250</v>
      </c>
      <c r="R103" s="1160" t="s">
        <v>5</v>
      </c>
      <c r="S103" s="345" t="s">
        <v>616</v>
      </c>
      <c r="T103" s="2015"/>
      <c r="U103" s="163"/>
    </row>
    <row r="104" spans="1:21" s="388" customFormat="1">
      <c r="A104" s="1182">
        <v>46170</v>
      </c>
      <c r="B104" s="1192" t="s">
        <v>305</v>
      </c>
      <c r="C104" s="1182" t="s">
        <v>440</v>
      </c>
      <c r="D104" s="128" t="s">
        <v>261</v>
      </c>
      <c r="E104" s="1186" t="s">
        <v>178</v>
      </c>
      <c r="F104" s="1186" t="s">
        <v>611</v>
      </c>
      <c r="G104" s="1186" t="s">
        <v>612</v>
      </c>
      <c r="H104" s="1160" t="s">
        <v>112</v>
      </c>
      <c r="I104" s="1186" t="s">
        <v>271</v>
      </c>
      <c r="J104" s="1192">
        <v>18050</v>
      </c>
      <c r="K104" s="1192">
        <v>28620</v>
      </c>
      <c r="L104" s="250">
        <f t="shared" si="19"/>
        <v>10570</v>
      </c>
      <c r="M104" s="1172">
        <v>10440</v>
      </c>
      <c r="N104" s="1172"/>
      <c r="O104" s="1172">
        <f t="shared" si="20"/>
        <v>10570</v>
      </c>
      <c r="P104" s="1184">
        <v>495</v>
      </c>
      <c r="Q104" s="1184">
        <f t="shared" si="17"/>
        <v>5232150</v>
      </c>
      <c r="R104" s="1160" t="s">
        <v>5</v>
      </c>
      <c r="S104" s="345" t="s">
        <v>613</v>
      </c>
      <c r="T104" s="2015"/>
      <c r="U104" s="163"/>
    </row>
    <row r="105" spans="1:21" s="388" customFormat="1">
      <c r="A105" s="1182">
        <v>46170</v>
      </c>
      <c r="B105" s="1192" t="s">
        <v>305</v>
      </c>
      <c r="C105" s="1182" t="s">
        <v>440</v>
      </c>
      <c r="D105" s="128" t="s">
        <v>261</v>
      </c>
      <c r="E105" s="1186" t="s">
        <v>117</v>
      </c>
      <c r="F105" s="1186" t="s">
        <v>329</v>
      </c>
      <c r="G105" s="1186" t="s">
        <v>330</v>
      </c>
      <c r="H105" s="1160" t="s">
        <v>112</v>
      </c>
      <c r="I105" s="1186" t="s">
        <v>271</v>
      </c>
      <c r="J105" s="1192">
        <v>18780</v>
      </c>
      <c r="K105" s="1192">
        <v>30820</v>
      </c>
      <c r="L105" s="250">
        <f t="shared" si="19"/>
        <v>12040</v>
      </c>
      <c r="M105" s="1172">
        <v>11930</v>
      </c>
      <c r="N105" s="1172"/>
      <c r="O105" s="1172">
        <f t="shared" si="20"/>
        <v>12040</v>
      </c>
      <c r="P105" s="1184">
        <v>495</v>
      </c>
      <c r="Q105" s="1184">
        <f t="shared" si="17"/>
        <v>5959800</v>
      </c>
      <c r="R105" s="1160" t="s">
        <v>5</v>
      </c>
      <c r="S105" s="345" t="s">
        <v>613</v>
      </c>
      <c r="T105" s="2015"/>
      <c r="U105" s="163"/>
    </row>
    <row r="106" spans="1:21" s="388" customFormat="1">
      <c r="A106" s="1182">
        <v>46170</v>
      </c>
      <c r="B106" s="1192" t="s">
        <v>305</v>
      </c>
      <c r="C106" s="1182" t="s">
        <v>440</v>
      </c>
      <c r="D106" s="128" t="s">
        <v>261</v>
      </c>
      <c r="E106" s="1186" t="s">
        <v>116</v>
      </c>
      <c r="F106" s="1186" t="s">
        <v>319</v>
      </c>
      <c r="G106" s="1186" t="s">
        <v>320</v>
      </c>
      <c r="H106" s="1160" t="s">
        <v>112</v>
      </c>
      <c r="I106" s="1186" t="s">
        <v>271</v>
      </c>
      <c r="J106" s="1192">
        <v>18800</v>
      </c>
      <c r="K106" s="1192">
        <v>29070</v>
      </c>
      <c r="L106" s="250">
        <f t="shared" si="19"/>
        <v>10270</v>
      </c>
      <c r="M106" s="1172">
        <v>10200</v>
      </c>
      <c r="N106" s="1172"/>
      <c r="O106" s="1172">
        <f t="shared" si="20"/>
        <v>10270</v>
      </c>
      <c r="P106" s="1184">
        <v>495</v>
      </c>
      <c r="Q106" s="1184">
        <f t="shared" si="17"/>
        <v>5083650</v>
      </c>
      <c r="R106" s="1160" t="s">
        <v>5</v>
      </c>
      <c r="S106" s="345" t="s">
        <v>613</v>
      </c>
      <c r="T106" s="2015"/>
      <c r="U106" s="163"/>
    </row>
    <row r="107" spans="1:21" s="388" customFormat="1">
      <c r="A107" s="1182">
        <v>46170</v>
      </c>
      <c r="B107" s="1192" t="s">
        <v>305</v>
      </c>
      <c r="C107" s="1182" t="s">
        <v>440</v>
      </c>
      <c r="D107" s="128" t="s">
        <v>263</v>
      </c>
      <c r="E107" s="1186" t="s">
        <v>172</v>
      </c>
      <c r="F107" s="1186" t="s">
        <v>291</v>
      </c>
      <c r="G107" s="1186" t="s">
        <v>292</v>
      </c>
      <c r="H107" s="1160" t="s">
        <v>112</v>
      </c>
      <c r="I107" s="1186" t="s">
        <v>119</v>
      </c>
      <c r="J107" s="1192">
        <v>13960</v>
      </c>
      <c r="K107" s="1192">
        <v>16320</v>
      </c>
      <c r="L107" s="250">
        <f t="shared" si="19"/>
        <v>2360</v>
      </c>
      <c r="M107" s="1172">
        <v>2360</v>
      </c>
      <c r="N107" s="1172"/>
      <c r="O107" s="1172">
        <f t="shared" si="20"/>
        <v>2360</v>
      </c>
      <c r="P107" s="1184">
        <v>465</v>
      </c>
      <c r="Q107" s="1184">
        <f t="shared" si="17"/>
        <v>1097400</v>
      </c>
      <c r="R107" s="1160" t="s">
        <v>5</v>
      </c>
      <c r="S107" s="345" t="s">
        <v>614</v>
      </c>
      <c r="T107" s="2015"/>
      <c r="U107" s="163"/>
    </row>
    <row r="108" spans="1:21" s="388" customFormat="1">
      <c r="A108" s="1194">
        <v>46170</v>
      </c>
      <c r="B108" s="202" t="s">
        <v>264</v>
      </c>
      <c r="C108" s="1194" t="s">
        <v>262</v>
      </c>
      <c r="D108" s="129" t="s">
        <v>263</v>
      </c>
      <c r="E108" s="1196" t="s">
        <v>172</v>
      </c>
      <c r="F108" s="1196" t="s">
        <v>291</v>
      </c>
      <c r="G108" s="1196" t="s">
        <v>292</v>
      </c>
      <c r="H108" s="1161" t="s">
        <v>112</v>
      </c>
      <c r="I108" s="1196" t="s">
        <v>194</v>
      </c>
      <c r="J108" s="202">
        <v>14080</v>
      </c>
      <c r="K108" s="202">
        <v>31400</v>
      </c>
      <c r="L108" s="257">
        <f t="shared" si="19"/>
        <v>17320</v>
      </c>
      <c r="M108" s="1183">
        <v>17120</v>
      </c>
      <c r="N108" s="1183"/>
      <c r="O108" s="1183">
        <f t="shared" si="20"/>
        <v>17320</v>
      </c>
      <c r="P108" s="1185">
        <v>500</v>
      </c>
      <c r="Q108" s="1185">
        <f t="shared" si="17"/>
        <v>8660000</v>
      </c>
      <c r="R108" s="1161" t="s">
        <v>5</v>
      </c>
      <c r="S108" s="346"/>
      <c r="T108" s="2015"/>
      <c r="U108" s="163"/>
    </row>
    <row r="109" spans="1:21" s="388" customFormat="1">
      <c r="A109" s="1218">
        <v>46172</v>
      </c>
      <c r="B109" s="1215" t="s">
        <v>264</v>
      </c>
      <c r="C109" s="1218" t="s">
        <v>262</v>
      </c>
      <c r="D109" s="138" t="s">
        <v>263</v>
      </c>
      <c r="E109" s="1220" t="s">
        <v>334</v>
      </c>
      <c r="F109" s="1220" t="s">
        <v>281</v>
      </c>
      <c r="G109" s="1220" t="s">
        <v>493</v>
      </c>
      <c r="H109" s="1201" t="s">
        <v>112</v>
      </c>
      <c r="I109" s="1220" t="s">
        <v>272</v>
      </c>
      <c r="J109" s="1215">
        <v>21320</v>
      </c>
      <c r="K109" s="1215">
        <v>53910</v>
      </c>
      <c r="L109" s="249">
        <f t="shared" si="19"/>
        <v>32590</v>
      </c>
      <c r="M109" s="320"/>
      <c r="N109" s="320"/>
      <c r="O109" s="320">
        <f>L109</f>
        <v>32590</v>
      </c>
      <c r="P109" s="137">
        <v>510</v>
      </c>
      <c r="Q109" s="137">
        <f t="shared" si="17"/>
        <v>16620900</v>
      </c>
      <c r="R109" s="1201" t="s">
        <v>5</v>
      </c>
      <c r="S109" s="344"/>
      <c r="T109" s="2015" t="s">
        <v>633</v>
      </c>
      <c r="U109" s="163"/>
    </row>
    <row r="110" spans="1:21" s="388" customFormat="1">
      <c r="A110" s="1209">
        <v>46172</v>
      </c>
      <c r="B110" s="1216" t="s">
        <v>264</v>
      </c>
      <c r="C110" s="1209" t="s">
        <v>262</v>
      </c>
      <c r="D110" s="128" t="s">
        <v>239</v>
      </c>
      <c r="E110" s="1210" t="s">
        <v>235</v>
      </c>
      <c r="F110" s="1210" t="s">
        <v>289</v>
      </c>
      <c r="G110" s="1210" t="s">
        <v>290</v>
      </c>
      <c r="H110" s="1202" t="s">
        <v>112</v>
      </c>
      <c r="I110" s="1210" t="s">
        <v>272</v>
      </c>
      <c r="J110" s="1216">
        <v>19410</v>
      </c>
      <c r="K110" s="1216">
        <v>48390</v>
      </c>
      <c r="L110" s="250">
        <f t="shared" si="19"/>
        <v>28980</v>
      </c>
      <c r="M110" s="1198"/>
      <c r="N110" s="1198"/>
      <c r="O110" s="1198">
        <f>L110</f>
        <v>28980</v>
      </c>
      <c r="P110" s="1212">
        <v>500</v>
      </c>
      <c r="Q110" s="1212">
        <f t="shared" si="17"/>
        <v>14490000</v>
      </c>
      <c r="R110" s="1202" t="s">
        <v>5</v>
      </c>
      <c r="S110" s="345" t="s">
        <v>630</v>
      </c>
      <c r="T110" s="2015"/>
      <c r="U110" s="163"/>
    </row>
    <row r="111" spans="1:21" s="388" customFormat="1">
      <c r="A111" s="1219">
        <v>46172</v>
      </c>
      <c r="B111" s="202" t="s">
        <v>264</v>
      </c>
      <c r="C111" s="1219" t="s">
        <v>262</v>
      </c>
      <c r="D111" s="129" t="s">
        <v>263</v>
      </c>
      <c r="E111" s="1221" t="s">
        <v>172</v>
      </c>
      <c r="F111" s="1221" t="s">
        <v>291</v>
      </c>
      <c r="G111" s="1221" t="s">
        <v>292</v>
      </c>
      <c r="H111" s="1203" t="s">
        <v>112</v>
      </c>
      <c r="I111" s="1221" t="s">
        <v>272</v>
      </c>
      <c r="J111" s="202">
        <v>14400</v>
      </c>
      <c r="K111" s="202">
        <v>21890</v>
      </c>
      <c r="L111" s="257">
        <f t="shared" si="19"/>
        <v>7490</v>
      </c>
      <c r="M111" s="1211"/>
      <c r="N111" s="1211"/>
      <c r="O111" s="1211">
        <f>L111</f>
        <v>7490</v>
      </c>
      <c r="P111" s="1213">
        <v>520</v>
      </c>
      <c r="Q111" s="1213">
        <f t="shared" si="17"/>
        <v>3894800</v>
      </c>
      <c r="R111" s="1203" t="s">
        <v>5</v>
      </c>
      <c r="S111" s="346" t="s">
        <v>631</v>
      </c>
      <c r="T111" s="2015"/>
      <c r="U111" s="163"/>
    </row>
    <row r="112" spans="1:21" s="388" customFormat="1" ht="27">
      <c r="A112" s="1256">
        <v>46174</v>
      </c>
      <c r="B112" s="1254" t="s">
        <v>264</v>
      </c>
      <c r="C112" s="1256" t="s">
        <v>17</v>
      </c>
      <c r="D112" s="138" t="s">
        <v>46</v>
      </c>
      <c r="E112" s="1258" t="s">
        <v>172</v>
      </c>
      <c r="F112" s="1258" t="s">
        <v>291</v>
      </c>
      <c r="G112" s="1258" t="s">
        <v>292</v>
      </c>
      <c r="H112" s="1233" t="s">
        <v>112</v>
      </c>
      <c r="I112" s="1258" t="s">
        <v>272</v>
      </c>
      <c r="J112" s="1254">
        <v>14480</v>
      </c>
      <c r="K112" s="1254">
        <v>20910</v>
      </c>
      <c r="L112" s="249">
        <f>K112-J112</f>
        <v>6430</v>
      </c>
      <c r="M112" s="320">
        <v>6430</v>
      </c>
      <c r="N112" s="320"/>
      <c r="O112" s="320">
        <f>L112</f>
        <v>6430</v>
      </c>
      <c r="P112" s="137">
        <v>510</v>
      </c>
      <c r="Q112" s="137">
        <f t="shared" ref="Q112" si="21">P112*O112</f>
        <v>3279300</v>
      </c>
      <c r="R112" s="1233" t="s">
        <v>5</v>
      </c>
      <c r="S112" s="344" t="s">
        <v>637</v>
      </c>
      <c r="T112" s="2015" t="s">
        <v>641</v>
      </c>
      <c r="U112" s="163"/>
    </row>
    <row r="113" spans="1:21" s="388" customFormat="1">
      <c r="A113" s="1247">
        <v>46174</v>
      </c>
      <c r="B113" s="1255" t="s">
        <v>305</v>
      </c>
      <c r="C113" s="1247" t="s">
        <v>440</v>
      </c>
      <c r="D113" s="128" t="s">
        <v>261</v>
      </c>
      <c r="E113" s="1248" t="s">
        <v>183</v>
      </c>
      <c r="F113" s="1248" t="s">
        <v>638</v>
      </c>
      <c r="G113" s="1248" t="s">
        <v>639</v>
      </c>
      <c r="H113" s="1231" t="s">
        <v>112</v>
      </c>
      <c r="I113" s="1248" t="s">
        <v>132</v>
      </c>
      <c r="J113" s="1255">
        <v>18510</v>
      </c>
      <c r="K113" s="1255">
        <v>36790</v>
      </c>
      <c r="L113" s="250">
        <f t="shared" si="19"/>
        <v>18280</v>
      </c>
      <c r="M113" s="1237">
        <v>18200</v>
      </c>
      <c r="N113" s="1237"/>
      <c r="O113" s="1237">
        <f t="shared" ref="O113:O114" si="22">L113</f>
        <v>18280</v>
      </c>
      <c r="P113" s="1250">
        <v>480</v>
      </c>
      <c r="Q113" s="1250">
        <f t="shared" ref="Q113:Q117" si="23">P113*O113</f>
        <v>8774400</v>
      </c>
      <c r="R113" s="1231" t="s">
        <v>5</v>
      </c>
      <c r="S113" s="345"/>
      <c r="T113" s="2015"/>
      <c r="U113" s="163"/>
    </row>
    <row r="114" spans="1:21" s="388" customFormat="1">
      <c r="A114" s="1275">
        <v>46174</v>
      </c>
      <c r="B114" s="202" t="s">
        <v>305</v>
      </c>
      <c r="C114" s="1275" t="s">
        <v>440</v>
      </c>
      <c r="D114" s="129" t="s">
        <v>261</v>
      </c>
      <c r="E114" s="1276" t="s">
        <v>183</v>
      </c>
      <c r="F114" s="1276" t="s">
        <v>638</v>
      </c>
      <c r="G114" s="1276" t="s">
        <v>639</v>
      </c>
      <c r="H114" s="1272" t="s">
        <v>112</v>
      </c>
      <c r="I114" s="1276" t="s">
        <v>110</v>
      </c>
      <c r="J114" s="202">
        <v>18770</v>
      </c>
      <c r="K114" s="202">
        <v>36360</v>
      </c>
      <c r="L114" s="257">
        <f t="shared" si="19"/>
        <v>17590</v>
      </c>
      <c r="M114" s="1273"/>
      <c r="N114" s="1273"/>
      <c r="O114" s="1273">
        <f t="shared" si="22"/>
        <v>17590</v>
      </c>
      <c r="P114" s="1274">
        <v>490</v>
      </c>
      <c r="Q114" s="1274">
        <f t="shared" si="23"/>
        <v>8619100</v>
      </c>
      <c r="R114" s="1272" t="s">
        <v>5</v>
      </c>
      <c r="S114" s="346"/>
      <c r="T114" s="2015"/>
      <c r="U114" s="163"/>
    </row>
    <row r="115" spans="1:21" s="388" customFormat="1">
      <c r="A115" s="143">
        <v>46177</v>
      </c>
      <c r="B115" s="124" t="s">
        <v>305</v>
      </c>
      <c r="C115" s="143" t="s">
        <v>440</v>
      </c>
      <c r="D115" s="144" t="s">
        <v>261</v>
      </c>
      <c r="E115" s="204" t="s">
        <v>138</v>
      </c>
      <c r="F115" s="204" t="s">
        <v>258</v>
      </c>
      <c r="G115" s="204" t="s">
        <v>259</v>
      </c>
      <c r="H115" s="508" t="s">
        <v>112</v>
      </c>
      <c r="I115" s="204" t="s">
        <v>132</v>
      </c>
      <c r="J115" s="124">
        <v>18570</v>
      </c>
      <c r="K115" s="124">
        <v>39780</v>
      </c>
      <c r="L115" s="272">
        <f t="shared" si="19"/>
        <v>21210</v>
      </c>
      <c r="M115" s="145">
        <v>21150</v>
      </c>
      <c r="N115" s="145"/>
      <c r="O115" s="145">
        <f t="shared" ref="O115:O121" si="24">L115</f>
        <v>21210</v>
      </c>
      <c r="P115" s="146">
        <v>480</v>
      </c>
      <c r="Q115" s="146">
        <f t="shared" si="23"/>
        <v>10180800</v>
      </c>
      <c r="R115" s="508" t="s">
        <v>5</v>
      </c>
      <c r="S115" s="255"/>
      <c r="T115" s="1387" t="s">
        <v>671</v>
      </c>
      <c r="U115" s="163"/>
    </row>
    <row r="116" spans="1:21" s="388" customFormat="1">
      <c r="A116" s="1428">
        <v>46182</v>
      </c>
      <c r="B116" s="1427" t="s">
        <v>305</v>
      </c>
      <c r="C116" s="1428" t="s">
        <v>440</v>
      </c>
      <c r="D116" s="138" t="s">
        <v>74</v>
      </c>
      <c r="E116" s="1430" t="s">
        <v>326</v>
      </c>
      <c r="F116" s="1430"/>
      <c r="G116" s="1430"/>
      <c r="H116" s="1423" t="s">
        <v>112</v>
      </c>
      <c r="I116" s="1430" t="s">
        <v>132</v>
      </c>
      <c r="J116" s="1427">
        <v>18130</v>
      </c>
      <c r="K116" s="1427">
        <v>37530</v>
      </c>
      <c r="L116" s="249">
        <f t="shared" si="19"/>
        <v>19400</v>
      </c>
      <c r="M116" s="320">
        <v>19390</v>
      </c>
      <c r="N116" s="320"/>
      <c r="O116" s="320">
        <f t="shared" si="24"/>
        <v>19400</v>
      </c>
      <c r="P116" s="137">
        <v>490</v>
      </c>
      <c r="Q116" s="137">
        <f t="shared" si="23"/>
        <v>9506000</v>
      </c>
      <c r="R116" s="1423" t="s">
        <v>5</v>
      </c>
      <c r="S116" s="1445"/>
      <c r="T116" s="2015" t="s">
        <v>683</v>
      </c>
      <c r="U116" s="163"/>
    </row>
    <row r="117" spans="1:21" s="388" customFormat="1">
      <c r="A117" s="1429">
        <v>46182</v>
      </c>
      <c r="B117" s="202" t="s">
        <v>305</v>
      </c>
      <c r="C117" s="1429" t="s">
        <v>440</v>
      </c>
      <c r="D117" s="129" t="s">
        <v>74</v>
      </c>
      <c r="E117" s="1431" t="s">
        <v>441</v>
      </c>
      <c r="F117" s="1431"/>
      <c r="G117" s="1431"/>
      <c r="H117" s="1630" t="s">
        <v>112</v>
      </c>
      <c r="I117" s="1431" t="s">
        <v>132</v>
      </c>
      <c r="J117" s="202">
        <v>18530</v>
      </c>
      <c r="K117" s="202">
        <v>37930</v>
      </c>
      <c r="L117" s="257">
        <f t="shared" si="19"/>
        <v>19400</v>
      </c>
      <c r="M117" s="1425">
        <v>19370</v>
      </c>
      <c r="N117" s="1425"/>
      <c r="O117" s="1425">
        <f t="shared" si="24"/>
        <v>19400</v>
      </c>
      <c r="P117" s="1426">
        <v>490</v>
      </c>
      <c r="Q117" s="1426">
        <f t="shared" si="23"/>
        <v>9506000</v>
      </c>
      <c r="R117" s="1424" t="s">
        <v>5</v>
      </c>
      <c r="S117" s="1446"/>
      <c r="T117" s="2015"/>
      <c r="U117" s="163"/>
    </row>
    <row r="118" spans="1:21" s="388" customFormat="1">
      <c r="A118" s="1487">
        <v>46184</v>
      </c>
      <c r="B118" s="1485" t="s">
        <v>305</v>
      </c>
      <c r="C118" s="1487" t="s">
        <v>440</v>
      </c>
      <c r="D118" s="138" t="s">
        <v>74</v>
      </c>
      <c r="E118" s="1491" t="s">
        <v>158</v>
      </c>
      <c r="F118" s="1491" t="s">
        <v>442</v>
      </c>
      <c r="G118" s="1491" t="s">
        <v>443</v>
      </c>
      <c r="H118" s="1475" t="s">
        <v>112</v>
      </c>
      <c r="I118" s="1491" t="s">
        <v>132</v>
      </c>
      <c r="J118" s="1485">
        <v>18600</v>
      </c>
      <c r="K118" s="1485">
        <v>36780</v>
      </c>
      <c r="L118" s="249">
        <f t="shared" ref="L118:L128" si="25">K118-J118</f>
        <v>18180</v>
      </c>
      <c r="M118" s="320">
        <v>17990</v>
      </c>
      <c r="N118" s="320"/>
      <c r="O118" s="320">
        <f t="shared" si="24"/>
        <v>18180</v>
      </c>
      <c r="P118" s="137">
        <v>490</v>
      </c>
      <c r="Q118" s="137">
        <f t="shared" ref="Q118:Q127" si="26">P118*O118</f>
        <v>8908200</v>
      </c>
      <c r="R118" s="1475" t="s">
        <v>5</v>
      </c>
      <c r="S118" s="344"/>
      <c r="T118" s="2015" t="s">
        <v>697</v>
      </c>
      <c r="U118" s="163"/>
    </row>
    <row r="119" spans="1:21" s="388" customFormat="1">
      <c r="A119" s="1488">
        <v>46184</v>
      </c>
      <c r="B119" s="202" t="s">
        <v>305</v>
      </c>
      <c r="C119" s="1488" t="s">
        <v>440</v>
      </c>
      <c r="D119" s="129" t="s">
        <v>74</v>
      </c>
      <c r="E119" s="1492" t="s">
        <v>684</v>
      </c>
      <c r="F119" s="1492"/>
      <c r="G119" s="1492"/>
      <c r="H119" s="1476" t="s">
        <v>112</v>
      </c>
      <c r="I119" s="1492" t="s">
        <v>132</v>
      </c>
      <c r="J119" s="202">
        <v>18470</v>
      </c>
      <c r="K119" s="202">
        <v>42010</v>
      </c>
      <c r="L119" s="257">
        <f t="shared" si="25"/>
        <v>23540</v>
      </c>
      <c r="M119" s="1482">
        <v>23410</v>
      </c>
      <c r="N119" s="1482"/>
      <c r="O119" s="1482">
        <f t="shared" si="24"/>
        <v>23540</v>
      </c>
      <c r="P119" s="1484">
        <v>490</v>
      </c>
      <c r="Q119" s="1484">
        <f t="shared" si="26"/>
        <v>11534600</v>
      </c>
      <c r="R119" s="1476" t="s">
        <v>5</v>
      </c>
      <c r="S119" s="346"/>
      <c r="T119" s="2015"/>
      <c r="U119" s="163"/>
    </row>
    <row r="120" spans="1:21" s="388" customFormat="1">
      <c r="A120" s="1544">
        <v>46186</v>
      </c>
      <c r="B120" s="1547" t="s">
        <v>102</v>
      </c>
      <c r="C120" s="1544" t="s">
        <v>262</v>
      </c>
      <c r="D120" s="126" t="s">
        <v>263</v>
      </c>
      <c r="E120" s="1546" t="s">
        <v>172</v>
      </c>
      <c r="F120" s="1546" t="s">
        <v>291</v>
      </c>
      <c r="G120" s="1546" t="s">
        <v>292</v>
      </c>
      <c r="H120" s="1519" t="s">
        <v>112</v>
      </c>
      <c r="I120" s="1546" t="s">
        <v>272</v>
      </c>
      <c r="J120" s="1547">
        <v>14450</v>
      </c>
      <c r="K120" s="1547">
        <v>19880</v>
      </c>
      <c r="L120" s="253">
        <f t="shared" si="25"/>
        <v>5430</v>
      </c>
      <c r="M120" s="1537">
        <v>5370</v>
      </c>
      <c r="N120" s="1537"/>
      <c r="O120" s="1537">
        <f t="shared" si="24"/>
        <v>5430</v>
      </c>
      <c r="P120" s="1538">
        <v>510</v>
      </c>
      <c r="Q120" s="1538">
        <f t="shared" si="26"/>
        <v>2769300</v>
      </c>
      <c r="R120" s="1519" t="s">
        <v>5</v>
      </c>
      <c r="S120" s="344" t="s">
        <v>702</v>
      </c>
      <c r="T120" s="2015" t="s">
        <v>706</v>
      </c>
      <c r="U120" s="163"/>
    </row>
    <row r="121" spans="1:21" s="388" customFormat="1">
      <c r="A121" s="1536">
        <v>46186</v>
      </c>
      <c r="B121" s="1543" t="s">
        <v>305</v>
      </c>
      <c r="C121" s="1536" t="s">
        <v>262</v>
      </c>
      <c r="D121" s="128" t="s">
        <v>263</v>
      </c>
      <c r="E121" s="1540" t="s">
        <v>172</v>
      </c>
      <c r="F121" s="1540" t="s">
        <v>291</v>
      </c>
      <c r="G121" s="1540" t="s">
        <v>292</v>
      </c>
      <c r="H121" s="1517" t="s">
        <v>112</v>
      </c>
      <c r="I121" s="1540" t="s">
        <v>132</v>
      </c>
      <c r="J121" s="1543">
        <v>19880</v>
      </c>
      <c r="K121" s="1543">
        <v>26610</v>
      </c>
      <c r="L121" s="250">
        <f t="shared" si="25"/>
        <v>6730</v>
      </c>
      <c r="M121" s="1526">
        <v>6640</v>
      </c>
      <c r="N121" s="1526"/>
      <c r="O121" s="1526">
        <f t="shared" si="24"/>
        <v>6730</v>
      </c>
      <c r="P121" s="1539">
        <v>490</v>
      </c>
      <c r="Q121" s="1539">
        <f t="shared" si="26"/>
        <v>3297700</v>
      </c>
      <c r="R121" s="1517" t="s">
        <v>5</v>
      </c>
      <c r="S121" s="345" t="s">
        <v>703</v>
      </c>
      <c r="T121" s="2015"/>
      <c r="U121" s="163"/>
    </row>
    <row r="122" spans="1:21" s="388" customFormat="1">
      <c r="A122" s="1536">
        <v>46186</v>
      </c>
      <c r="B122" s="1543" t="s">
        <v>305</v>
      </c>
      <c r="C122" s="1536" t="s">
        <v>262</v>
      </c>
      <c r="D122" s="128" t="s">
        <v>263</v>
      </c>
      <c r="E122" s="1540" t="s">
        <v>334</v>
      </c>
      <c r="F122" s="1540" t="s">
        <v>281</v>
      </c>
      <c r="G122" s="1540" t="s">
        <v>282</v>
      </c>
      <c r="H122" s="1517" t="s">
        <v>112</v>
      </c>
      <c r="I122" s="1540" t="s">
        <v>71</v>
      </c>
      <c r="J122" s="1543">
        <v>21150</v>
      </c>
      <c r="K122" s="1543">
        <v>22680</v>
      </c>
      <c r="L122" s="250">
        <f t="shared" si="25"/>
        <v>1530</v>
      </c>
      <c r="M122" s="1526">
        <v>1500</v>
      </c>
      <c r="N122" s="1526"/>
      <c r="O122" s="1526">
        <f t="shared" ref="O122:O126" si="27">L122</f>
        <v>1530</v>
      </c>
      <c r="P122" s="1539">
        <v>465</v>
      </c>
      <c r="Q122" s="1539">
        <f t="shared" si="26"/>
        <v>711450</v>
      </c>
      <c r="R122" s="1517" t="s">
        <v>5</v>
      </c>
      <c r="S122" s="345" t="s">
        <v>704</v>
      </c>
      <c r="T122" s="2015"/>
      <c r="U122" s="163"/>
    </row>
    <row r="123" spans="1:21" s="388" customFormat="1">
      <c r="A123" s="1536">
        <v>46186</v>
      </c>
      <c r="B123" s="1543" t="s">
        <v>698</v>
      </c>
      <c r="C123" s="1536" t="s">
        <v>262</v>
      </c>
      <c r="D123" s="128" t="s">
        <v>263</v>
      </c>
      <c r="E123" s="1540" t="s">
        <v>334</v>
      </c>
      <c r="F123" s="1540" t="s">
        <v>281</v>
      </c>
      <c r="G123" s="1540" t="s">
        <v>282</v>
      </c>
      <c r="H123" s="1517" t="s">
        <v>112</v>
      </c>
      <c r="I123" s="1540" t="s">
        <v>272</v>
      </c>
      <c r="J123" s="1543">
        <v>21150</v>
      </c>
      <c r="K123" s="1543">
        <v>24480</v>
      </c>
      <c r="L123" s="250">
        <f t="shared" si="25"/>
        <v>3330</v>
      </c>
      <c r="M123" s="1526">
        <v>3330</v>
      </c>
      <c r="N123" s="1526"/>
      <c r="O123" s="1526">
        <f t="shared" si="27"/>
        <v>3330</v>
      </c>
      <c r="P123" s="1539">
        <v>500</v>
      </c>
      <c r="Q123" s="1539">
        <f t="shared" si="26"/>
        <v>1665000</v>
      </c>
      <c r="R123" s="1517" t="s">
        <v>5</v>
      </c>
      <c r="S123" s="345"/>
      <c r="T123" s="2015"/>
      <c r="U123" s="163"/>
    </row>
    <row r="124" spans="1:21" s="388" customFormat="1">
      <c r="A124" s="1536">
        <v>46186</v>
      </c>
      <c r="B124" s="1543" t="s">
        <v>699</v>
      </c>
      <c r="C124" s="1536" t="s">
        <v>262</v>
      </c>
      <c r="D124" s="128" t="s">
        <v>263</v>
      </c>
      <c r="E124" s="1540" t="s">
        <v>334</v>
      </c>
      <c r="F124" s="1540" t="s">
        <v>281</v>
      </c>
      <c r="G124" s="1540" t="s">
        <v>282</v>
      </c>
      <c r="H124" s="1517" t="s">
        <v>112</v>
      </c>
      <c r="I124" s="1540" t="s">
        <v>272</v>
      </c>
      <c r="J124" s="1543">
        <v>24480</v>
      </c>
      <c r="K124" s="1543">
        <v>28930</v>
      </c>
      <c r="L124" s="250">
        <f t="shared" si="25"/>
        <v>4450</v>
      </c>
      <c r="M124" s="1526">
        <v>4450</v>
      </c>
      <c r="N124" s="1526"/>
      <c r="O124" s="1526">
        <f t="shared" si="27"/>
        <v>4450</v>
      </c>
      <c r="P124" s="1539">
        <v>500</v>
      </c>
      <c r="Q124" s="1539">
        <f t="shared" si="26"/>
        <v>2225000</v>
      </c>
      <c r="R124" s="1517" t="s">
        <v>5</v>
      </c>
      <c r="S124" s="345"/>
      <c r="T124" s="2015"/>
      <c r="U124" s="163"/>
    </row>
    <row r="125" spans="1:21" s="388" customFormat="1">
      <c r="A125" s="1638">
        <v>46186</v>
      </c>
      <c r="B125" s="675" t="s">
        <v>313</v>
      </c>
      <c r="C125" s="1638" t="s">
        <v>262</v>
      </c>
      <c r="D125" s="127" t="s">
        <v>263</v>
      </c>
      <c r="E125" s="1639" t="s">
        <v>334</v>
      </c>
      <c r="F125" s="1639" t="s">
        <v>281</v>
      </c>
      <c r="G125" s="1639" t="s">
        <v>282</v>
      </c>
      <c r="H125" s="1629" t="s">
        <v>112</v>
      </c>
      <c r="I125" s="1639" t="s">
        <v>272</v>
      </c>
      <c r="J125" s="675">
        <v>28930</v>
      </c>
      <c r="K125" s="675">
        <v>30690</v>
      </c>
      <c r="L125" s="251">
        <f t="shared" si="25"/>
        <v>1760</v>
      </c>
      <c r="M125" s="1640">
        <v>1670</v>
      </c>
      <c r="N125" s="1640"/>
      <c r="O125" s="1640">
        <f t="shared" si="27"/>
        <v>1760</v>
      </c>
      <c r="P125" s="271">
        <v>500</v>
      </c>
      <c r="Q125" s="271">
        <f t="shared" si="26"/>
        <v>880000</v>
      </c>
      <c r="R125" s="1629" t="s">
        <v>5</v>
      </c>
      <c r="S125" s="339" t="s">
        <v>705</v>
      </c>
      <c r="T125" s="2015"/>
      <c r="U125" s="163"/>
    </row>
    <row r="126" spans="1:21" s="388" customFormat="1">
      <c r="A126" s="1838">
        <v>46195</v>
      </c>
      <c r="B126" s="1837" t="s">
        <v>699</v>
      </c>
      <c r="C126" s="1838" t="s">
        <v>262</v>
      </c>
      <c r="D126" s="138" t="s">
        <v>263</v>
      </c>
      <c r="E126" s="1840" t="s">
        <v>53</v>
      </c>
      <c r="F126" s="1840" t="s">
        <v>291</v>
      </c>
      <c r="G126" s="1840" t="s">
        <v>292</v>
      </c>
      <c r="H126" s="1822" t="s">
        <v>112</v>
      </c>
      <c r="I126" s="1840" t="s">
        <v>272</v>
      </c>
      <c r="J126" s="1837">
        <v>14380</v>
      </c>
      <c r="K126" s="1837">
        <v>17630</v>
      </c>
      <c r="L126" s="249">
        <f t="shared" si="25"/>
        <v>3250</v>
      </c>
      <c r="M126" s="320"/>
      <c r="N126" s="320"/>
      <c r="O126" s="320">
        <f t="shared" si="27"/>
        <v>3250</v>
      </c>
      <c r="P126" s="137">
        <v>510</v>
      </c>
      <c r="Q126" s="137">
        <f t="shared" si="26"/>
        <v>1657500</v>
      </c>
      <c r="R126" s="1822" t="s">
        <v>5</v>
      </c>
      <c r="S126" s="344"/>
      <c r="T126" s="2015" t="s">
        <v>734</v>
      </c>
      <c r="U126" s="163"/>
    </row>
    <row r="127" spans="1:21" s="388" customFormat="1">
      <c r="A127" s="1831">
        <v>46195</v>
      </c>
      <c r="B127" s="675" t="s">
        <v>147</v>
      </c>
      <c r="C127" s="1831" t="s">
        <v>6</v>
      </c>
      <c r="D127" s="127" t="s">
        <v>74</v>
      </c>
      <c r="E127" s="1832" t="s">
        <v>732</v>
      </c>
      <c r="F127" s="1832"/>
      <c r="G127" s="1832"/>
      <c r="H127" s="1824" t="s">
        <v>54</v>
      </c>
      <c r="I127" s="1832" t="s">
        <v>133</v>
      </c>
      <c r="J127" s="675">
        <v>18360</v>
      </c>
      <c r="K127" s="675">
        <v>36820</v>
      </c>
      <c r="L127" s="251">
        <f t="shared" si="25"/>
        <v>18460</v>
      </c>
      <c r="M127" s="1833">
        <v>18460</v>
      </c>
      <c r="N127" s="1833">
        <v>200</v>
      </c>
      <c r="O127" s="1833">
        <f>M127-N127</f>
        <v>18260</v>
      </c>
      <c r="P127" s="271">
        <v>490</v>
      </c>
      <c r="Q127" s="271">
        <f t="shared" si="26"/>
        <v>8947400</v>
      </c>
      <c r="R127" s="1824" t="s">
        <v>5</v>
      </c>
      <c r="S127" s="339" t="s">
        <v>733</v>
      </c>
      <c r="T127" s="2016"/>
      <c r="U127" s="163"/>
    </row>
    <row r="128" spans="1:21" s="388" customFormat="1">
      <c r="A128" s="143">
        <v>46203</v>
      </c>
      <c r="B128" s="124" t="s">
        <v>147</v>
      </c>
      <c r="C128" s="143" t="s">
        <v>6</v>
      </c>
      <c r="D128" s="144" t="s">
        <v>74</v>
      </c>
      <c r="E128" s="204" t="s">
        <v>766</v>
      </c>
      <c r="F128" s="204"/>
      <c r="G128" s="204"/>
      <c r="H128" s="508" t="s">
        <v>54</v>
      </c>
      <c r="I128" s="204" t="s">
        <v>133</v>
      </c>
      <c r="J128" s="124">
        <v>18220</v>
      </c>
      <c r="K128" s="124">
        <v>35800</v>
      </c>
      <c r="L128" s="272">
        <f t="shared" si="25"/>
        <v>17580</v>
      </c>
      <c r="M128" s="145">
        <v>17580</v>
      </c>
      <c r="N128" s="145"/>
      <c r="O128" s="145">
        <f>M128</f>
        <v>17580</v>
      </c>
      <c r="P128" s="146">
        <v>490</v>
      </c>
      <c r="Q128" s="146">
        <f t="shared" ref="Q128" si="28">P128*O128</f>
        <v>8614200</v>
      </c>
      <c r="R128" s="508" t="s">
        <v>5</v>
      </c>
      <c r="S128" s="255" t="s">
        <v>770</v>
      </c>
      <c r="T128" s="1847" t="s">
        <v>769</v>
      </c>
      <c r="U128" s="163"/>
    </row>
    <row r="129" spans="1:20" ht="21.95" customHeight="1">
      <c r="A129" s="203"/>
      <c r="B129" s="375"/>
      <c r="C129" s="238"/>
      <c r="D129" s="238"/>
      <c r="E129" s="206"/>
      <c r="F129" s="206"/>
      <c r="G129" s="206"/>
      <c r="H129" s="94"/>
      <c r="I129" s="93"/>
      <c r="J129" s="93"/>
      <c r="K129" s="52"/>
      <c r="L129" s="157">
        <f t="shared" ref="L129" si="29">K129-J129</f>
        <v>0</v>
      </c>
      <c r="M129" s="93"/>
      <c r="N129" s="52"/>
      <c r="O129" s="52"/>
      <c r="P129" s="52"/>
      <c r="Q129" s="93"/>
      <c r="R129" s="54"/>
      <c r="S129" s="97" t="s">
        <v>775</v>
      </c>
      <c r="T129" s="41"/>
    </row>
    <row r="130" spans="1:20" ht="30" customHeight="1">
      <c r="A130" s="72"/>
      <c r="B130" s="75"/>
      <c r="C130" s="72"/>
      <c r="D130" s="72"/>
      <c r="E130" s="73"/>
      <c r="F130" s="73"/>
      <c r="G130" s="73"/>
      <c r="H130" s="74"/>
      <c r="I130" s="75"/>
      <c r="J130" s="75"/>
      <c r="K130" s="75"/>
      <c r="L130" s="11">
        <f>SUBTOTAL(9,L3:L129)</f>
        <v>2107440</v>
      </c>
      <c r="M130" s="76"/>
      <c r="N130" s="77"/>
      <c r="O130" s="76"/>
      <c r="P130" s="77"/>
      <c r="Q130" s="66">
        <f>SUBTOTAL(9,Q3:Q129)</f>
        <v>1007154400</v>
      </c>
      <c r="R130" s="74"/>
      <c r="S130" s="74"/>
      <c r="T130" s="163"/>
    </row>
    <row r="131" spans="1:20" ht="21.95" customHeight="1">
      <c r="A131" s="4"/>
      <c r="B131" s="7"/>
      <c r="C131" s="4"/>
      <c r="D131" s="4"/>
      <c r="E131" s="5"/>
      <c r="F131" s="5"/>
      <c r="G131" s="5"/>
      <c r="H131" s="5"/>
      <c r="I131" s="7"/>
      <c r="J131" s="7"/>
      <c r="K131" s="7"/>
      <c r="L131" s="7"/>
      <c r="M131" s="7"/>
      <c r="N131" s="6"/>
      <c r="O131" s="6"/>
      <c r="P131" s="5"/>
      <c r="Q131" s="5"/>
      <c r="R131" s="5"/>
      <c r="S131" s="5"/>
    </row>
    <row r="132" spans="1:20" ht="21.95" customHeight="1">
      <c r="A132" s="4"/>
      <c r="B132" s="7"/>
      <c r="C132" s="4"/>
      <c r="D132" s="4"/>
      <c r="E132" s="5"/>
      <c r="F132" s="5"/>
      <c r="G132" s="5"/>
      <c r="H132" s="5"/>
      <c r="I132" s="7"/>
      <c r="J132" s="7"/>
      <c r="K132" s="7"/>
      <c r="L132" s="7"/>
      <c r="M132" s="7"/>
      <c r="N132" s="5"/>
      <c r="O132" s="6"/>
      <c r="P132" s="5"/>
      <c r="Q132" s="5"/>
      <c r="R132" s="5"/>
      <c r="S132" s="5"/>
    </row>
    <row r="133" spans="1:20" ht="21.95" customHeight="1">
      <c r="A133" s="4"/>
      <c r="B133" s="7"/>
      <c r="C133" s="4"/>
      <c r="D133" s="4"/>
      <c r="E133" s="5"/>
      <c r="F133" s="5"/>
      <c r="G133" s="5"/>
      <c r="H133" s="5"/>
      <c r="I133" s="7"/>
      <c r="J133" s="7"/>
      <c r="K133" s="7"/>
      <c r="L133" s="7"/>
      <c r="M133" s="7"/>
      <c r="N133" s="5"/>
      <c r="O133" s="5"/>
      <c r="P133" s="5"/>
      <c r="Q133" s="5"/>
      <c r="R133" s="5"/>
      <c r="S133" s="5"/>
    </row>
    <row r="134" spans="1:20" ht="21.95" customHeight="1">
      <c r="A134" s="4"/>
      <c r="B134" s="7"/>
      <c r="C134" s="4"/>
      <c r="D134" s="4"/>
      <c r="E134" s="5"/>
      <c r="F134" s="5"/>
      <c r="G134" s="5"/>
      <c r="H134" s="5"/>
      <c r="I134" s="7"/>
      <c r="J134" s="7"/>
      <c r="K134" s="7"/>
      <c r="L134" s="7"/>
      <c r="M134" s="7"/>
      <c r="N134" s="7"/>
      <c r="P134" s="1040"/>
      <c r="Q134" s="5"/>
      <c r="R134" s="5"/>
      <c r="S134" s="5"/>
    </row>
    <row r="135" spans="1:20" ht="21.95" customHeight="1">
      <c r="A135" s="4"/>
      <c r="B135" s="7"/>
      <c r="C135" s="4"/>
      <c r="D135" s="4"/>
      <c r="E135" s="5"/>
      <c r="F135" s="5"/>
      <c r="G135" s="5"/>
      <c r="H135" s="5"/>
      <c r="I135" s="7"/>
      <c r="J135" s="7"/>
      <c r="K135" s="7"/>
      <c r="L135" s="7"/>
      <c r="M135" s="7"/>
      <c r="N135" s="7"/>
      <c r="P135" s="5"/>
      <c r="Q135" s="5"/>
      <c r="R135" s="5"/>
    </row>
    <row r="136" spans="1:20" ht="21.95" customHeight="1">
      <c r="A136" s="4"/>
      <c r="B136" s="7"/>
      <c r="C136" s="4"/>
      <c r="D136" s="4"/>
      <c r="E136" s="5"/>
      <c r="F136" s="5"/>
      <c r="G136" s="5"/>
      <c r="H136" s="5"/>
      <c r="I136" s="7"/>
      <c r="J136" s="7"/>
      <c r="K136" s="7"/>
      <c r="L136" s="7"/>
      <c r="M136" s="7"/>
      <c r="N136" s="5"/>
      <c r="P136" s="5"/>
      <c r="Q136" s="5"/>
      <c r="R136" s="5"/>
      <c r="S136" s="5"/>
    </row>
    <row r="137" spans="1:20" ht="21.95" customHeight="1">
      <c r="A137" s="4"/>
      <c r="B137" s="7"/>
      <c r="C137" s="4"/>
      <c r="D137" s="4"/>
      <c r="E137" s="5"/>
      <c r="F137" s="5"/>
      <c r="G137" s="5"/>
      <c r="H137" s="5"/>
      <c r="I137" s="7"/>
      <c r="J137" s="7"/>
      <c r="K137" s="7"/>
      <c r="L137" s="7"/>
      <c r="M137" s="7"/>
      <c r="N137" s="5"/>
      <c r="P137" s="5"/>
      <c r="Q137" s="607"/>
      <c r="R137" s="5"/>
      <c r="S137" s="5"/>
    </row>
    <row r="138" spans="1:20" ht="21.95" customHeight="1">
      <c r="A138" s="4"/>
      <c r="B138" s="7"/>
      <c r="C138" s="4"/>
      <c r="D138" s="4"/>
      <c r="E138" s="5"/>
      <c r="F138" s="5"/>
      <c r="G138" s="5"/>
      <c r="H138" s="5"/>
      <c r="I138" s="7"/>
      <c r="J138" s="7"/>
      <c r="K138" s="7"/>
      <c r="L138" s="7"/>
      <c r="M138" s="7"/>
      <c r="N138" s="5"/>
      <c r="P138" s="5"/>
      <c r="Q138" s="5"/>
      <c r="R138" s="5"/>
      <c r="S138" s="5"/>
    </row>
    <row r="139" spans="1:20" ht="21.95" customHeight="1">
      <c r="A139" s="4"/>
      <c r="B139" s="7"/>
      <c r="C139" s="4"/>
      <c r="D139" s="4"/>
      <c r="E139" s="5"/>
      <c r="F139" s="5"/>
      <c r="G139" s="5"/>
      <c r="H139" s="5"/>
      <c r="I139" s="7"/>
      <c r="J139" s="7"/>
      <c r="K139" s="7"/>
      <c r="L139" s="7"/>
      <c r="M139" s="7"/>
      <c r="N139" s="5"/>
      <c r="P139" s="5"/>
      <c r="Q139" s="607"/>
      <c r="R139" s="5"/>
      <c r="S139" s="5"/>
    </row>
    <row r="140" spans="1:20" ht="21.95" customHeight="1">
      <c r="A140" s="4"/>
      <c r="B140" s="7"/>
      <c r="C140" s="4"/>
      <c r="D140" s="4"/>
      <c r="E140" s="5"/>
      <c r="F140" s="5"/>
      <c r="G140" s="5"/>
      <c r="H140" s="5"/>
      <c r="I140" s="7"/>
      <c r="J140" s="7"/>
      <c r="K140" s="7"/>
      <c r="L140" s="7"/>
      <c r="M140" s="7"/>
      <c r="N140" s="5"/>
      <c r="P140" s="5"/>
      <c r="Q140" s="5"/>
      <c r="R140" s="5"/>
      <c r="S140" s="5"/>
    </row>
    <row r="141" spans="1:20" ht="21.95" customHeight="1">
      <c r="A141" s="4"/>
      <c r="B141" s="7"/>
      <c r="C141" s="4"/>
      <c r="D141" s="4"/>
      <c r="E141" s="5"/>
      <c r="F141" s="5"/>
      <c r="G141" s="5"/>
      <c r="H141" s="5"/>
      <c r="I141" s="7"/>
      <c r="J141" s="7"/>
      <c r="K141" s="7"/>
      <c r="L141" s="7"/>
      <c r="M141" s="7"/>
      <c r="N141" s="5"/>
      <c r="P141" s="5"/>
      <c r="Q141" s="5"/>
      <c r="R141" s="5"/>
      <c r="S141" s="5"/>
    </row>
    <row r="142" spans="1:20" ht="21.95" customHeight="1">
      <c r="A142" s="4"/>
      <c r="B142" s="7"/>
      <c r="C142" s="4"/>
      <c r="D142" s="4"/>
      <c r="E142" s="5"/>
      <c r="F142" s="5"/>
      <c r="G142" s="5"/>
      <c r="H142" s="5"/>
      <c r="I142" s="7"/>
      <c r="J142" s="7"/>
      <c r="K142" s="7"/>
      <c r="L142" s="7"/>
      <c r="M142" s="7"/>
      <c r="N142" s="5"/>
      <c r="O142" s="5"/>
      <c r="P142" s="5"/>
      <c r="Q142" s="5"/>
      <c r="R142" s="5"/>
      <c r="S142" s="5"/>
    </row>
    <row r="143" spans="1:20" ht="21.95" customHeight="1">
      <c r="A143" s="4"/>
      <c r="B143" s="7"/>
      <c r="C143" s="4"/>
      <c r="D143" s="4"/>
      <c r="E143" s="5"/>
      <c r="F143" s="5"/>
      <c r="G143" s="5"/>
      <c r="H143" s="5"/>
      <c r="I143" s="7"/>
      <c r="J143" s="7"/>
      <c r="K143" s="7"/>
      <c r="L143" s="7"/>
      <c r="M143" s="7"/>
      <c r="N143" s="5"/>
      <c r="P143" s="5"/>
      <c r="Q143" s="5"/>
      <c r="R143" s="5"/>
      <c r="S143" s="5"/>
    </row>
    <row r="144" spans="1:20" ht="21.95" customHeight="1">
      <c r="A144" s="4"/>
      <c r="B144" s="7"/>
      <c r="C144" s="4"/>
      <c r="D144" s="4"/>
      <c r="E144" s="5"/>
      <c r="F144" s="5"/>
      <c r="G144" s="5"/>
      <c r="H144" s="5"/>
      <c r="I144" s="7"/>
      <c r="J144" s="7"/>
      <c r="K144" s="7"/>
      <c r="L144" s="7"/>
      <c r="M144" s="7"/>
      <c r="N144" s="5"/>
      <c r="O144" s="5"/>
      <c r="P144" s="5"/>
      <c r="Q144" s="5"/>
      <c r="R144" s="5"/>
      <c r="S144" s="5"/>
    </row>
    <row r="145" spans="1:19" ht="21.95" customHeight="1">
      <c r="A145" s="4"/>
      <c r="B145" s="7"/>
      <c r="C145" s="4"/>
      <c r="D145" s="4"/>
      <c r="E145" s="5"/>
      <c r="F145" s="5"/>
      <c r="G145" s="5"/>
      <c r="H145" s="5"/>
      <c r="I145" s="7"/>
      <c r="J145" s="7"/>
      <c r="K145" s="7"/>
      <c r="L145" s="7"/>
      <c r="M145" s="7"/>
      <c r="N145" s="5"/>
      <c r="O145" s="5"/>
      <c r="P145" s="5"/>
      <c r="Q145" s="5"/>
      <c r="R145" s="5"/>
      <c r="S145" s="5"/>
    </row>
    <row r="146" spans="1:19" ht="21.95" customHeight="1">
      <c r="A146" s="4"/>
      <c r="B146" s="7"/>
      <c r="C146" s="4"/>
      <c r="D146" s="4"/>
      <c r="E146" s="5"/>
      <c r="F146" s="5"/>
      <c r="G146" s="5"/>
      <c r="H146" s="5"/>
      <c r="I146" s="7"/>
      <c r="J146" s="7"/>
      <c r="K146" s="7"/>
      <c r="L146" s="7"/>
      <c r="M146" s="7"/>
      <c r="N146" s="5"/>
      <c r="O146" s="5"/>
      <c r="P146" s="5"/>
      <c r="Q146" s="5"/>
      <c r="R146" s="5"/>
      <c r="S146" s="5"/>
    </row>
    <row r="147" spans="1:19" ht="21.95" customHeight="1">
      <c r="A147" s="4"/>
      <c r="B147" s="7"/>
      <c r="C147" s="4"/>
      <c r="D147" s="4"/>
      <c r="E147" s="5"/>
      <c r="F147" s="5"/>
      <c r="G147" s="5"/>
      <c r="H147" s="5"/>
      <c r="I147" s="7"/>
      <c r="J147" s="7"/>
      <c r="K147" s="7"/>
      <c r="L147" s="7"/>
      <c r="M147" s="7"/>
      <c r="N147" s="5"/>
      <c r="O147" s="5"/>
      <c r="P147" s="5"/>
      <c r="Q147" s="5"/>
      <c r="R147" s="5"/>
      <c r="S147" s="5"/>
    </row>
    <row r="148" spans="1:19" ht="21.95" customHeight="1">
      <c r="A148" s="4"/>
      <c r="B148" s="81"/>
      <c r="C148" s="4"/>
      <c r="D148" s="4"/>
      <c r="E148" s="5"/>
      <c r="F148" s="5"/>
      <c r="G148" s="5"/>
      <c r="H148" s="5"/>
      <c r="I148" s="7"/>
      <c r="J148" s="7"/>
      <c r="K148" s="7"/>
      <c r="L148" s="7"/>
      <c r="M148" s="7"/>
      <c r="N148" s="5"/>
      <c r="O148" s="5"/>
      <c r="P148" s="5"/>
      <c r="Q148" s="5"/>
      <c r="R148" s="5"/>
      <c r="S148" s="5"/>
    </row>
    <row r="149" spans="1:19" ht="21.95" customHeight="1">
      <c r="A149" s="4"/>
      <c r="B149" s="7"/>
      <c r="C149" s="4"/>
      <c r="D149" s="4"/>
      <c r="E149" s="5"/>
      <c r="F149" s="5"/>
      <c r="G149" s="5"/>
      <c r="H149" s="5"/>
      <c r="I149" s="7"/>
      <c r="J149" s="7"/>
      <c r="K149" s="7"/>
      <c r="L149" s="7"/>
      <c r="M149" s="7"/>
      <c r="N149" s="5"/>
      <c r="O149" s="5"/>
      <c r="P149" s="5"/>
      <c r="Q149" s="5"/>
      <c r="R149" s="5"/>
      <c r="S149" s="5"/>
    </row>
    <row r="150" spans="1:19" ht="21.95" customHeight="1">
      <c r="A150" s="4"/>
      <c r="B150" s="7"/>
      <c r="C150" s="4"/>
      <c r="D150" s="4"/>
      <c r="E150" s="5"/>
      <c r="F150" s="5"/>
      <c r="G150" s="5"/>
      <c r="H150" s="5"/>
      <c r="I150" s="7"/>
      <c r="J150" s="7"/>
      <c r="K150" s="7"/>
      <c r="L150" s="7"/>
      <c r="M150" s="7"/>
      <c r="N150" s="5"/>
      <c r="O150" s="5"/>
      <c r="P150" s="5"/>
      <c r="Q150" s="5"/>
      <c r="R150" s="5"/>
      <c r="S150" s="5"/>
    </row>
    <row r="151" spans="1:19" ht="21.95" customHeight="1">
      <c r="A151" s="4"/>
      <c r="B151" s="7"/>
      <c r="C151" s="4"/>
      <c r="D151" s="4"/>
      <c r="E151" s="5"/>
      <c r="F151" s="5"/>
      <c r="G151" s="5"/>
      <c r="H151" s="5"/>
      <c r="I151" s="7"/>
      <c r="J151" s="7"/>
      <c r="K151" s="7"/>
      <c r="L151" s="7"/>
      <c r="M151" s="7"/>
      <c r="N151" s="5"/>
      <c r="O151" s="5"/>
      <c r="P151" s="5"/>
      <c r="Q151" s="5"/>
      <c r="R151" s="5"/>
      <c r="S151" s="5"/>
    </row>
    <row r="152" spans="1:19" ht="21.95" customHeight="1">
      <c r="A152" s="4"/>
      <c r="B152" s="7"/>
      <c r="C152" s="4"/>
      <c r="D152" s="4"/>
      <c r="E152" s="5"/>
      <c r="F152" s="5"/>
      <c r="G152" s="5"/>
      <c r="H152" s="5"/>
      <c r="I152" s="7"/>
      <c r="J152" s="7"/>
      <c r="K152" s="7"/>
      <c r="L152" s="7"/>
      <c r="M152" s="7"/>
      <c r="N152" s="5"/>
      <c r="O152" s="5"/>
      <c r="P152" s="5"/>
      <c r="Q152" s="5"/>
      <c r="R152" s="5"/>
      <c r="S152" s="5"/>
    </row>
    <row r="153" spans="1:19" ht="21.95" customHeight="1">
      <c r="A153" s="4"/>
      <c r="B153" s="7"/>
      <c r="C153" s="4"/>
      <c r="D153" s="4"/>
      <c r="E153" s="5"/>
      <c r="F153" s="5"/>
      <c r="G153" s="5"/>
      <c r="H153" s="5"/>
      <c r="I153" s="7"/>
      <c r="J153" s="7"/>
      <c r="K153" s="7"/>
      <c r="L153" s="7"/>
      <c r="M153" s="7"/>
      <c r="N153" s="5"/>
      <c r="O153" s="5"/>
      <c r="P153" s="5"/>
      <c r="Q153" s="5"/>
      <c r="R153" s="5"/>
      <c r="S153" s="5"/>
    </row>
    <row r="154" spans="1:19" ht="21.95" customHeight="1">
      <c r="A154" s="4"/>
      <c r="B154" s="7"/>
      <c r="C154" s="4"/>
      <c r="D154" s="4"/>
      <c r="E154" s="5"/>
      <c r="F154" s="5"/>
      <c r="G154" s="5"/>
      <c r="H154" s="5"/>
      <c r="I154" s="7"/>
      <c r="J154" s="7"/>
      <c r="K154" s="7"/>
      <c r="L154" s="7"/>
      <c r="M154" s="7"/>
      <c r="N154" s="5"/>
      <c r="O154" s="5"/>
      <c r="P154" s="5"/>
      <c r="Q154" s="5"/>
      <c r="R154" s="5"/>
      <c r="S154" s="5"/>
    </row>
    <row r="155" spans="1:19" ht="21.95" customHeight="1">
      <c r="A155" s="4"/>
      <c r="B155" s="7"/>
      <c r="C155" s="4"/>
      <c r="D155" s="4"/>
      <c r="E155" s="5"/>
      <c r="F155" s="5"/>
      <c r="G155" s="5"/>
      <c r="H155" s="5"/>
      <c r="I155" s="7"/>
      <c r="J155" s="7"/>
      <c r="K155" s="7"/>
      <c r="L155" s="7"/>
      <c r="M155" s="7"/>
      <c r="N155" s="5"/>
      <c r="O155" s="5"/>
      <c r="P155" s="5"/>
      <c r="Q155" s="5"/>
      <c r="R155" s="5"/>
      <c r="S155" s="5"/>
    </row>
    <row r="156" spans="1:19" ht="21.95" customHeight="1">
      <c r="A156" s="4"/>
      <c r="B156" s="7"/>
      <c r="C156" s="4"/>
      <c r="D156" s="4"/>
      <c r="E156" s="5"/>
      <c r="F156" s="5"/>
      <c r="G156" s="5"/>
      <c r="H156" s="5"/>
      <c r="I156" s="7"/>
      <c r="J156" s="7"/>
      <c r="K156" s="7"/>
      <c r="L156" s="7"/>
      <c r="M156" s="7"/>
      <c r="N156" s="5"/>
      <c r="O156" s="5"/>
      <c r="P156" s="5"/>
      <c r="Q156" s="5"/>
      <c r="R156" s="5"/>
      <c r="S156" s="5"/>
    </row>
    <row r="157" spans="1:19" ht="21.95" customHeight="1">
      <c r="A157" s="4"/>
      <c r="B157" s="7"/>
      <c r="C157" s="4"/>
      <c r="D157" s="4"/>
      <c r="E157" s="5"/>
      <c r="F157" s="5"/>
      <c r="G157" s="5"/>
      <c r="H157" s="5"/>
      <c r="I157" s="7"/>
      <c r="J157" s="7"/>
      <c r="K157" s="7"/>
      <c r="L157" s="7"/>
      <c r="M157" s="7"/>
      <c r="N157" s="5"/>
      <c r="O157" s="5"/>
      <c r="P157" s="5"/>
      <c r="Q157" s="5"/>
      <c r="R157" s="5"/>
      <c r="S157" s="5"/>
    </row>
    <row r="158" spans="1:19" ht="21.95" customHeight="1">
      <c r="A158" s="4"/>
      <c r="B158" s="7"/>
      <c r="C158" s="4"/>
      <c r="D158" s="4"/>
      <c r="E158" s="5"/>
      <c r="F158" s="5"/>
      <c r="G158" s="5"/>
      <c r="H158" s="5"/>
      <c r="I158" s="7"/>
      <c r="J158" s="7"/>
      <c r="K158" s="7"/>
      <c r="L158" s="7"/>
      <c r="M158" s="7"/>
      <c r="N158" s="5"/>
      <c r="O158" s="5"/>
      <c r="P158" s="5"/>
      <c r="Q158" s="5"/>
      <c r="R158" s="5"/>
      <c r="S158" s="5"/>
    </row>
    <row r="159" spans="1:19">
      <c r="A159" s="4"/>
      <c r="B159" s="7"/>
      <c r="C159" s="4"/>
      <c r="D159" s="4"/>
      <c r="E159" s="5"/>
      <c r="F159" s="5"/>
      <c r="G159" s="5"/>
      <c r="H159" s="5"/>
      <c r="I159" s="7"/>
      <c r="J159" s="7"/>
      <c r="K159" s="7"/>
      <c r="L159" s="7"/>
      <c r="M159" s="7"/>
      <c r="N159" s="5"/>
      <c r="O159" s="5"/>
      <c r="P159" s="5"/>
      <c r="Q159" s="5"/>
      <c r="R159" s="5"/>
      <c r="S159" s="5"/>
    </row>
    <row r="160" spans="1:19">
      <c r="A160" s="4"/>
      <c r="B160" s="7"/>
      <c r="C160" s="4"/>
      <c r="D160" s="4"/>
      <c r="E160" s="5"/>
      <c r="F160" s="5"/>
      <c r="G160" s="5"/>
      <c r="H160" s="5"/>
      <c r="I160" s="7"/>
      <c r="J160" s="7"/>
      <c r="K160" s="7"/>
      <c r="L160" s="7"/>
      <c r="M160" s="7"/>
      <c r="N160" s="5"/>
      <c r="O160" s="5"/>
      <c r="P160" s="5"/>
      <c r="Q160" s="5"/>
      <c r="R160" s="5"/>
      <c r="S160" s="5"/>
    </row>
    <row r="161" spans="1:19">
      <c r="A161" s="4"/>
      <c r="B161" s="7"/>
      <c r="C161" s="4"/>
      <c r="D161" s="4"/>
      <c r="E161" s="5"/>
      <c r="F161" s="5"/>
      <c r="G161" s="5"/>
      <c r="H161" s="5"/>
      <c r="I161" s="7"/>
      <c r="J161" s="7"/>
      <c r="K161" s="7"/>
      <c r="L161" s="7"/>
      <c r="M161" s="7"/>
      <c r="N161" s="5"/>
      <c r="O161" s="5"/>
      <c r="P161" s="5"/>
      <c r="Q161" s="5"/>
      <c r="R161" s="5"/>
      <c r="S161" s="5"/>
    </row>
    <row r="162" spans="1:19">
      <c r="A162" s="4"/>
      <c r="B162" s="7"/>
      <c r="C162" s="4"/>
      <c r="D162" s="4"/>
      <c r="E162" s="5"/>
      <c r="F162" s="5"/>
      <c r="G162" s="5"/>
      <c r="H162" s="5"/>
      <c r="I162" s="7"/>
      <c r="J162" s="7"/>
      <c r="K162" s="7"/>
      <c r="L162" s="7"/>
      <c r="M162" s="7"/>
      <c r="N162" s="5"/>
      <c r="O162" s="5"/>
      <c r="P162" s="5"/>
      <c r="Q162" s="5"/>
      <c r="R162" s="5"/>
      <c r="S162" s="5"/>
    </row>
    <row r="163" spans="1:19">
      <c r="A163" s="4"/>
      <c r="B163" s="7"/>
      <c r="C163" s="4"/>
      <c r="D163" s="4"/>
      <c r="E163" s="5"/>
      <c r="F163" s="5"/>
      <c r="G163" s="5"/>
      <c r="H163" s="5"/>
      <c r="I163" s="7"/>
      <c r="J163" s="7"/>
      <c r="K163" s="7"/>
      <c r="L163" s="7"/>
      <c r="M163" s="7"/>
      <c r="N163" s="5"/>
      <c r="O163" s="5"/>
      <c r="P163" s="5"/>
      <c r="Q163" s="5"/>
      <c r="R163" s="5"/>
      <c r="S163" s="5"/>
    </row>
    <row r="164" spans="1:19">
      <c r="A164" s="4"/>
      <c r="B164" s="7"/>
      <c r="C164" s="4"/>
      <c r="D164" s="4"/>
      <c r="E164" s="5"/>
      <c r="F164" s="5"/>
      <c r="G164" s="5"/>
      <c r="H164" s="5"/>
      <c r="I164" s="7"/>
      <c r="J164" s="7"/>
      <c r="K164" s="7"/>
      <c r="L164" s="7"/>
      <c r="M164" s="7"/>
      <c r="N164" s="5"/>
      <c r="O164" s="5"/>
      <c r="P164" s="5"/>
      <c r="Q164" s="5"/>
      <c r="R164" s="5"/>
      <c r="S164" s="5"/>
    </row>
    <row r="165" spans="1:19">
      <c r="A165" s="4"/>
      <c r="B165" s="7"/>
      <c r="C165" s="4"/>
      <c r="D165" s="4"/>
      <c r="E165" s="5"/>
      <c r="F165" s="5"/>
      <c r="G165" s="5"/>
      <c r="H165" s="5"/>
      <c r="I165" s="7"/>
      <c r="J165" s="7"/>
      <c r="K165" s="7"/>
      <c r="L165" s="7"/>
      <c r="M165" s="7"/>
      <c r="N165" s="5"/>
      <c r="O165" s="5"/>
      <c r="P165" s="5"/>
      <c r="Q165" s="5"/>
      <c r="R165" s="5"/>
      <c r="S165" s="5"/>
    </row>
    <row r="166" spans="1:19">
      <c r="A166" s="4"/>
      <c r="B166" s="7"/>
      <c r="C166" s="4"/>
      <c r="D166" s="4"/>
      <c r="E166" s="5"/>
      <c r="F166" s="5"/>
      <c r="G166" s="5"/>
      <c r="H166" s="5"/>
      <c r="I166" s="7"/>
      <c r="J166" s="7"/>
      <c r="K166" s="7"/>
      <c r="L166" s="7"/>
      <c r="M166" s="7"/>
      <c r="N166" s="5"/>
      <c r="O166" s="5"/>
      <c r="P166" s="5"/>
      <c r="Q166" s="5"/>
      <c r="R166" s="5"/>
      <c r="S166" s="5"/>
    </row>
    <row r="167" spans="1:19">
      <c r="A167" s="4"/>
      <c r="B167" s="7"/>
      <c r="C167" s="4"/>
      <c r="D167" s="4"/>
      <c r="E167" s="5"/>
      <c r="F167" s="5"/>
      <c r="G167" s="5"/>
      <c r="H167" s="5"/>
      <c r="I167" s="7"/>
      <c r="J167" s="7"/>
      <c r="K167" s="7"/>
      <c r="L167" s="7"/>
      <c r="M167" s="7"/>
      <c r="N167" s="5"/>
      <c r="O167" s="5"/>
      <c r="P167" s="5"/>
      <c r="Q167" s="5"/>
      <c r="R167" s="5"/>
      <c r="S167" s="5"/>
    </row>
    <row r="168" spans="1:19">
      <c r="A168" s="4"/>
      <c r="B168" s="7"/>
      <c r="C168" s="4"/>
      <c r="D168" s="4"/>
      <c r="E168" s="5"/>
      <c r="F168" s="5"/>
      <c r="G168" s="5"/>
      <c r="H168" s="5"/>
      <c r="I168" s="7"/>
      <c r="J168" s="7"/>
      <c r="K168" s="7"/>
      <c r="L168" s="7"/>
      <c r="M168" s="7"/>
      <c r="N168" s="5"/>
      <c r="O168" s="5"/>
      <c r="P168" s="5"/>
      <c r="Q168" s="5"/>
      <c r="R168" s="5"/>
      <c r="S168" s="5"/>
    </row>
    <row r="169" spans="1:19">
      <c r="A169" s="4"/>
      <c r="B169" s="7"/>
      <c r="C169" s="4"/>
      <c r="D169" s="4"/>
      <c r="E169" s="5"/>
      <c r="F169" s="5"/>
      <c r="G169" s="5"/>
      <c r="H169" s="5"/>
      <c r="I169" s="7"/>
      <c r="J169" s="7"/>
      <c r="K169" s="7"/>
      <c r="L169" s="7"/>
      <c r="M169" s="7"/>
      <c r="N169" s="5"/>
      <c r="O169" s="5"/>
      <c r="P169" s="5"/>
      <c r="Q169" s="5"/>
      <c r="R169" s="5"/>
      <c r="S169" s="5"/>
    </row>
    <row r="170" spans="1:19">
      <c r="A170" s="4"/>
      <c r="B170" s="7"/>
      <c r="C170" s="4"/>
      <c r="D170" s="4"/>
      <c r="E170" s="5"/>
      <c r="F170" s="5"/>
      <c r="G170" s="5"/>
      <c r="H170" s="5"/>
      <c r="I170" s="7"/>
      <c r="J170" s="7"/>
      <c r="K170" s="7"/>
      <c r="L170" s="7"/>
      <c r="M170" s="7"/>
      <c r="N170" s="5"/>
      <c r="O170" s="5"/>
      <c r="P170" s="5"/>
      <c r="Q170" s="5"/>
      <c r="R170" s="5"/>
      <c r="S170" s="5"/>
    </row>
    <row r="171" spans="1:19">
      <c r="A171" s="4"/>
      <c r="B171" s="7"/>
      <c r="C171" s="4"/>
      <c r="D171" s="4"/>
      <c r="E171" s="5"/>
      <c r="F171" s="5"/>
      <c r="G171" s="5"/>
      <c r="H171" s="5"/>
      <c r="I171" s="7"/>
      <c r="J171" s="7"/>
      <c r="K171" s="7"/>
      <c r="L171" s="7"/>
      <c r="M171" s="7"/>
      <c r="N171" s="5"/>
      <c r="O171" s="5"/>
      <c r="P171" s="5"/>
      <c r="Q171" s="5"/>
      <c r="R171" s="5"/>
      <c r="S171" s="5"/>
    </row>
    <row r="172" spans="1:19">
      <c r="A172" s="4"/>
      <c r="B172" s="7"/>
      <c r="C172" s="4"/>
      <c r="D172" s="4"/>
      <c r="E172" s="5"/>
      <c r="F172" s="5"/>
      <c r="G172" s="5"/>
      <c r="H172" s="5"/>
      <c r="I172" s="7"/>
      <c r="J172" s="7"/>
      <c r="K172" s="7"/>
      <c r="L172" s="7"/>
      <c r="M172" s="7"/>
      <c r="N172" s="5"/>
      <c r="O172" s="5"/>
      <c r="P172" s="5"/>
      <c r="Q172" s="5"/>
      <c r="R172" s="5"/>
      <c r="S172" s="5"/>
    </row>
    <row r="173" spans="1:19">
      <c r="A173" s="4"/>
      <c r="B173" s="7"/>
      <c r="C173" s="4"/>
      <c r="D173" s="4"/>
      <c r="E173" s="5"/>
      <c r="F173" s="5"/>
      <c r="G173" s="5"/>
      <c r="H173" s="5"/>
      <c r="I173" s="7"/>
      <c r="J173" s="7"/>
      <c r="K173" s="7"/>
      <c r="L173" s="7"/>
      <c r="M173" s="7"/>
      <c r="N173" s="5"/>
      <c r="O173" s="5"/>
      <c r="P173" s="5"/>
      <c r="Q173" s="5"/>
      <c r="R173" s="5"/>
      <c r="S173" s="5"/>
    </row>
    <row r="174" spans="1:19">
      <c r="A174" s="4"/>
      <c r="B174" s="7"/>
      <c r="C174" s="4"/>
      <c r="D174" s="4"/>
      <c r="E174" s="5"/>
      <c r="F174" s="5"/>
      <c r="G174" s="5"/>
      <c r="H174" s="5"/>
      <c r="I174" s="7"/>
      <c r="J174" s="7"/>
      <c r="K174" s="7"/>
      <c r="L174" s="7"/>
      <c r="M174" s="7"/>
      <c r="N174" s="5"/>
      <c r="O174" s="5"/>
      <c r="P174" s="5"/>
      <c r="Q174" s="5"/>
      <c r="R174" s="5"/>
      <c r="S174" s="5"/>
    </row>
    <row r="175" spans="1:19">
      <c r="A175" s="4"/>
      <c r="B175" s="7"/>
      <c r="C175" s="4"/>
      <c r="D175" s="4"/>
      <c r="E175" s="5"/>
      <c r="F175" s="5"/>
      <c r="G175" s="5"/>
      <c r="H175" s="5"/>
      <c r="I175" s="7"/>
      <c r="J175" s="7"/>
      <c r="K175" s="7"/>
      <c r="L175" s="7"/>
      <c r="M175" s="7"/>
      <c r="N175" s="5"/>
      <c r="O175" s="5"/>
      <c r="P175" s="5"/>
      <c r="Q175" s="5"/>
      <c r="R175" s="5"/>
      <c r="S175" s="5"/>
    </row>
    <row r="176" spans="1:19">
      <c r="A176" s="4"/>
      <c r="B176" s="7"/>
      <c r="C176" s="4"/>
      <c r="D176" s="4"/>
      <c r="E176" s="5"/>
      <c r="F176" s="5"/>
      <c r="G176" s="5"/>
      <c r="H176" s="5"/>
      <c r="I176" s="7"/>
      <c r="J176" s="7"/>
      <c r="K176" s="7"/>
      <c r="L176" s="7"/>
      <c r="M176" s="7"/>
      <c r="N176" s="5"/>
      <c r="O176" s="5"/>
      <c r="P176" s="5"/>
      <c r="Q176" s="5"/>
      <c r="R176" s="5"/>
      <c r="S176" s="5"/>
    </row>
    <row r="177" spans="1:19">
      <c r="A177" s="4"/>
      <c r="B177" s="7"/>
      <c r="C177" s="4"/>
      <c r="D177" s="4"/>
      <c r="E177" s="5"/>
      <c r="F177" s="5"/>
      <c r="G177" s="5"/>
      <c r="H177" s="5"/>
      <c r="I177" s="7"/>
      <c r="J177" s="7"/>
      <c r="K177" s="7"/>
      <c r="L177" s="7"/>
      <c r="M177" s="7"/>
      <c r="N177" s="5"/>
      <c r="O177" s="5"/>
      <c r="P177" s="5"/>
      <c r="Q177" s="5"/>
      <c r="R177" s="5"/>
      <c r="S177" s="5"/>
    </row>
    <row r="178" spans="1:19">
      <c r="A178" s="4"/>
      <c r="B178" s="7"/>
      <c r="C178" s="4"/>
      <c r="D178" s="4"/>
      <c r="E178" s="5"/>
      <c r="F178" s="5"/>
      <c r="G178" s="5"/>
      <c r="H178" s="5"/>
      <c r="I178" s="7"/>
      <c r="J178" s="7"/>
      <c r="K178" s="7"/>
      <c r="L178" s="7"/>
      <c r="M178" s="7"/>
      <c r="N178" s="5"/>
      <c r="O178" s="5"/>
      <c r="P178" s="5"/>
      <c r="Q178" s="5"/>
      <c r="R178" s="5"/>
      <c r="S178" s="5"/>
    </row>
    <row r="179" spans="1:19">
      <c r="E179" s="5"/>
      <c r="O179" s="5"/>
    </row>
    <row r="180" spans="1:19">
      <c r="E180" s="5"/>
    </row>
    <row r="181" spans="1:19">
      <c r="E181" s="5"/>
    </row>
  </sheetData>
  <autoFilter ref="A2:S129" xr:uid="{B495C380-3747-43B0-B226-858EE8B124DE}"/>
  <mergeCells count="20">
    <mergeCell ref="T109:T111"/>
    <mergeCell ref="T96:T99"/>
    <mergeCell ref="T89:T95"/>
    <mergeCell ref="T85:T88"/>
    <mergeCell ref="T3:T4"/>
    <mergeCell ref="T126:T127"/>
    <mergeCell ref="T120:T125"/>
    <mergeCell ref="T118:T119"/>
    <mergeCell ref="R80:R81"/>
    <mergeCell ref="T80:T84"/>
    <mergeCell ref="T51:T66"/>
    <mergeCell ref="T26:T50"/>
    <mergeCell ref="T6:T15"/>
    <mergeCell ref="T101:T108"/>
    <mergeCell ref="R96:R97"/>
    <mergeCell ref="R98:R99"/>
    <mergeCell ref="T67:T79"/>
    <mergeCell ref="T16:T25"/>
    <mergeCell ref="T116:T117"/>
    <mergeCell ref="T112:T11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F5F1-3340-40ED-8377-EE3E05359EFF}">
  <sheetPr>
    <pageSetUpPr fitToPage="1"/>
  </sheetPr>
  <dimension ref="A1:T81"/>
  <sheetViews>
    <sheetView zoomScale="85" zoomScaleNormal="85" workbookViewId="0">
      <pane ySplit="2" topLeftCell="A11" activePane="bottomLeft" state="frozen"/>
      <selection activeCell="L218" sqref="L218"/>
      <selection pane="bottomLeft" activeCell="I34" sqref="I34"/>
    </sheetView>
  </sheetViews>
  <sheetFormatPr defaultRowHeight="16.5" outlineLevelCol="1"/>
  <cols>
    <col min="1" max="1" width="16.375" style="3" customWidth="1"/>
    <col min="2" max="2" width="15.75" style="2" customWidth="1"/>
    <col min="3" max="3" width="15.125" style="3" bestFit="1" customWidth="1"/>
    <col min="4" max="4" width="14" style="3" bestFit="1" customWidth="1"/>
    <col min="5" max="5" width="15.75" style="10" customWidth="1"/>
    <col min="6" max="7" width="15.125" style="10" hidden="1" customWidth="1" outlineLevel="1"/>
    <col min="8" max="8" width="17.375" style="10" bestFit="1" customWidth="1" collapsed="1"/>
    <col min="9" max="9" width="15.75" style="2" customWidth="1"/>
    <col min="10" max="11" width="15.75" style="2" hidden="1" customWidth="1" outlineLevel="1"/>
    <col min="12" max="12" width="15.75" style="2" customWidth="1" collapsed="1"/>
    <col min="13" max="13" width="17" style="2" customWidth="1"/>
    <col min="14" max="16" width="15.75" style="10" customWidth="1"/>
    <col min="17" max="17" width="18.75" style="10" customWidth="1"/>
    <col min="18" max="18" width="15.75" style="10" customWidth="1"/>
    <col min="19" max="19" width="30.875" style="10" customWidth="1"/>
    <col min="20" max="20" width="15.625" style="10" customWidth="1"/>
    <col min="21" max="21" width="9" style="10"/>
    <col min="22" max="22" width="10.625" style="10" bestFit="1" customWidth="1"/>
    <col min="23" max="16384" width="9" style="10"/>
  </cols>
  <sheetData>
    <row r="1" spans="1:20">
      <c r="A1" s="4"/>
      <c r="B1" s="7"/>
      <c r="C1" s="4"/>
      <c r="D1" s="4"/>
      <c r="E1" s="5"/>
      <c r="F1" s="5"/>
      <c r="G1" s="5"/>
      <c r="H1" s="5"/>
      <c r="I1" s="7"/>
      <c r="J1" s="7"/>
      <c r="K1" s="7"/>
      <c r="L1" s="7"/>
      <c r="M1" s="7"/>
      <c r="N1" s="6"/>
      <c r="O1" s="6"/>
      <c r="P1" s="5"/>
      <c r="Q1" s="5"/>
      <c r="R1" s="5"/>
      <c r="S1" s="5"/>
      <c r="T1" s="5"/>
    </row>
    <row r="2" spans="1:20" ht="30.75" customHeight="1">
      <c r="A2" s="78" t="s">
        <v>4</v>
      </c>
      <c r="B2" s="79" t="s">
        <v>391</v>
      </c>
      <c r="C2" s="78" t="s">
        <v>14</v>
      </c>
      <c r="D2" s="78" t="s">
        <v>13</v>
      </c>
      <c r="E2" s="78" t="s">
        <v>0</v>
      </c>
      <c r="F2" s="78" t="s">
        <v>249</v>
      </c>
      <c r="G2" s="78" t="s">
        <v>260</v>
      </c>
      <c r="H2" s="79" t="s">
        <v>1</v>
      </c>
      <c r="I2" s="79" t="s">
        <v>2</v>
      </c>
      <c r="J2" s="79" t="s">
        <v>80</v>
      </c>
      <c r="K2" s="79" t="s">
        <v>81</v>
      </c>
      <c r="L2" s="8" t="s">
        <v>9</v>
      </c>
      <c r="M2" s="67" t="s">
        <v>78</v>
      </c>
      <c r="N2" s="68" t="s">
        <v>79</v>
      </c>
      <c r="O2" s="69" t="s">
        <v>77</v>
      </c>
      <c r="P2" s="70" t="s">
        <v>7</v>
      </c>
      <c r="Q2" s="9" t="s">
        <v>8</v>
      </c>
      <c r="R2" s="78" t="s">
        <v>3</v>
      </c>
      <c r="S2" s="78" t="s">
        <v>10</v>
      </c>
      <c r="T2" s="80" t="s">
        <v>12</v>
      </c>
    </row>
    <row r="3" spans="1:20">
      <c r="A3" s="408">
        <v>46146</v>
      </c>
      <c r="B3" s="414" t="s">
        <v>264</v>
      </c>
      <c r="C3" s="414" t="s">
        <v>264</v>
      </c>
      <c r="D3" s="408" t="s">
        <v>263</v>
      </c>
      <c r="E3" s="408" t="s">
        <v>172</v>
      </c>
      <c r="F3" s="408" t="s">
        <v>291</v>
      </c>
      <c r="G3" s="408" t="s">
        <v>292</v>
      </c>
      <c r="H3" s="413" t="s">
        <v>75</v>
      </c>
      <c r="I3" s="414" t="s">
        <v>248</v>
      </c>
      <c r="J3" s="402">
        <v>14080</v>
      </c>
      <c r="K3" s="402">
        <v>17880</v>
      </c>
      <c r="L3" s="23">
        <f t="shared" ref="L3:L8" si="0">K3-J3</f>
        <v>3800</v>
      </c>
      <c r="M3" s="320">
        <v>3800</v>
      </c>
      <c r="N3" s="414"/>
      <c r="O3" s="320">
        <f>M3</f>
        <v>3800</v>
      </c>
      <c r="P3" s="407">
        <v>410</v>
      </c>
      <c r="Q3" s="407">
        <f>P3*O3</f>
        <v>1558000</v>
      </c>
      <c r="R3" s="401" t="s">
        <v>5</v>
      </c>
      <c r="S3" s="178" t="s">
        <v>253</v>
      </c>
      <c r="T3" s="2020" t="s">
        <v>375</v>
      </c>
    </row>
    <row r="4" spans="1:20">
      <c r="A4" s="409">
        <v>46146</v>
      </c>
      <c r="B4" s="412" t="s">
        <v>264</v>
      </c>
      <c r="C4" s="409" t="s">
        <v>262</v>
      </c>
      <c r="D4" s="409" t="s">
        <v>263</v>
      </c>
      <c r="E4" s="409" t="s">
        <v>172</v>
      </c>
      <c r="F4" s="409" t="s">
        <v>291</v>
      </c>
      <c r="G4" s="409" t="s">
        <v>292</v>
      </c>
      <c r="H4" s="226" t="s">
        <v>75</v>
      </c>
      <c r="I4" s="412" t="s">
        <v>255</v>
      </c>
      <c r="J4" s="403">
        <v>14060</v>
      </c>
      <c r="K4" s="403">
        <v>18010</v>
      </c>
      <c r="L4" s="26">
        <f t="shared" si="0"/>
        <v>3950</v>
      </c>
      <c r="M4" s="405">
        <v>3910</v>
      </c>
      <c r="N4" s="412"/>
      <c r="O4" s="405">
        <f t="shared" ref="O4:O14" si="1">M4</f>
        <v>3910</v>
      </c>
      <c r="P4" s="406">
        <v>410</v>
      </c>
      <c r="Q4" s="406">
        <f t="shared" ref="Q4:Q14" si="2">P4*O4</f>
        <v>1603100</v>
      </c>
      <c r="R4" s="395" t="s">
        <v>5</v>
      </c>
      <c r="S4" s="411"/>
      <c r="T4" s="2020"/>
    </row>
    <row r="5" spans="1:20">
      <c r="A5" s="409">
        <v>46146</v>
      </c>
      <c r="B5" s="412" t="s">
        <v>264</v>
      </c>
      <c r="C5" s="409" t="s">
        <v>262</v>
      </c>
      <c r="D5" s="409" t="s">
        <v>263</v>
      </c>
      <c r="E5" s="409" t="s">
        <v>172</v>
      </c>
      <c r="F5" s="409" t="s">
        <v>291</v>
      </c>
      <c r="G5" s="409" t="s">
        <v>292</v>
      </c>
      <c r="H5" s="226" t="s">
        <v>75</v>
      </c>
      <c r="I5" s="412" t="s">
        <v>255</v>
      </c>
      <c r="J5" s="403">
        <v>14090</v>
      </c>
      <c r="K5" s="403">
        <v>17180</v>
      </c>
      <c r="L5" s="26">
        <f t="shared" si="0"/>
        <v>3090</v>
      </c>
      <c r="M5" s="405">
        <v>3130</v>
      </c>
      <c r="N5" s="412"/>
      <c r="O5" s="405">
        <f t="shared" si="1"/>
        <v>3130</v>
      </c>
      <c r="P5" s="406">
        <v>410</v>
      </c>
      <c r="Q5" s="406">
        <f t="shared" si="2"/>
        <v>1283300</v>
      </c>
      <c r="R5" s="395" t="s">
        <v>5</v>
      </c>
      <c r="S5" s="411"/>
      <c r="T5" s="2020"/>
    </row>
    <row r="6" spans="1:20">
      <c r="A6" s="409">
        <v>46146</v>
      </c>
      <c r="B6" s="412" t="s">
        <v>264</v>
      </c>
      <c r="C6" s="409" t="s">
        <v>262</v>
      </c>
      <c r="D6" s="409" t="s">
        <v>263</v>
      </c>
      <c r="E6" s="409" t="s">
        <v>172</v>
      </c>
      <c r="F6" s="409" t="s">
        <v>291</v>
      </c>
      <c r="G6" s="409" t="s">
        <v>292</v>
      </c>
      <c r="H6" s="226" t="s">
        <v>75</v>
      </c>
      <c r="I6" s="412" t="s">
        <v>255</v>
      </c>
      <c r="J6" s="403">
        <v>14020</v>
      </c>
      <c r="K6" s="403">
        <v>17780</v>
      </c>
      <c r="L6" s="26">
        <f t="shared" si="0"/>
        <v>3760</v>
      </c>
      <c r="M6" s="405">
        <v>3760</v>
      </c>
      <c r="N6" s="412"/>
      <c r="O6" s="405">
        <f t="shared" si="1"/>
        <v>3760</v>
      </c>
      <c r="P6" s="406">
        <v>410</v>
      </c>
      <c r="Q6" s="406">
        <f t="shared" si="2"/>
        <v>1541600</v>
      </c>
      <c r="R6" s="395" t="s">
        <v>5</v>
      </c>
      <c r="S6" s="411"/>
      <c r="T6" s="2020"/>
    </row>
    <row r="7" spans="1:20">
      <c r="A7" s="409">
        <v>46146</v>
      </c>
      <c r="B7" s="412" t="s">
        <v>264</v>
      </c>
      <c r="C7" s="409" t="s">
        <v>262</v>
      </c>
      <c r="D7" s="409" t="s">
        <v>263</v>
      </c>
      <c r="E7" s="409" t="s">
        <v>172</v>
      </c>
      <c r="F7" s="409" t="s">
        <v>291</v>
      </c>
      <c r="G7" s="409" t="s">
        <v>292</v>
      </c>
      <c r="H7" s="226" t="s">
        <v>75</v>
      </c>
      <c r="I7" s="412" t="s">
        <v>255</v>
      </c>
      <c r="J7" s="403">
        <v>14030</v>
      </c>
      <c r="K7" s="403">
        <v>17650</v>
      </c>
      <c r="L7" s="26">
        <f t="shared" si="0"/>
        <v>3620</v>
      </c>
      <c r="M7" s="405">
        <v>3620</v>
      </c>
      <c r="N7" s="412"/>
      <c r="O7" s="405">
        <f t="shared" si="1"/>
        <v>3620</v>
      </c>
      <c r="P7" s="406">
        <v>410</v>
      </c>
      <c r="Q7" s="406">
        <f t="shared" si="2"/>
        <v>1484200</v>
      </c>
      <c r="R7" s="395" t="s">
        <v>5</v>
      </c>
      <c r="S7" s="411"/>
      <c r="T7" s="2020"/>
    </row>
    <row r="8" spans="1:20">
      <c r="A8" s="409">
        <v>46146</v>
      </c>
      <c r="B8" s="397" t="s">
        <v>147</v>
      </c>
      <c r="C8" s="409" t="s">
        <v>262</v>
      </c>
      <c r="D8" s="409" t="s">
        <v>263</v>
      </c>
      <c r="E8" s="409" t="s">
        <v>172</v>
      </c>
      <c r="F8" s="409" t="s">
        <v>291</v>
      </c>
      <c r="G8" s="409" t="s">
        <v>292</v>
      </c>
      <c r="H8" s="226" t="s">
        <v>75</v>
      </c>
      <c r="I8" s="412" t="s">
        <v>255</v>
      </c>
      <c r="J8" s="399">
        <v>14040</v>
      </c>
      <c r="K8" s="399">
        <v>16920</v>
      </c>
      <c r="L8" s="343">
        <f t="shared" si="0"/>
        <v>2880</v>
      </c>
      <c r="M8" s="396">
        <v>3040</v>
      </c>
      <c r="N8" s="397"/>
      <c r="O8" s="405">
        <f t="shared" si="1"/>
        <v>3040</v>
      </c>
      <c r="P8" s="398">
        <v>410</v>
      </c>
      <c r="Q8" s="406">
        <f t="shared" si="2"/>
        <v>1246400</v>
      </c>
      <c r="R8" s="1994" t="s">
        <v>5</v>
      </c>
      <c r="S8" s="152"/>
      <c r="T8" s="2020"/>
    </row>
    <row r="9" spans="1:20">
      <c r="A9" s="410">
        <v>46146</v>
      </c>
      <c r="B9" s="397" t="s">
        <v>238</v>
      </c>
      <c r="C9" s="410" t="s">
        <v>262</v>
      </c>
      <c r="D9" s="410" t="s">
        <v>263</v>
      </c>
      <c r="E9" s="410" t="s">
        <v>172</v>
      </c>
      <c r="F9" s="410" t="s">
        <v>291</v>
      </c>
      <c r="G9" s="410" t="s">
        <v>292</v>
      </c>
      <c r="H9" s="404" t="s">
        <v>75</v>
      </c>
      <c r="I9" s="397" t="s">
        <v>133</v>
      </c>
      <c r="J9" s="399">
        <v>16920</v>
      </c>
      <c r="K9" s="399">
        <v>19640</v>
      </c>
      <c r="L9" s="400">
        <f>K9-J9</f>
        <v>2720</v>
      </c>
      <c r="M9" s="396">
        <v>2590</v>
      </c>
      <c r="N9" s="397"/>
      <c r="O9" s="396">
        <f t="shared" si="1"/>
        <v>2590</v>
      </c>
      <c r="P9" s="398">
        <v>420</v>
      </c>
      <c r="Q9" s="398">
        <f t="shared" si="2"/>
        <v>1087800</v>
      </c>
      <c r="R9" s="1989"/>
      <c r="S9" s="152"/>
      <c r="T9" s="2021"/>
    </row>
    <row r="10" spans="1:20" s="388" customFormat="1">
      <c r="A10" s="663">
        <v>46150</v>
      </c>
      <c r="B10" s="650" t="s">
        <v>264</v>
      </c>
      <c r="C10" s="663" t="s">
        <v>262</v>
      </c>
      <c r="D10" s="663" t="s">
        <v>263</v>
      </c>
      <c r="E10" s="663" t="s">
        <v>172</v>
      </c>
      <c r="F10" s="663" t="s">
        <v>291</v>
      </c>
      <c r="G10" s="663" t="s">
        <v>292</v>
      </c>
      <c r="H10" s="501" t="s">
        <v>75</v>
      </c>
      <c r="I10" s="650" t="s">
        <v>119</v>
      </c>
      <c r="J10" s="631">
        <v>15150</v>
      </c>
      <c r="K10" s="631">
        <v>18380</v>
      </c>
      <c r="L10" s="23">
        <v>3230</v>
      </c>
      <c r="M10" s="320">
        <v>3460</v>
      </c>
      <c r="N10" s="650"/>
      <c r="O10" s="320">
        <v>3460</v>
      </c>
      <c r="P10" s="652">
        <v>420</v>
      </c>
      <c r="Q10" s="652">
        <f t="shared" si="2"/>
        <v>1453200</v>
      </c>
      <c r="R10" s="1988" t="s">
        <v>5</v>
      </c>
      <c r="S10" s="178" t="s">
        <v>398</v>
      </c>
      <c r="T10" s="2021" t="s">
        <v>427</v>
      </c>
    </row>
    <row r="11" spans="1:20" s="388" customFormat="1">
      <c r="A11" s="664">
        <v>46150</v>
      </c>
      <c r="B11" s="670" t="s">
        <v>147</v>
      </c>
      <c r="C11" s="664" t="s">
        <v>262</v>
      </c>
      <c r="D11" s="664" t="s">
        <v>263</v>
      </c>
      <c r="E11" s="664" t="s">
        <v>172</v>
      </c>
      <c r="F11" s="664" t="s">
        <v>291</v>
      </c>
      <c r="G11" s="664" t="s">
        <v>292</v>
      </c>
      <c r="H11" s="226" t="s">
        <v>75</v>
      </c>
      <c r="I11" s="670" t="s">
        <v>119</v>
      </c>
      <c r="J11" s="624">
        <v>14060</v>
      </c>
      <c r="K11" s="624">
        <v>15150</v>
      </c>
      <c r="L11" s="26">
        <v>1090</v>
      </c>
      <c r="M11" s="637">
        <v>1090</v>
      </c>
      <c r="N11" s="670"/>
      <c r="O11" s="637">
        <v>1090</v>
      </c>
      <c r="P11" s="638">
        <v>420</v>
      </c>
      <c r="Q11" s="638">
        <f t="shared" si="2"/>
        <v>457800</v>
      </c>
      <c r="R11" s="1999"/>
      <c r="S11" s="179" t="s">
        <v>397</v>
      </c>
      <c r="T11" s="2023"/>
    </row>
    <row r="12" spans="1:20" s="388" customFormat="1">
      <c r="A12" s="998">
        <v>46151</v>
      </c>
      <c r="B12" s="1007" t="s">
        <v>264</v>
      </c>
      <c r="C12" s="998" t="s">
        <v>262</v>
      </c>
      <c r="D12" s="998" t="s">
        <v>263</v>
      </c>
      <c r="E12" s="998" t="s">
        <v>172</v>
      </c>
      <c r="F12" s="998" t="s">
        <v>291</v>
      </c>
      <c r="G12" s="998" t="s">
        <v>292</v>
      </c>
      <c r="H12" s="226" t="s">
        <v>75</v>
      </c>
      <c r="I12" s="1007" t="s">
        <v>119</v>
      </c>
      <c r="J12" s="988">
        <v>14160</v>
      </c>
      <c r="K12" s="988">
        <v>16830</v>
      </c>
      <c r="L12" s="26">
        <f t="shared" ref="L12:L14" si="3">K12-J12</f>
        <v>2670</v>
      </c>
      <c r="M12" s="992">
        <v>3000</v>
      </c>
      <c r="N12" s="1007"/>
      <c r="O12" s="992">
        <f t="shared" si="1"/>
        <v>3000</v>
      </c>
      <c r="P12" s="990">
        <v>420</v>
      </c>
      <c r="Q12" s="990">
        <f t="shared" si="2"/>
        <v>1260000</v>
      </c>
      <c r="R12" s="1994" t="s">
        <v>5</v>
      </c>
      <c r="S12" s="1006" t="s">
        <v>376</v>
      </c>
      <c r="T12" s="2023"/>
    </row>
    <row r="13" spans="1:20" s="388" customFormat="1">
      <c r="A13" s="998">
        <v>46151</v>
      </c>
      <c r="B13" s="1007" t="s">
        <v>264</v>
      </c>
      <c r="C13" s="998" t="s">
        <v>262</v>
      </c>
      <c r="D13" s="998" t="s">
        <v>263</v>
      </c>
      <c r="E13" s="998" t="s">
        <v>172</v>
      </c>
      <c r="F13" s="998" t="s">
        <v>291</v>
      </c>
      <c r="G13" s="998" t="s">
        <v>292</v>
      </c>
      <c r="H13" s="226" t="s">
        <v>75</v>
      </c>
      <c r="I13" s="1007" t="s">
        <v>119</v>
      </c>
      <c r="J13" s="988">
        <v>14090</v>
      </c>
      <c r="K13" s="988">
        <v>17700</v>
      </c>
      <c r="L13" s="26">
        <f t="shared" si="3"/>
        <v>3610</v>
      </c>
      <c r="M13" s="992">
        <v>3600</v>
      </c>
      <c r="N13" s="1007"/>
      <c r="O13" s="992">
        <f t="shared" si="1"/>
        <v>3600</v>
      </c>
      <c r="P13" s="990">
        <v>420</v>
      </c>
      <c r="Q13" s="990">
        <f t="shared" si="2"/>
        <v>1512000</v>
      </c>
      <c r="R13" s="1989"/>
      <c r="S13" s="1006"/>
      <c r="T13" s="2023"/>
    </row>
    <row r="14" spans="1:20" s="388" customFormat="1">
      <c r="A14" s="999">
        <v>46151</v>
      </c>
      <c r="B14" s="996" t="s">
        <v>305</v>
      </c>
      <c r="C14" s="999" t="s">
        <v>262</v>
      </c>
      <c r="D14" s="999" t="s">
        <v>263</v>
      </c>
      <c r="E14" s="999" t="s">
        <v>70</v>
      </c>
      <c r="F14" s="999" t="s">
        <v>291</v>
      </c>
      <c r="G14" s="999" t="s">
        <v>292</v>
      </c>
      <c r="H14" s="502" t="s">
        <v>75</v>
      </c>
      <c r="I14" s="996" t="s">
        <v>248</v>
      </c>
      <c r="J14" s="989">
        <v>14050</v>
      </c>
      <c r="K14" s="989">
        <v>15750</v>
      </c>
      <c r="L14" s="28">
        <f t="shared" si="3"/>
        <v>1700</v>
      </c>
      <c r="M14" s="1002">
        <v>1720</v>
      </c>
      <c r="N14" s="996"/>
      <c r="O14" s="1002">
        <f t="shared" si="1"/>
        <v>1720</v>
      </c>
      <c r="P14" s="997">
        <v>410</v>
      </c>
      <c r="Q14" s="997">
        <f t="shared" si="2"/>
        <v>705200</v>
      </c>
      <c r="R14" s="1990"/>
      <c r="S14" s="111"/>
      <c r="T14" s="2022"/>
    </row>
    <row r="15" spans="1:20" s="388" customFormat="1" ht="27">
      <c r="A15" s="1066">
        <v>46164</v>
      </c>
      <c r="B15" s="1067" t="s">
        <v>264</v>
      </c>
      <c r="C15" s="1067" t="s">
        <v>262</v>
      </c>
      <c r="D15" s="1066" t="s">
        <v>263</v>
      </c>
      <c r="E15" s="1066" t="s">
        <v>172</v>
      </c>
      <c r="F15" s="1066" t="s">
        <v>291</v>
      </c>
      <c r="G15" s="1066" t="s">
        <v>292</v>
      </c>
      <c r="H15" s="481" t="s">
        <v>75</v>
      </c>
      <c r="I15" s="1065" t="s">
        <v>119</v>
      </c>
      <c r="J15" s="1062">
        <v>14090</v>
      </c>
      <c r="K15" s="1062">
        <v>19390</v>
      </c>
      <c r="L15" s="157">
        <f>K15-J15</f>
        <v>5300</v>
      </c>
      <c r="M15" s="1041">
        <v>5280</v>
      </c>
      <c r="N15" s="1042"/>
      <c r="O15" s="1041">
        <f>M15</f>
        <v>5280</v>
      </c>
      <c r="P15" s="1063">
        <v>460</v>
      </c>
      <c r="Q15" s="1063">
        <f>P15*O15</f>
        <v>2428800</v>
      </c>
      <c r="R15" s="1064" t="s">
        <v>5</v>
      </c>
      <c r="S15" s="510" t="s">
        <v>583</v>
      </c>
      <c r="T15" s="1068" t="s">
        <v>594</v>
      </c>
    </row>
    <row r="16" spans="1:20" s="388" customFormat="1">
      <c r="A16" s="1066">
        <v>46167</v>
      </c>
      <c r="B16" s="1067" t="s">
        <v>314</v>
      </c>
      <c r="C16" s="1067" t="s">
        <v>262</v>
      </c>
      <c r="D16" s="1066" t="s">
        <v>263</v>
      </c>
      <c r="E16" s="1066" t="s">
        <v>70</v>
      </c>
      <c r="F16" s="1066" t="s">
        <v>281</v>
      </c>
      <c r="G16" s="1066" t="s">
        <v>282</v>
      </c>
      <c r="H16" s="481" t="s">
        <v>76</v>
      </c>
      <c r="I16" s="1065" t="s">
        <v>119</v>
      </c>
      <c r="J16" s="1062">
        <v>13490</v>
      </c>
      <c r="K16" s="1062">
        <v>18960</v>
      </c>
      <c r="L16" s="157">
        <f>K16-J16</f>
        <v>5470</v>
      </c>
      <c r="M16" s="1041">
        <v>5450</v>
      </c>
      <c r="N16" s="1042"/>
      <c r="O16" s="1041">
        <f>M16</f>
        <v>5450</v>
      </c>
      <c r="P16" s="1063">
        <v>460</v>
      </c>
      <c r="Q16" s="1063">
        <f>P16*O16</f>
        <v>2507000</v>
      </c>
      <c r="R16" s="1064" t="s">
        <v>5</v>
      </c>
      <c r="S16" s="510"/>
      <c r="T16" s="1068" t="s">
        <v>599</v>
      </c>
    </row>
    <row r="17" spans="1:20" s="388" customFormat="1">
      <c r="A17" s="1101">
        <v>46168</v>
      </c>
      <c r="B17" s="1113" t="s">
        <v>314</v>
      </c>
      <c r="C17" s="1113" t="s">
        <v>262</v>
      </c>
      <c r="D17" s="1101" t="s">
        <v>263</v>
      </c>
      <c r="E17" s="1101" t="s">
        <v>70</v>
      </c>
      <c r="F17" s="1101" t="s">
        <v>291</v>
      </c>
      <c r="G17" s="1101" t="s">
        <v>292</v>
      </c>
      <c r="H17" s="501" t="s">
        <v>75</v>
      </c>
      <c r="I17" s="1097" t="s">
        <v>119</v>
      </c>
      <c r="J17" s="1091">
        <v>13600</v>
      </c>
      <c r="K17" s="1091">
        <v>15240</v>
      </c>
      <c r="L17" s="23">
        <f>K17-J17</f>
        <v>1640</v>
      </c>
      <c r="M17" s="934">
        <v>1610</v>
      </c>
      <c r="N17" s="935"/>
      <c r="O17" s="934">
        <f>M17</f>
        <v>1610</v>
      </c>
      <c r="P17" s="1099">
        <v>460</v>
      </c>
      <c r="Q17" s="1099">
        <f>P17*O17</f>
        <v>740600</v>
      </c>
      <c r="R17" s="1094" t="s">
        <v>5</v>
      </c>
      <c r="S17" s="123" t="s">
        <v>590</v>
      </c>
      <c r="T17" s="2020" t="s">
        <v>599</v>
      </c>
    </row>
    <row r="18" spans="1:20" s="388" customFormat="1">
      <c r="A18" s="1102">
        <v>46168</v>
      </c>
      <c r="B18" s="1104"/>
      <c r="C18" s="1104"/>
      <c r="D18" s="1102"/>
      <c r="E18" s="1102"/>
      <c r="F18" s="1102"/>
      <c r="G18" s="1102"/>
      <c r="H18" s="226" t="s">
        <v>75</v>
      </c>
      <c r="I18" s="1110" t="s">
        <v>597</v>
      </c>
      <c r="J18" s="1089"/>
      <c r="K18" s="1089"/>
      <c r="L18" s="26"/>
      <c r="M18" s="936"/>
      <c r="N18" s="937">
        <v>40</v>
      </c>
      <c r="O18" s="936"/>
      <c r="P18" s="1093">
        <v>-550</v>
      </c>
      <c r="Q18" s="1093">
        <f>N18*P18</f>
        <v>-22000</v>
      </c>
      <c r="R18" s="1095" t="s">
        <v>180</v>
      </c>
      <c r="S18" s="1109" t="s">
        <v>595</v>
      </c>
      <c r="T18" s="2020"/>
    </row>
    <row r="19" spans="1:20" s="388" customFormat="1">
      <c r="A19" s="1103">
        <v>46168</v>
      </c>
      <c r="B19" s="1114"/>
      <c r="C19" s="1114"/>
      <c r="D19" s="1103"/>
      <c r="E19" s="1103"/>
      <c r="F19" s="1103"/>
      <c r="G19" s="1103"/>
      <c r="H19" s="502" t="s">
        <v>75</v>
      </c>
      <c r="I19" s="1098" t="s">
        <v>598</v>
      </c>
      <c r="J19" s="1090"/>
      <c r="K19" s="1090"/>
      <c r="L19" s="28"/>
      <c r="M19" s="941"/>
      <c r="N19" s="942">
        <v>5</v>
      </c>
      <c r="O19" s="941"/>
      <c r="P19" s="1100">
        <v>-10000</v>
      </c>
      <c r="Q19" s="1100">
        <f>N19*P19</f>
        <v>-50000</v>
      </c>
      <c r="R19" s="1096" t="s">
        <v>180</v>
      </c>
      <c r="S19" s="111" t="s">
        <v>596</v>
      </c>
      <c r="T19" s="2020"/>
    </row>
    <row r="20" spans="1:20" s="388" customFormat="1">
      <c r="A20" s="1243">
        <v>46171</v>
      </c>
      <c r="B20" s="1256" t="s">
        <v>305</v>
      </c>
      <c r="C20" s="1256" t="s">
        <v>262</v>
      </c>
      <c r="D20" s="1243" t="s">
        <v>263</v>
      </c>
      <c r="E20" s="1243" t="s">
        <v>172</v>
      </c>
      <c r="F20" s="1243" t="s">
        <v>291</v>
      </c>
      <c r="G20" s="1243" t="s">
        <v>292</v>
      </c>
      <c r="H20" s="501" t="s">
        <v>75</v>
      </c>
      <c r="I20" s="1239" t="s">
        <v>246</v>
      </c>
      <c r="J20" s="1236"/>
      <c r="K20" s="1236"/>
      <c r="L20" s="23">
        <v>1100</v>
      </c>
      <c r="M20" s="934">
        <v>1100</v>
      </c>
      <c r="N20" s="935"/>
      <c r="O20" s="934">
        <f>M20</f>
        <v>1100</v>
      </c>
      <c r="P20" s="1241">
        <v>460</v>
      </c>
      <c r="Q20" s="1241">
        <f>P20*O20</f>
        <v>506000</v>
      </c>
      <c r="R20" s="1992" t="s">
        <v>5</v>
      </c>
      <c r="S20" s="1271" t="s">
        <v>621</v>
      </c>
      <c r="T20" s="2020" t="s">
        <v>644</v>
      </c>
    </row>
    <row r="21" spans="1:20" s="388" customFormat="1">
      <c r="A21" s="1244">
        <v>46171</v>
      </c>
      <c r="B21" s="1247" t="s">
        <v>264</v>
      </c>
      <c r="C21" s="1247" t="s">
        <v>262</v>
      </c>
      <c r="D21" s="1244" t="s">
        <v>263</v>
      </c>
      <c r="E21" s="1244" t="s">
        <v>172</v>
      </c>
      <c r="F21" s="1244" t="s">
        <v>291</v>
      </c>
      <c r="G21" s="1244" t="s">
        <v>292</v>
      </c>
      <c r="H21" s="226" t="s">
        <v>75</v>
      </c>
      <c r="I21" s="1253" t="s">
        <v>246</v>
      </c>
      <c r="J21" s="1234">
        <v>14370</v>
      </c>
      <c r="K21" s="1234">
        <v>21460</v>
      </c>
      <c r="L21" s="26">
        <f>K21-J21-1100</f>
        <v>5990</v>
      </c>
      <c r="M21" s="936">
        <v>5990</v>
      </c>
      <c r="N21" s="937"/>
      <c r="O21" s="936">
        <f>M21</f>
        <v>5990</v>
      </c>
      <c r="P21" s="1238">
        <v>460</v>
      </c>
      <c r="Q21" s="1238">
        <f t="shared" ref="Q21" si="4">P21*O21</f>
        <v>2755400</v>
      </c>
      <c r="R21" s="1993"/>
      <c r="S21" s="1252" t="s">
        <v>620</v>
      </c>
      <c r="T21" s="2020"/>
    </row>
    <row r="22" spans="1:20" s="388" customFormat="1">
      <c r="A22" s="1245">
        <v>46171</v>
      </c>
      <c r="B22" s="1257" t="s">
        <v>305</v>
      </c>
      <c r="C22" s="1257" t="s">
        <v>6</v>
      </c>
      <c r="D22" s="1245" t="s">
        <v>46</v>
      </c>
      <c r="E22" s="1245" t="s">
        <v>53</v>
      </c>
      <c r="F22" s="1245"/>
      <c r="G22" s="1245"/>
      <c r="H22" s="502" t="s">
        <v>76</v>
      </c>
      <c r="I22" s="1240" t="s">
        <v>246</v>
      </c>
      <c r="J22" s="1235">
        <v>15020</v>
      </c>
      <c r="K22" s="1235">
        <v>17950</v>
      </c>
      <c r="L22" s="28">
        <f>K22-J22</f>
        <v>2930</v>
      </c>
      <c r="M22" s="941">
        <v>2880</v>
      </c>
      <c r="N22" s="942"/>
      <c r="O22" s="941">
        <v>2930</v>
      </c>
      <c r="P22" s="1242">
        <v>460</v>
      </c>
      <c r="Q22" s="1242">
        <f>P22*O22</f>
        <v>1347800</v>
      </c>
      <c r="R22" s="1232" t="s">
        <v>5</v>
      </c>
      <c r="S22" s="111" t="s">
        <v>622</v>
      </c>
      <c r="T22" s="2020"/>
    </row>
    <row r="23" spans="1:20" s="388" customFormat="1">
      <c r="A23" s="143">
        <v>46174</v>
      </c>
      <c r="B23" s="124" t="s">
        <v>305</v>
      </c>
      <c r="C23" s="143" t="s">
        <v>440</v>
      </c>
      <c r="D23" s="144" t="s">
        <v>263</v>
      </c>
      <c r="E23" s="204" t="s">
        <v>334</v>
      </c>
      <c r="F23" s="204" t="s">
        <v>281</v>
      </c>
      <c r="G23" s="204" t="s">
        <v>282</v>
      </c>
      <c r="H23" s="508" t="s">
        <v>76</v>
      </c>
      <c r="I23" s="204" t="s">
        <v>236</v>
      </c>
      <c r="J23" s="124">
        <v>21220</v>
      </c>
      <c r="K23" s="124">
        <v>24620</v>
      </c>
      <c r="L23" s="272">
        <f t="shared" ref="L23" si="5">K23-J23</f>
        <v>3400</v>
      </c>
      <c r="M23" s="145"/>
      <c r="N23" s="145"/>
      <c r="O23" s="145">
        <f t="shared" ref="O23" si="6">L23</f>
        <v>3400</v>
      </c>
      <c r="P23" s="146">
        <v>450</v>
      </c>
      <c r="Q23" s="146">
        <f t="shared" ref="Q23:Q27" si="7">P23*O23</f>
        <v>1530000</v>
      </c>
      <c r="R23" s="508" t="s">
        <v>5</v>
      </c>
      <c r="S23" s="255" t="s">
        <v>640</v>
      </c>
      <c r="T23" s="1277" t="s">
        <v>660</v>
      </c>
    </row>
    <row r="24" spans="1:20" s="388" customFormat="1">
      <c r="A24" s="1322">
        <v>46177</v>
      </c>
      <c r="B24" s="1324" t="s">
        <v>305</v>
      </c>
      <c r="C24" s="1322" t="s">
        <v>440</v>
      </c>
      <c r="D24" s="126" t="s">
        <v>263</v>
      </c>
      <c r="E24" s="1323" t="s">
        <v>334</v>
      </c>
      <c r="F24" s="1323" t="s">
        <v>254</v>
      </c>
      <c r="G24" s="1323" t="s">
        <v>668</v>
      </c>
      <c r="H24" s="1303" t="s">
        <v>75</v>
      </c>
      <c r="I24" s="1323" t="s">
        <v>71</v>
      </c>
      <c r="J24" s="1324">
        <v>21100</v>
      </c>
      <c r="K24" s="1324">
        <v>26580</v>
      </c>
      <c r="L24" s="253">
        <f>K24-J24-240</f>
        <v>5240</v>
      </c>
      <c r="M24" s="1316">
        <v>5240</v>
      </c>
      <c r="N24" s="1316"/>
      <c r="O24" s="1316">
        <f>L24</f>
        <v>5240</v>
      </c>
      <c r="P24" s="1317">
        <v>460</v>
      </c>
      <c r="Q24" s="1317">
        <f t="shared" si="7"/>
        <v>2410400</v>
      </c>
      <c r="R24" s="1303" t="s">
        <v>5</v>
      </c>
      <c r="S24" s="1497" t="s">
        <v>670</v>
      </c>
      <c r="T24" s="1319" t="s">
        <v>671</v>
      </c>
    </row>
    <row r="25" spans="1:20" s="388" customFormat="1">
      <c r="A25" s="1545">
        <v>46186</v>
      </c>
      <c r="B25" s="1542" t="s">
        <v>699</v>
      </c>
      <c r="C25" s="1545" t="s">
        <v>262</v>
      </c>
      <c r="D25" s="138" t="s">
        <v>263</v>
      </c>
      <c r="E25" s="1548" t="s">
        <v>172</v>
      </c>
      <c r="F25" s="1548" t="s">
        <v>291</v>
      </c>
      <c r="G25" s="1548" t="s">
        <v>292</v>
      </c>
      <c r="H25" s="1516" t="s">
        <v>75</v>
      </c>
      <c r="I25" s="1548" t="s">
        <v>119</v>
      </c>
      <c r="J25" s="1542">
        <v>14410</v>
      </c>
      <c r="K25" s="1542">
        <v>19710</v>
      </c>
      <c r="L25" s="249">
        <f t="shared" ref="L25:L28" si="8">K25-J25</f>
        <v>5300</v>
      </c>
      <c r="M25" s="320">
        <v>5210</v>
      </c>
      <c r="N25" s="320"/>
      <c r="O25" s="320">
        <v>5210</v>
      </c>
      <c r="P25" s="137">
        <v>490</v>
      </c>
      <c r="Q25" s="137">
        <f t="shared" si="7"/>
        <v>2552900</v>
      </c>
      <c r="R25" s="1516" t="s">
        <v>5</v>
      </c>
      <c r="S25" s="344"/>
      <c r="T25" s="2020" t="s">
        <v>706</v>
      </c>
    </row>
    <row r="26" spans="1:20" s="388" customFormat="1">
      <c r="A26" s="1536">
        <v>46186</v>
      </c>
      <c r="B26" s="1543" t="s">
        <v>305</v>
      </c>
      <c r="C26" s="1536" t="s">
        <v>262</v>
      </c>
      <c r="D26" s="128" t="s">
        <v>263</v>
      </c>
      <c r="E26" s="1540" t="s">
        <v>172</v>
      </c>
      <c r="F26" s="1540" t="s">
        <v>291</v>
      </c>
      <c r="G26" s="1540" t="s">
        <v>292</v>
      </c>
      <c r="H26" s="1517" t="s">
        <v>75</v>
      </c>
      <c r="I26" s="1540" t="s">
        <v>119</v>
      </c>
      <c r="J26" s="1543">
        <v>14450</v>
      </c>
      <c r="K26" s="1543">
        <v>15650</v>
      </c>
      <c r="L26" s="250">
        <f t="shared" si="8"/>
        <v>1200</v>
      </c>
      <c r="M26" s="1526">
        <v>1200</v>
      </c>
      <c r="N26" s="1526"/>
      <c r="O26" s="1526">
        <f>L26</f>
        <v>1200</v>
      </c>
      <c r="P26" s="1539">
        <v>490</v>
      </c>
      <c r="Q26" s="1539">
        <f t="shared" si="7"/>
        <v>588000</v>
      </c>
      <c r="R26" s="1517" t="s">
        <v>5</v>
      </c>
      <c r="S26" s="345" t="s">
        <v>700</v>
      </c>
      <c r="T26" s="2020"/>
    </row>
    <row r="27" spans="1:20" s="388" customFormat="1">
      <c r="A27" s="1614">
        <v>46186</v>
      </c>
      <c r="B27" s="202" t="s">
        <v>264</v>
      </c>
      <c r="C27" s="1614" t="s">
        <v>262</v>
      </c>
      <c r="D27" s="129" t="s">
        <v>263</v>
      </c>
      <c r="E27" s="1615" t="s">
        <v>172</v>
      </c>
      <c r="F27" s="1615" t="s">
        <v>291</v>
      </c>
      <c r="G27" s="1615" t="s">
        <v>292</v>
      </c>
      <c r="H27" s="1590" t="s">
        <v>75</v>
      </c>
      <c r="I27" s="1615" t="s">
        <v>119</v>
      </c>
      <c r="J27" s="202">
        <v>15650</v>
      </c>
      <c r="K27" s="202">
        <v>18290</v>
      </c>
      <c r="L27" s="257">
        <f t="shared" si="8"/>
        <v>2640</v>
      </c>
      <c r="M27" s="1610">
        <v>2620</v>
      </c>
      <c r="N27" s="1610"/>
      <c r="O27" s="1610">
        <v>2620</v>
      </c>
      <c r="P27" s="1611">
        <v>490</v>
      </c>
      <c r="Q27" s="1611">
        <f t="shared" si="7"/>
        <v>1283800</v>
      </c>
      <c r="R27" s="1590" t="s">
        <v>5</v>
      </c>
      <c r="S27" s="346" t="s">
        <v>701</v>
      </c>
      <c r="T27" s="2020"/>
    </row>
    <row r="28" spans="1:20" s="388" customFormat="1">
      <c r="A28" s="1784">
        <v>46195</v>
      </c>
      <c r="B28" s="1783" t="s">
        <v>699</v>
      </c>
      <c r="C28" s="1784" t="s">
        <v>262</v>
      </c>
      <c r="D28" s="138" t="s">
        <v>263</v>
      </c>
      <c r="E28" s="1786" t="s">
        <v>172</v>
      </c>
      <c r="F28" s="1786" t="s">
        <v>291</v>
      </c>
      <c r="G28" s="1786" t="s">
        <v>292</v>
      </c>
      <c r="H28" s="1754" t="s">
        <v>75</v>
      </c>
      <c r="I28" s="1786" t="s">
        <v>119</v>
      </c>
      <c r="J28" s="1783">
        <v>14440</v>
      </c>
      <c r="K28" s="1783">
        <v>20850</v>
      </c>
      <c r="L28" s="249">
        <f t="shared" si="8"/>
        <v>6410</v>
      </c>
      <c r="M28" s="320">
        <v>6440</v>
      </c>
      <c r="N28" s="320"/>
      <c r="O28" s="320">
        <v>6440</v>
      </c>
      <c r="P28" s="137">
        <v>490</v>
      </c>
      <c r="Q28" s="137">
        <f>O28*P28</f>
        <v>3155600</v>
      </c>
      <c r="R28" s="1754" t="s">
        <v>5</v>
      </c>
      <c r="S28" s="344"/>
      <c r="T28" s="2020" t="s">
        <v>734</v>
      </c>
    </row>
    <row r="29" spans="1:20" s="388" customFormat="1">
      <c r="A29" s="1785">
        <v>46195</v>
      </c>
      <c r="B29" s="202" t="s">
        <v>699</v>
      </c>
      <c r="C29" s="1781" t="s">
        <v>17</v>
      </c>
      <c r="D29" s="153" t="s">
        <v>46</v>
      </c>
      <c r="E29" s="1778" t="s">
        <v>33</v>
      </c>
      <c r="F29" s="1778"/>
      <c r="G29" s="1778"/>
      <c r="H29" s="1756" t="s">
        <v>75</v>
      </c>
      <c r="I29" s="1778" t="s">
        <v>236</v>
      </c>
      <c r="J29" s="677">
        <v>13890</v>
      </c>
      <c r="K29" s="677">
        <v>22920</v>
      </c>
      <c r="L29" s="296">
        <f>K29-J29</f>
        <v>9030</v>
      </c>
      <c r="M29" s="1763">
        <v>8970</v>
      </c>
      <c r="N29" s="1763"/>
      <c r="O29" s="1763">
        <f>M29</f>
        <v>8970</v>
      </c>
      <c r="P29" s="270">
        <v>470</v>
      </c>
      <c r="Q29" s="270">
        <f>P29*O29</f>
        <v>4215900</v>
      </c>
      <c r="R29" s="1756" t="s">
        <v>5</v>
      </c>
      <c r="S29" s="610"/>
      <c r="T29" s="2020"/>
    </row>
    <row r="30" spans="1:20" s="388" customFormat="1">
      <c r="A30" s="1890">
        <v>46202</v>
      </c>
      <c r="B30" s="1889" t="s">
        <v>699</v>
      </c>
      <c r="C30" s="1890" t="s">
        <v>262</v>
      </c>
      <c r="D30" s="138" t="s">
        <v>263</v>
      </c>
      <c r="E30" s="1892" t="s">
        <v>172</v>
      </c>
      <c r="F30" s="1892" t="s">
        <v>281</v>
      </c>
      <c r="G30" s="1892" t="s">
        <v>282</v>
      </c>
      <c r="H30" s="1850" t="s">
        <v>75</v>
      </c>
      <c r="I30" s="1892" t="s">
        <v>246</v>
      </c>
      <c r="J30" s="1889">
        <v>14080</v>
      </c>
      <c r="K30" s="1889">
        <v>19900</v>
      </c>
      <c r="L30" s="249">
        <f t="shared" ref="L30:L31" si="9">K30-J30</f>
        <v>5820</v>
      </c>
      <c r="M30" s="320">
        <v>5750</v>
      </c>
      <c r="N30" s="320"/>
      <c r="O30" s="320">
        <f t="shared" ref="O30:O31" si="10">M30</f>
        <v>5750</v>
      </c>
      <c r="P30" s="137">
        <v>490</v>
      </c>
      <c r="Q30" s="137">
        <f>P30*O30</f>
        <v>2817500</v>
      </c>
      <c r="R30" s="1850" t="s">
        <v>5</v>
      </c>
      <c r="S30" s="344" t="s">
        <v>756</v>
      </c>
      <c r="T30" s="2021" t="s">
        <v>758</v>
      </c>
    </row>
    <row r="31" spans="1:20" s="388" customFormat="1">
      <c r="A31" s="1891">
        <v>46202</v>
      </c>
      <c r="B31" s="202" t="s">
        <v>699</v>
      </c>
      <c r="C31" s="1891" t="s">
        <v>262</v>
      </c>
      <c r="D31" s="129" t="s">
        <v>263</v>
      </c>
      <c r="E31" s="1893" t="s">
        <v>172</v>
      </c>
      <c r="F31" s="1893" t="s">
        <v>281</v>
      </c>
      <c r="G31" s="1893" t="s">
        <v>282</v>
      </c>
      <c r="H31" s="1852" t="s">
        <v>75</v>
      </c>
      <c r="I31" s="1893" t="s">
        <v>246</v>
      </c>
      <c r="J31" s="202">
        <v>14440</v>
      </c>
      <c r="K31" s="202">
        <v>19780</v>
      </c>
      <c r="L31" s="257">
        <f t="shared" si="9"/>
        <v>5340</v>
      </c>
      <c r="M31" s="1884">
        <v>5290</v>
      </c>
      <c r="N31" s="1884"/>
      <c r="O31" s="1884">
        <f t="shared" si="10"/>
        <v>5290</v>
      </c>
      <c r="P31" s="1885">
        <v>490</v>
      </c>
      <c r="Q31" s="1885">
        <f>P31*O31</f>
        <v>2592100</v>
      </c>
      <c r="R31" s="1852" t="s">
        <v>5</v>
      </c>
      <c r="S31" s="346" t="s">
        <v>757</v>
      </c>
      <c r="T31" s="2022"/>
    </row>
    <row r="32" spans="1:20" ht="21.95" customHeight="1">
      <c r="A32" s="99"/>
      <c r="B32" s="375"/>
      <c r="C32" s="235"/>
      <c r="D32" s="235"/>
      <c r="E32" s="100"/>
      <c r="F32" s="100"/>
      <c r="G32" s="100"/>
      <c r="H32" s="100"/>
      <c r="I32" s="101"/>
      <c r="J32" s="101"/>
      <c r="K32" s="52"/>
      <c r="L32" s="53"/>
      <c r="M32" s="101"/>
      <c r="N32" s="52"/>
      <c r="O32" s="52"/>
      <c r="P32" s="52"/>
      <c r="Q32" s="101"/>
      <c r="R32" s="95"/>
      <c r="S32" s="162" t="s">
        <v>746</v>
      </c>
      <c r="T32" s="41"/>
    </row>
    <row r="33" spans="1:20" ht="30" customHeight="1">
      <c r="A33" s="72"/>
      <c r="B33" s="75"/>
      <c r="C33" s="72"/>
      <c r="D33" s="72"/>
      <c r="E33" s="73"/>
      <c r="F33" s="73"/>
      <c r="G33" s="73"/>
      <c r="H33" s="74"/>
      <c r="I33" s="75"/>
      <c r="J33" s="75"/>
      <c r="K33" s="75"/>
      <c r="L33" s="11">
        <f>SUBTOTAL(9,L3:L32)</f>
        <v>102930</v>
      </c>
      <c r="M33" s="76"/>
      <c r="N33" s="77"/>
      <c r="O33" s="76"/>
      <c r="P33" s="77"/>
      <c r="Q33" s="66">
        <f>SUBTOTAL(9,Q3:Q32)</f>
        <v>46552400</v>
      </c>
      <c r="R33" s="74"/>
      <c r="S33" s="74"/>
      <c r="T33" s="163"/>
    </row>
    <row r="34" spans="1:20" ht="21.95" customHeight="1">
      <c r="A34" s="4"/>
      <c r="B34" s="7"/>
      <c r="C34" s="4"/>
      <c r="D34" s="4"/>
      <c r="E34" s="5"/>
      <c r="F34" s="5"/>
      <c r="G34" s="5"/>
      <c r="H34" s="5"/>
      <c r="I34" s="7"/>
      <c r="J34" s="7"/>
      <c r="K34" s="7"/>
      <c r="L34" s="7"/>
      <c r="M34" s="7"/>
      <c r="N34" s="6"/>
      <c r="O34" s="6"/>
      <c r="P34" s="5"/>
      <c r="Q34" s="5"/>
      <c r="R34" s="5"/>
      <c r="S34" s="5"/>
      <c r="T34" s="163"/>
    </row>
    <row r="35" spans="1:20" ht="21.95" customHeight="1">
      <c r="A35" s="4"/>
      <c r="B35" s="7"/>
      <c r="C35" s="4"/>
      <c r="D35" s="4"/>
      <c r="E35" s="5"/>
      <c r="F35" s="5"/>
      <c r="G35" s="5"/>
      <c r="H35" s="5"/>
      <c r="I35" s="7"/>
      <c r="J35" s="7"/>
      <c r="K35" s="7"/>
      <c r="L35" s="7"/>
      <c r="M35" s="7"/>
      <c r="N35" s="5"/>
      <c r="O35" s="5"/>
      <c r="P35" s="5"/>
      <c r="Q35" s="5"/>
      <c r="R35" s="5"/>
      <c r="S35" s="5"/>
    </row>
    <row r="36" spans="1:20" ht="21.95" customHeight="1">
      <c r="A36" s="4"/>
      <c r="B36" s="7"/>
      <c r="C36" s="4"/>
      <c r="D36" s="4"/>
      <c r="E36" s="5"/>
      <c r="F36" s="5"/>
      <c r="G36" s="5"/>
      <c r="H36" s="5"/>
      <c r="I36" s="7"/>
      <c r="J36" s="7"/>
      <c r="K36" s="7"/>
      <c r="L36" s="7"/>
      <c r="M36" s="7"/>
      <c r="N36" s="5"/>
      <c r="O36" s="5"/>
      <c r="P36" s="5"/>
      <c r="Q36" s="5"/>
      <c r="R36" s="5"/>
      <c r="S36" s="5"/>
    </row>
    <row r="37" spans="1:20" ht="21.95" customHeight="1">
      <c r="A37" s="4"/>
      <c r="B37" s="7"/>
      <c r="C37" s="4"/>
      <c r="D37" s="4"/>
      <c r="E37" s="5"/>
      <c r="F37" s="5"/>
      <c r="G37" s="5"/>
      <c r="H37" s="5"/>
      <c r="I37" s="7"/>
      <c r="J37" s="7"/>
      <c r="K37" s="7"/>
      <c r="L37" s="7"/>
      <c r="M37" s="7"/>
      <c r="N37" s="7"/>
      <c r="O37" s="5"/>
      <c r="P37" s="7"/>
      <c r="Q37" s="7"/>
      <c r="R37" s="5"/>
      <c r="S37" s="5"/>
    </row>
    <row r="38" spans="1:20" ht="21.95" customHeight="1">
      <c r="A38" s="4"/>
      <c r="B38" s="7"/>
      <c r="C38" s="4"/>
      <c r="D38" s="4"/>
      <c r="E38" s="5"/>
      <c r="F38" s="5"/>
      <c r="G38" s="5"/>
      <c r="H38" s="5"/>
      <c r="I38" s="7"/>
      <c r="J38" s="7"/>
      <c r="K38" s="7"/>
      <c r="L38" s="7"/>
      <c r="M38" s="7"/>
      <c r="N38" s="7"/>
      <c r="O38" s="5"/>
      <c r="P38" s="5"/>
      <c r="Q38" s="5"/>
      <c r="R38" s="5"/>
      <c r="S38" s="5"/>
    </row>
    <row r="39" spans="1:20" ht="21.95" customHeight="1">
      <c r="A39" s="4"/>
      <c r="B39" s="7"/>
      <c r="C39" s="4"/>
      <c r="D39" s="4"/>
      <c r="E39" s="5"/>
      <c r="F39" s="5"/>
      <c r="G39" s="5"/>
      <c r="H39" s="5"/>
      <c r="I39" s="7"/>
      <c r="J39" s="7"/>
      <c r="K39" s="7"/>
      <c r="L39" s="7"/>
      <c r="M39" s="7"/>
      <c r="N39" s="5"/>
      <c r="O39" s="5"/>
      <c r="P39" s="5"/>
      <c r="Q39" s="5"/>
      <c r="R39" s="5"/>
      <c r="S39" s="5"/>
    </row>
    <row r="40" spans="1:20" ht="21.95" customHeight="1">
      <c r="A40" s="4"/>
      <c r="B40" s="7"/>
      <c r="C40" s="4"/>
      <c r="D40" s="4"/>
      <c r="E40" s="5"/>
      <c r="F40" s="5"/>
      <c r="G40" s="5"/>
      <c r="H40" s="5"/>
      <c r="I40" s="7"/>
      <c r="J40" s="7"/>
      <c r="K40" s="7"/>
      <c r="L40" s="7"/>
      <c r="M40" s="7"/>
      <c r="N40" s="5"/>
      <c r="O40" s="5"/>
      <c r="P40" s="5"/>
      <c r="Q40" s="7"/>
      <c r="R40" s="5"/>
      <c r="S40" s="5"/>
    </row>
    <row r="41" spans="1:20" ht="21.95" customHeight="1">
      <c r="A41" s="4"/>
      <c r="B41" s="7"/>
      <c r="C41" s="4"/>
      <c r="D41" s="4"/>
      <c r="E41" s="5"/>
      <c r="F41" s="5"/>
      <c r="G41" s="5"/>
      <c r="H41" s="5"/>
      <c r="I41" s="7"/>
      <c r="J41" s="7"/>
      <c r="K41" s="7"/>
      <c r="L41" s="7"/>
      <c r="M41" s="7"/>
      <c r="N41" s="1043"/>
      <c r="O41" s="1044"/>
      <c r="P41" s="1043"/>
      <c r="Q41" s="5"/>
      <c r="R41" s="5"/>
      <c r="S41" s="5"/>
    </row>
    <row r="42" spans="1:20" ht="21.95" customHeight="1">
      <c r="A42" s="4"/>
      <c r="B42" s="7"/>
      <c r="C42" s="4"/>
      <c r="D42" s="4"/>
      <c r="E42" s="5"/>
      <c r="F42" s="5"/>
      <c r="G42" s="5"/>
      <c r="H42" s="5"/>
      <c r="I42" s="7"/>
      <c r="J42" s="7"/>
      <c r="K42" s="7"/>
      <c r="L42" s="7"/>
      <c r="M42" s="7"/>
      <c r="N42" s="1043"/>
      <c r="O42" s="1044"/>
      <c r="P42" s="1043"/>
      <c r="Q42" s="5"/>
      <c r="R42" s="5"/>
      <c r="S42" s="5"/>
    </row>
    <row r="43" spans="1:20" ht="21.95" customHeight="1">
      <c r="A43" s="4"/>
      <c r="B43" s="7"/>
      <c r="C43" s="4"/>
      <c r="D43" s="4"/>
      <c r="E43" s="5"/>
      <c r="F43" s="5"/>
      <c r="G43" s="5"/>
      <c r="H43" s="5"/>
      <c r="I43" s="7"/>
      <c r="J43" s="7"/>
      <c r="K43" s="7"/>
      <c r="L43" s="7"/>
      <c r="M43" s="7"/>
      <c r="N43" s="5"/>
      <c r="O43" s="5"/>
      <c r="P43" s="5"/>
      <c r="Q43" s="5"/>
      <c r="R43" s="5"/>
      <c r="S43" s="5"/>
    </row>
    <row r="44" spans="1:20" ht="21.95" customHeight="1">
      <c r="A44" s="4"/>
      <c r="B44" s="7"/>
      <c r="C44" s="4"/>
      <c r="D44" s="4"/>
      <c r="E44" s="5"/>
      <c r="F44" s="5"/>
      <c r="G44" s="5"/>
      <c r="H44" s="5"/>
      <c r="I44" s="7"/>
      <c r="J44" s="7"/>
      <c r="K44" s="7"/>
      <c r="L44" s="7"/>
      <c r="M44" s="7"/>
      <c r="N44" s="5"/>
      <c r="O44" s="5"/>
      <c r="P44" s="5"/>
      <c r="Q44" s="5"/>
      <c r="R44" s="5"/>
      <c r="S44" s="5"/>
    </row>
    <row r="45" spans="1:20" ht="21.95" customHeight="1">
      <c r="A45" s="4"/>
      <c r="B45" s="7"/>
      <c r="C45" s="4"/>
      <c r="D45" s="4"/>
      <c r="E45" s="5"/>
      <c r="F45" s="5"/>
      <c r="G45" s="5"/>
      <c r="H45" s="5"/>
      <c r="I45" s="7"/>
      <c r="J45" s="7"/>
      <c r="K45" s="7"/>
      <c r="L45" s="7"/>
      <c r="M45" s="7"/>
      <c r="N45" s="5"/>
      <c r="O45" s="5"/>
      <c r="P45" s="5"/>
      <c r="Q45" s="5"/>
      <c r="R45" s="5"/>
      <c r="S45" s="5"/>
    </row>
    <row r="46" spans="1:20" ht="21.95" customHeight="1">
      <c r="A46" s="4"/>
      <c r="B46" s="7"/>
      <c r="C46" s="4"/>
      <c r="D46" s="4"/>
      <c r="E46" s="5"/>
      <c r="F46" s="5"/>
      <c r="G46" s="5"/>
      <c r="H46" s="5"/>
      <c r="I46" s="7"/>
      <c r="J46" s="7"/>
      <c r="K46" s="7"/>
      <c r="L46" s="7"/>
      <c r="M46" s="7"/>
      <c r="N46" s="5"/>
      <c r="O46" s="5"/>
      <c r="P46" s="5"/>
      <c r="Q46" s="5"/>
      <c r="R46" s="5"/>
      <c r="S46" s="5"/>
    </row>
    <row r="47" spans="1:20" ht="21.95" customHeight="1">
      <c r="A47" s="4"/>
      <c r="B47" s="7"/>
      <c r="C47" s="4"/>
      <c r="D47" s="4"/>
      <c r="E47" s="5"/>
      <c r="F47" s="5"/>
      <c r="G47" s="5"/>
      <c r="H47" s="5"/>
      <c r="I47" s="7"/>
      <c r="J47" s="7"/>
      <c r="K47" s="7"/>
      <c r="L47" s="7"/>
      <c r="M47" s="7"/>
      <c r="N47" s="5"/>
      <c r="O47" s="5"/>
      <c r="P47" s="5"/>
      <c r="Q47" s="5"/>
      <c r="R47" s="5"/>
      <c r="S47" s="5"/>
    </row>
    <row r="48" spans="1:20" ht="21.95" customHeight="1">
      <c r="A48" s="4"/>
      <c r="B48" s="7"/>
      <c r="C48" s="4"/>
      <c r="D48" s="4"/>
      <c r="E48" s="5"/>
      <c r="F48" s="5"/>
      <c r="G48" s="5"/>
      <c r="H48" s="5"/>
      <c r="I48" s="7"/>
      <c r="J48" s="7"/>
      <c r="K48" s="7"/>
      <c r="L48" s="7"/>
      <c r="M48" s="7"/>
      <c r="N48" s="5"/>
      <c r="O48" s="5"/>
      <c r="P48" s="5"/>
      <c r="Q48" s="5"/>
      <c r="R48" s="5"/>
      <c r="S48" s="5"/>
    </row>
    <row r="49" spans="1:19" ht="21.95" customHeight="1">
      <c r="A49" s="4"/>
      <c r="B49" s="7"/>
      <c r="C49" s="4"/>
      <c r="D49" s="4"/>
      <c r="E49" s="5"/>
      <c r="F49" s="5"/>
      <c r="G49" s="5"/>
      <c r="H49" s="5"/>
      <c r="I49" s="7"/>
      <c r="J49" s="7"/>
      <c r="K49" s="7"/>
      <c r="L49" s="7"/>
      <c r="M49" s="7"/>
      <c r="N49" s="5"/>
      <c r="O49" s="5"/>
      <c r="P49" s="5"/>
      <c r="Q49" s="5"/>
      <c r="R49" s="5"/>
      <c r="S49" s="5"/>
    </row>
    <row r="50" spans="1:19" ht="21.95" customHeight="1">
      <c r="A50" s="4"/>
      <c r="B50" s="7"/>
      <c r="C50" s="4"/>
      <c r="D50" s="4"/>
      <c r="E50" s="5"/>
      <c r="F50" s="5"/>
      <c r="G50" s="5"/>
      <c r="H50" s="5"/>
      <c r="I50" s="7"/>
      <c r="J50" s="7"/>
      <c r="K50" s="7"/>
      <c r="L50" s="7"/>
      <c r="M50" s="7"/>
      <c r="N50" s="5"/>
      <c r="O50" s="5"/>
      <c r="P50" s="5"/>
      <c r="Q50" s="5"/>
      <c r="R50" s="5"/>
      <c r="S50" s="5"/>
    </row>
    <row r="51" spans="1:19" ht="21.95" customHeight="1">
      <c r="A51" s="4"/>
      <c r="B51" s="7"/>
      <c r="C51" s="4"/>
      <c r="D51" s="4"/>
      <c r="E51" s="5"/>
      <c r="F51" s="5"/>
      <c r="G51" s="5"/>
      <c r="H51" s="5"/>
      <c r="I51" s="7"/>
      <c r="J51" s="7"/>
      <c r="K51" s="7"/>
      <c r="L51" s="7"/>
      <c r="M51" s="7"/>
      <c r="N51" s="5"/>
      <c r="O51" s="5"/>
      <c r="P51" s="5"/>
      <c r="Q51" s="5"/>
      <c r="R51" s="5"/>
      <c r="S51" s="5"/>
    </row>
    <row r="52" spans="1:19" ht="21.95" customHeight="1">
      <c r="A52" s="4"/>
      <c r="B52" s="7"/>
      <c r="C52" s="4"/>
      <c r="D52" s="4"/>
      <c r="E52" s="5"/>
      <c r="F52" s="5"/>
      <c r="G52" s="5"/>
      <c r="H52" s="5"/>
      <c r="I52" s="7"/>
      <c r="J52" s="7"/>
      <c r="K52" s="7"/>
      <c r="L52" s="7"/>
      <c r="M52" s="7"/>
      <c r="N52" s="5"/>
      <c r="O52" s="5"/>
      <c r="P52" s="5"/>
      <c r="Q52" s="5"/>
      <c r="R52" s="5"/>
      <c r="S52" s="5"/>
    </row>
    <row r="53" spans="1:19" ht="21.95" customHeight="1">
      <c r="A53" s="4"/>
      <c r="B53" s="7"/>
      <c r="C53" s="4"/>
      <c r="D53" s="4"/>
      <c r="E53" s="5"/>
      <c r="F53" s="5"/>
      <c r="G53" s="5"/>
      <c r="H53" s="5"/>
      <c r="I53" s="7"/>
      <c r="J53" s="7"/>
      <c r="K53" s="7"/>
      <c r="L53" s="7"/>
      <c r="M53" s="7"/>
      <c r="N53" s="5"/>
      <c r="O53" s="5"/>
      <c r="P53" s="5"/>
      <c r="Q53" s="5"/>
      <c r="R53" s="5"/>
      <c r="S53" s="5"/>
    </row>
    <row r="54" spans="1:19" ht="21.95" customHeight="1">
      <c r="A54" s="4"/>
      <c r="B54" s="7"/>
      <c r="C54" s="4"/>
      <c r="D54" s="4"/>
      <c r="E54" s="5"/>
      <c r="F54" s="5"/>
      <c r="G54" s="5"/>
      <c r="H54" s="5"/>
      <c r="I54" s="7"/>
      <c r="J54" s="7"/>
      <c r="K54" s="7"/>
      <c r="L54" s="7"/>
      <c r="M54" s="7"/>
      <c r="N54" s="5"/>
      <c r="O54" s="5"/>
      <c r="P54" s="5"/>
      <c r="Q54" s="5"/>
      <c r="R54" s="5"/>
      <c r="S54" s="5"/>
    </row>
    <row r="55" spans="1:19" ht="21.95" customHeight="1">
      <c r="A55" s="4"/>
      <c r="B55" s="7"/>
      <c r="C55" s="4"/>
      <c r="D55" s="4"/>
      <c r="E55" s="5"/>
      <c r="F55" s="5"/>
      <c r="G55" s="5"/>
      <c r="H55" s="5"/>
      <c r="I55" s="7"/>
      <c r="J55" s="7"/>
      <c r="K55" s="7"/>
      <c r="L55" s="7"/>
      <c r="M55" s="7"/>
      <c r="N55" s="5"/>
      <c r="O55" s="5"/>
      <c r="P55" s="5"/>
      <c r="Q55" s="5"/>
      <c r="R55" s="5"/>
      <c r="S55" s="5"/>
    </row>
    <row r="56" spans="1:19" ht="21.95" customHeight="1">
      <c r="A56" s="4"/>
      <c r="B56" s="81"/>
      <c r="C56" s="4"/>
      <c r="D56" s="4"/>
      <c r="E56" s="5"/>
      <c r="F56" s="5"/>
      <c r="G56" s="5"/>
      <c r="H56" s="5"/>
      <c r="I56" s="7"/>
      <c r="J56" s="7"/>
      <c r="K56" s="7"/>
      <c r="L56" s="7"/>
      <c r="M56" s="7"/>
      <c r="N56" s="5"/>
      <c r="O56" s="5"/>
      <c r="P56" s="5"/>
      <c r="Q56" s="5"/>
      <c r="R56" s="5"/>
      <c r="S56" s="5"/>
    </row>
    <row r="57" spans="1:19" ht="21.95" customHeight="1">
      <c r="A57" s="4"/>
      <c r="B57" s="7"/>
      <c r="C57" s="4"/>
      <c r="D57" s="4"/>
      <c r="E57" s="5"/>
      <c r="F57" s="5"/>
      <c r="G57" s="5"/>
      <c r="H57" s="5"/>
      <c r="I57" s="7"/>
      <c r="J57" s="7"/>
      <c r="K57" s="7"/>
      <c r="L57" s="7"/>
      <c r="M57" s="7"/>
      <c r="N57" s="5"/>
      <c r="O57" s="5"/>
      <c r="P57" s="5"/>
      <c r="Q57" s="5"/>
      <c r="R57" s="5"/>
      <c r="S57" s="5"/>
    </row>
    <row r="58" spans="1:19" ht="21.95" customHeight="1">
      <c r="A58" s="4"/>
      <c r="B58" s="7"/>
      <c r="C58" s="4"/>
      <c r="D58" s="4"/>
      <c r="E58" s="5"/>
      <c r="F58" s="5"/>
      <c r="G58" s="5"/>
      <c r="H58" s="5"/>
      <c r="I58" s="7"/>
      <c r="J58" s="7"/>
      <c r="K58" s="7"/>
      <c r="L58" s="7"/>
      <c r="M58" s="7"/>
      <c r="N58" s="5"/>
      <c r="O58" s="5"/>
      <c r="P58" s="5"/>
      <c r="Q58" s="5"/>
      <c r="R58" s="5"/>
      <c r="S58" s="5"/>
    </row>
    <row r="59" spans="1:19" ht="21.95" customHeight="1">
      <c r="A59" s="4"/>
      <c r="B59" s="7"/>
      <c r="C59" s="4"/>
      <c r="D59" s="4"/>
      <c r="E59" s="5"/>
      <c r="F59" s="5"/>
      <c r="G59" s="5"/>
      <c r="H59" s="5"/>
      <c r="I59" s="7"/>
      <c r="J59" s="7"/>
      <c r="K59" s="7"/>
      <c r="L59" s="7"/>
      <c r="M59" s="7"/>
      <c r="N59" s="5"/>
      <c r="O59" s="5"/>
      <c r="P59" s="5"/>
      <c r="Q59" s="5"/>
      <c r="R59" s="5"/>
      <c r="S59" s="5"/>
    </row>
    <row r="60" spans="1:19" ht="21.95" customHeight="1">
      <c r="A60" s="4"/>
      <c r="B60" s="7"/>
      <c r="C60" s="4"/>
      <c r="D60" s="4"/>
      <c r="E60" s="5"/>
      <c r="F60" s="5"/>
      <c r="G60" s="5"/>
      <c r="H60" s="5"/>
      <c r="I60" s="7"/>
      <c r="J60" s="7"/>
      <c r="K60" s="7"/>
      <c r="L60" s="7"/>
      <c r="M60" s="7"/>
      <c r="N60" s="5"/>
      <c r="O60" s="5"/>
      <c r="P60" s="5"/>
      <c r="Q60" s="5"/>
      <c r="R60" s="5"/>
      <c r="S60" s="5"/>
    </row>
    <row r="61" spans="1:19" ht="21.95" customHeight="1">
      <c r="A61" s="4"/>
      <c r="B61" s="7"/>
      <c r="C61" s="4"/>
      <c r="D61" s="4"/>
      <c r="E61" s="5"/>
      <c r="F61" s="5"/>
      <c r="G61" s="5"/>
      <c r="H61" s="5"/>
      <c r="I61" s="7"/>
      <c r="J61" s="7"/>
      <c r="K61" s="7"/>
      <c r="L61" s="7"/>
      <c r="M61" s="7"/>
      <c r="N61" s="5"/>
      <c r="O61" s="5"/>
      <c r="P61" s="5"/>
      <c r="Q61" s="5"/>
      <c r="R61" s="5"/>
      <c r="S61" s="5"/>
    </row>
    <row r="62" spans="1:19">
      <c r="A62" s="4"/>
      <c r="B62" s="7"/>
      <c r="C62" s="4"/>
      <c r="D62" s="4"/>
      <c r="E62" s="5"/>
      <c r="F62" s="5"/>
      <c r="G62" s="5"/>
      <c r="H62" s="5"/>
      <c r="I62" s="7"/>
      <c r="J62" s="7"/>
      <c r="K62" s="7"/>
      <c r="L62" s="7"/>
      <c r="M62" s="7"/>
      <c r="N62" s="5"/>
      <c r="O62" s="5"/>
      <c r="P62" s="5"/>
      <c r="Q62" s="5"/>
      <c r="R62" s="5"/>
      <c r="S62" s="5"/>
    </row>
    <row r="63" spans="1:19">
      <c r="A63" s="4"/>
      <c r="B63" s="7"/>
      <c r="C63" s="4"/>
      <c r="D63" s="4"/>
      <c r="E63" s="5"/>
      <c r="F63" s="5"/>
      <c r="G63" s="5"/>
      <c r="H63" s="5"/>
      <c r="I63" s="7"/>
      <c r="J63" s="7"/>
      <c r="K63" s="7"/>
      <c r="L63" s="7"/>
      <c r="M63" s="7"/>
      <c r="N63" s="5"/>
      <c r="O63" s="5"/>
      <c r="P63" s="5"/>
      <c r="Q63" s="5"/>
      <c r="R63" s="5"/>
      <c r="S63" s="5"/>
    </row>
    <row r="64" spans="1:19">
      <c r="A64" s="4"/>
      <c r="B64" s="7"/>
      <c r="C64" s="4"/>
      <c r="D64" s="4"/>
      <c r="E64" s="5"/>
      <c r="F64" s="5"/>
      <c r="G64" s="5"/>
      <c r="H64" s="5"/>
      <c r="I64" s="7"/>
      <c r="J64" s="7"/>
      <c r="K64" s="7"/>
      <c r="L64" s="7"/>
      <c r="M64" s="7"/>
      <c r="N64" s="5"/>
      <c r="O64" s="5"/>
      <c r="P64" s="5"/>
      <c r="Q64" s="5"/>
      <c r="R64" s="5"/>
      <c r="S64" s="5"/>
    </row>
    <row r="65" spans="1:19">
      <c r="A65" s="4"/>
      <c r="B65" s="7"/>
      <c r="C65" s="4"/>
      <c r="D65" s="4"/>
      <c r="E65" s="5"/>
      <c r="F65" s="5"/>
      <c r="G65" s="5"/>
      <c r="H65" s="5"/>
      <c r="I65" s="7"/>
      <c r="J65" s="7"/>
      <c r="K65" s="7"/>
      <c r="L65" s="7"/>
      <c r="M65" s="7"/>
      <c r="N65" s="5"/>
      <c r="O65" s="5"/>
      <c r="P65" s="5"/>
      <c r="Q65" s="5"/>
      <c r="R65" s="5"/>
      <c r="S65" s="5"/>
    </row>
    <row r="66" spans="1:19">
      <c r="A66" s="4"/>
      <c r="B66" s="7"/>
      <c r="C66" s="4"/>
      <c r="D66" s="4"/>
      <c r="E66" s="5"/>
      <c r="F66" s="5"/>
      <c r="G66" s="5"/>
      <c r="H66" s="5"/>
      <c r="I66" s="7"/>
      <c r="J66" s="7"/>
      <c r="K66" s="7"/>
      <c r="L66" s="7"/>
      <c r="M66" s="7"/>
      <c r="N66" s="5"/>
      <c r="O66" s="5"/>
      <c r="P66" s="5"/>
      <c r="Q66" s="5"/>
      <c r="R66" s="5"/>
      <c r="S66" s="5"/>
    </row>
    <row r="67" spans="1:19">
      <c r="A67" s="4"/>
      <c r="B67" s="7"/>
      <c r="C67" s="4"/>
      <c r="D67" s="4"/>
      <c r="E67" s="5"/>
      <c r="F67" s="5"/>
      <c r="G67" s="5"/>
      <c r="H67" s="5"/>
      <c r="I67" s="7"/>
      <c r="J67" s="7"/>
      <c r="K67" s="7"/>
      <c r="L67" s="7"/>
      <c r="M67" s="7"/>
      <c r="N67" s="5"/>
      <c r="O67" s="5"/>
      <c r="P67" s="5"/>
      <c r="Q67" s="5"/>
      <c r="R67" s="5"/>
      <c r="S67" s="5"/>
    </row>
    <row r="68" spans="1:19">
      <c r="A68" s="4"/>
      <c r="B68" s="7"/>
      <c r="C68" s="4"/>
      <c r="D68" s="4"/>
      <c r="E68" s="5"/>
      <c r="F68" s="5"/>
      <c r="G68" s="5"/>
      <c r="H68" s="5"/>
      <c r="I68" s="7"/>
      <c r="J68" s="7"/>
      <c r="K68" s="7"/>
      <c r="L68" s="7"/>
      <c r="M68" s="7"/>
      <c r="N68" s="5"/>
      <c r="O68" s="5"/>
      <c r="P68" s="5"/>
      <c r="Q68" s="5"/>
      <c r="R68" s="5"/>
      <c r="S68" s="5"/>
    </row>
    <row r="69" spans="1:19">
      <c r="A69" s="4"/>
      <c r="B69" s="7"/>
      <c r="C69" s="4"/>
      <c r="D69" s="4"/>
      <c r="E69" s="5"/>
      <c r="F69" s="5"/>
      <c r="G69" s="5"/>
      <c r="H69" s="5"/>
      <c r="I69" s="7"/>
      <c r="J69" s="7"/>
      <c r="K69" s="7"/>
      <c r="L69" s="7"/>
      <c r="M69" s="7"/>
      <c r="N69" s="5"/>
      <c r="O69" s="5"/>
      <c r="P69" s="5"/>
      <c r="Q69" s="5"/>
      <c r="R69" s="5"/>
      <c r="S69" s="5"/>
    </row>
    <row r="70" spans="1:19">
      <c r="A70" s="4"/>
      <c r="B70" s="7"/>
      <c r="C70" s="4"/>
      <c r="D70" s="4"/>
      <c r="E70" s="5"/>
      <c r="F70" s="5"/>
      <c r="G70" s="5"/>
      <c r="H70" s="5"/>
      <c r="I70" s="7"/>
      <c r="J70" s="7"/>
      <c r="K70" s="7"/>
      <c r="L70" s="7"/>
      <c r="M70" s="7"/>
      <c r="N70" s="5"/>
      <c r="O70" s="5"/>
      <c r="P70" s="5"/>
      <c r="Q70" s="5"/>
      <c r="R70" s="5"/>
      <c r="S70" s="5"/>
    </row>
    <row r="71" spans="1:19">
      <c r="A71" s="4"/>
      <c r="B71" s="7"/>
      <c r="C71" s="4"/>
      <c r="D71" s="4"/>
      <c r="E71" s="5"/>
      <c r="F71" s="5"/>
      <c r="G71" s="5"/>
      <c r="H71" s="5"/>
      <c r="I71" s="7"/>
      <c r="J71" s="7"/>
      <c r="K71" s="7"/>
      <c r="L71" s="7"/>
      <c r="M71" s="7"/>
      <c r="N71" s="5"/>
      <c r="O71" s="5"/>
      <c r="P71" s="5"/>
      <c r="Q71" s="5"/>
      <c r="R71" s="5"/>
      <c r="S71" s="5"/>
    </row>
    <row r="72" spans="1:19">
      <c r="A72" s="4"/>
      <c r="B72" s="7"/>
      <c r="C72" s="4"/>
      <c r="D72" s="4"/>
      <c r="E72" s="5"/>
      <c r="F72" s="5"/>
      <c r="G72" s="5"/>
      <c r="H72" s="5"/>
      <c r="I72" s="7"/>
      <c r="J72" s="7"/>
      <c r="K72" s="7"/>
      <c r="L72" s="7"/>
      <c r="M72" s="7"/>
      <c r="N72" s="5"/>
      <c r="O72" s="5"/>
      <c r="P72" s="5"/>
      <c r="Q72" s="5"/>
      <c r="R72" s="5"/>
      <c r="S72" s="5"/>
    </row>
    <row r="73" spans="1:19">
      <c r="A73" s="4"/>
      <c r="B73" s="7"/>
      <c r="C73" s="4"/>
      <c r="D73" s="4"/>
      <c r="E73" s="5"/>
      <c r="F73" s="5"/>
      <c r="G73" s="5"/>
      <c r="H73" s="5"/>
      <c r="I73" s="7"/>
      <c r="J73" s="7"/>
      <c r="K73" s="7"/>
      <c r="L73" s="7"/>
      <c r="M73" s="7"/>
      <c r="N73" s="5"/>
      <c r="O73" s="5"/>
      <c r="P73" s="5"/>
      <c r="Q73" s="5"/>
      <c r="R73" s="5"/>
      <c r="S73" s="5"/>
    </row>
    <row r="74" spans="1:19">
      <c r="A74" s="4"/>
      <c r="B74" s="7"/>
      <c r="C74" s="4"/>
      <c r="D74" s="4"/>
      <c r="E74" s="5"/>
      <c r="F74" s="5"/>
      <c r="G74" s="5"/>
      <c r="H74" s="5"/>
      <c r="I74" s="7"/>
      <c r="J74" s="7"/>
      <c r="K74" s="7"/>
      <c r="L74" s="7"/>
      <c r="M74" s="7"/>
      <c r="N74" s="5"/>
      <c r="O74" s="5"/>
      <c r="P74" s="5"/>
      <c r="Q74" s="5"/>
      <c r="R74" s="5"/>
      <c r="S74" s="5"/>
    </row>
    <row r="75" spans="1:19">
      <c r="A75" s="4"/>
      <c r="B75" s="7"/>
      <c r="C75" s="4"/>
      <c r="D75" s="4"/>
      <c r="E75" s="5"/>
      <c r="F75" s="5"/>
      <c r="G75" s="5"/>
      <c r="H75" s="5"/>
      <c r="I75" s="7"/>
      <c r="J75" s="7"/>
      <c r="K75" s="7"/>
      <c r="L75" s="7"/>
      <c r="M75" s="7"/>
      <c r="N75" s="5"/>
      <c r="O75" s="5"/>
      <c r="P75" s="5"/>
      <c r="Q75" s="5"/>
      <c r="R75" s="5"/>
      <c r="S75" s="5"/>
    </row>
    <row r="76" spans="1:19">
      <c r="A76" s="4"/>
      <c r="B76" s="7"/>
      <c r="C76" s="4"/>
      <c r="D76" s="4"/>
      <c r="E76" s="5"/>
      <c r="F76" s="5"/>
      <c r="G76" s="5"/>
      <c r="H76" s="5"/>
      <c r="I76" s="7"/>
      <c r="J76" s="7"/>
      <c r="K76" s="7"/>
      <c r="L76" s="7"/>
      <c r="M76" s="7"/>
      <c r="N76" s="5"/>
      <c r="O76" s="5"/>
      <c r="P76" s="5"/>
      <c r="Q76" s="5"/>
      <c r="R76" s="5"/>
      <c r="S76" s="5"/>
    </row>
    <row r="77" spans="1:19">
      <c r="A77" s="4"/>
      <c r="B77" s="7"/>
      <c r="C77" s="4"/>
      <c r="D77" s="4"/>
      <c r="E77" s="5"/>
      <c r="F77" s="5"/>
      <c r="G77" s="5"/>
      <c r="H77" s="5"/>
      <c r="I77" s="7"/>
      <c r="J77" s="7"/>
      <c r="K77" s="7"/>
      <c r="L77" s="7"/>
      <c r="M77" s="7"/>
      <c r="N77" s="5"/>
      <c r="O77" s="5"/>
      <c r="P77" s="5"/>
      <c r="Q77" s="5"/>
      <c r="R77" s="5"/>
      <c r="S77" s="5"/>
    </row>
    <row r="78" spans="1:19">
      <c r="A78" s="4"/>
      <c r="B78" s="7"/>
      <c r="C78" s="4"/>
      <c r="D78" s="4"/>
      <c r="E78" s="5"/>
      <c r="F78" s="5"/>
      <c r="G78" s="5"/>
      <c r="H78" s="5"/>
      <c r="I78" s="7"/>
      <c r="J78" s="7"/>
      <c r="K78" s="7"/>
      <c r="L78" s="7"/>
      <c r="M78" s="7"/>
      <c r="N78" s="5"/>
      <c r="O78" s="5"/>
      <c r="P78" s="5"/>
      <c r="Q78" s="5"/>
      <c r="R78" s="5"/>
      <c r="S78" s="5"/>
    </row>
    <row r="79" spans="1:19">
      <c r="A79" s="4"/>
      <c r="B79" s="7"/>
      <c r="C79" s="4"/>
      <c r="D79" s="4"/>
      <c r="E79" s="5"/>
      <c r="F79" s="5"/>
      <c r="G79" s="5"/>
      <c r="H79" s="5"/>
      <c r="I79" s="7"/>
      <c r="J79" s="7"/>
      <c r="K79" s="7"/>
      <c r="L79" s="7"/>
      <c r="M79" s="7"/>
      <c r="N79" s="5"/>
      <c r="O79" s="5"/>
      <c r="P79" s="5"/>
      <c r="Q79" s="5"/>
      <c r="R79" s="5"/>
      <c r="S79" s="5"/>
    </row>
    <row r="80" spans="1:19">
      <c r="A80" s="4"/>
      <c r="B80" s="7"/>
      <c r="C80" s="4"/>
      <c r="D80" s="4"/>
      <c r="E80" s="5"/>
      <c r="F80" s="5"/>
      <c r="G80" s="5"/>
      <c r="H80" s="5"/>
      <c r="I80" s="7"/>
      <c r="J80" s="7"/>
      <c r="K80" s="7"/>
      <c r="L80" s="7"/>
      <c r="M80" s="7"/>
      <c r="N80" s="5"/>
      <c r="O80" s="5"/>
      <c r="P80" s="5"/>
      <c r="Q80" s="5"/>
      <c r="R80" s="5"/>
      <c r="S80" s="5"/>
    </row>
    <row r="81" spans="1:19">
      <c r="A81" s="4"/>
      <c r="B81" s="7"/>
      <c r="C81" s="4"/>
      <c r="D81" s="4"/>
      <c r="E81" s="5"/>
      <c r="F81" s="5"/>
      <c r="G81" s="5"/>
      <c r="H81" s="5"/>
      <c r="I81" s="7"/>
      <c r="J81" s="7"/>
      <c r="K81" s="7"/>
      <c r="L81" s="7"/>
      <c r="M81" s="7"/>
      <c r="N81" s="5"/>
      <c r="O81" s="5"/>
      <c r="P81" s="5"/>
      <c r="Q81" s="5"/>
      <c r="R81" s="5"/>
      <c r="S81" s="5"/>
    </row>
  </sheetData>
  <autoFilter ref="A2:S32" xr:uid="{B495C380-3747-43B0-B226-858EE8B124DE}"/>
  <mergeCells count="11">
    <mergeCell ref="R12:R14"/>
    <mergeCell ref="R10:R11"/>
    <mergeCell ref="T25:T27"/>
    <mergeCell ref="R20:R21"/>
    <mergeCell ref="T17:T19"/>
    <mergeCell ref="T10:T14"/>
    <mergeCell ref="T20:T22"/>
    <mergeCell ref="T3:T9"/>
    <mergeCell ref="T30:T31"/>
    <mergeCell ref="T28:T29"/>
    <mergeCell ref="R8:R9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4626-B8D1-4852-AC2B-63A676754725}">
  <sheetPr>
    <pageSetUpPr fitToPage="1"/>
  </sheetPr>
  <dimension ref="A1:T68"/>
  <sheetViews>
    <sheetView zoomScale="80" zoomScaleNormal="80" workbookViewId="0">
      <pane ySplit="2" topLeftCell="A3" activePane="bottomLeft" state="frozen"/>
      <selection sqref="A1:XFD1"/>
      <selection pane="bottomLeft" activeCell="L24" sqref="L24"/>
    </sheetView>
  </sheetViews>
  <sheetFormatPr defaultRowHeight="16.5" outlineLevelCol="1"/>
  <cols>
    <col min="1" max="1" width="16.375" style="3" customWidth="1"/>
    <col min="2" max="2" width="21.625" style="2" customWidth="1"/>
    <col min="3" max="3" width="9.5" style="2" customWidth="1"/>
    <col min="4" max="4" width="10.5" style="2" customWidth="1"/>
    <col min="5" max="5" width="15.75" style="10" customWidth="1"/>
    <col min="6" max="7" width="15.75" style="388" hidden="1" customWidth="1" outlineLevel="1"/>
    <col min="8" max="8" width="18.75" style="10" customWidth="1" collapsed="1"/>
    <col min="9" max="9" width="15.75" style="2" customWidth="1"/>
    <col min="10" max="10" width="17.375" style="2" hidden="1" customWidth="1" outlineLevel="1"/>
    <col min="11" max="11" width="15.75" style="2" hidden="1" customWidth="1" outlineLevel="1"/>
    <col min="12" max="12" width="15.75" style="2" customWidth="1" collapsed="1"/>
    <col min="13" max="13" width="17" style="2" customWidth="1"/>
    <col min="14" max="14" width="15.75" style="10" customWidth="1"/>
    <col min="15" max="15" width="17.25" style="10" customWidth="1"/>
    <col min="16" max="16" width="15.75" style="10" customWidth="1"/>
    <col min="17" max="17" width="18.75" style="10" customWidth="1"/>
    <col min="18" max="18" width="15.75" style="10" customWidth="1"/>
    <col min="19" max="19" width="30.875" style="10" customWidth="1"/>
    <col min="20" max="20" width="15.625" style="10" customWidth="1"/>
    <col min="21" max="21" width="9" style="10"/>
    <col min="22" max="22" width="10.625" style="10" bestFit="1" customWidth="1"/>
    <col min="23" max="16384" width="9" style="10"/>
  </cols>
  <sheetData>
    <row r="1" spans="1:20" ht="86.25" customHeight="1">
      <c r="A1" s="4"/>
      <c r="B1" s="7"/>
      <c r="C1" s="7"/>
      <c r="D1" s="7"/>
      <c r="E1" s="5"/>
      <c r="F1" s="5"/>
      <c r="G1" s="5"/>
      <c r="H1" s="5"/>
      <c r="I1" s="7"/>
      <c r="J1" s="7"/>
      <c r="K1" s="7"/>
      <c r="L1" s="7"/>
      <c r="M1" s="7"/>
      <c r="N1" s="6"/>
      <c r="O1" s="6"/>
      <c r="P1" s="5"/>
      <c r="Q1" s="5"/>
      <c r="R1" s="5"/>
      <c r="S1" s="5"/>
      <c r="T1" s="5"/>
    </row>
    <row r="2" spans="1:20" ht="30.75" customHeight="1">
      <c r="A2" s="521" t="s">
        <v>4</v>
      </c>
      <c r="B2" s="522" t="s">
        <v>391</v>
      </c>
      <c r="C2" s="522" t="s">
        <v>14</v>
      </c>
      <c r="D2" s="522" t="s">
        <v>13</v>
      </c>
      <c r="E2" s="523" t="s">
        <v>0</v>
      </c>
      <c r="F2" s="523" t="s">
        <v>249</v>
      </c>
      <c r="G2" s="523" t="s">
        <v>260</v>
      </c>
      <c r="H2" s="522" t="s">
        <v>1</v>
      </c>
      <c r="I2" s="522" t="s">
        <v>2</v>
      </c>
      <c r="J2" s="522" t="s">
        <v>80</v>
      </c>
      <c r="K2" s="522" t="s">
        <v>81</v>
      </c>
      <c r="L2" s="524" t="s">
        <v>9</v>
      </c>
      <c r="M2" s="525" t="s">
        <v>78</v>
      </c>
      <c r="N2" s="526" t="s">
        <v>79</v>
      </c>
      <c r="O2" s="527" t="s">
        <v>77</v>
      </c>
      <c r="P2" s="528" t="s">
        <v>7</v>
      </c>
      <c r="Q2" s="529" t="s">
        <v>8</v>
      </c>
      <c r="R2" s="523" t="s">
        <v>3</v>
      </c>
      <c r="S2" s="523" t="s">
        <v>10</v>
      </c>
      <c r="T2" s="530" t="s">
        <v>12</v>
      </c>
    </row>
    <row r="3" spans="1:20" s="163" customFormat="1" ht="20.100000000000001" customHeight="1">
      <c r="A3" s="280">
        <v>46155</v>
      </c>
      <c r="B3" s="284" t="s">
        <v>264</v>
      </c>
      <c r="C3" s="280" t="s">
        <v>184</v>
      </c>
      <c r="D3" s="282" t="s">
        <v>182</v>
      </c>
      <c r="E3" s="280" t="s">
        <v>444</v>
      </c>
      <c r="F3" s="281"/>
      <c r="G3" s="281"/>
      <c r="H3" s="282" t="s">
        <v>445</v>
      </c>
      <c r="I3" s="281" t="s">
        <v>446</v>
      </c>
      <c r="J3" s="284">
        <v>7930</v>
      </c>
      <c r="K3" s="284">
        <v>14670</v>
      </c>
      <c r="L3" s="283">
        <v>-6740</v>
      </c>
      <c r="M3" s="283"/>
      <c r="N3" s="283"/>
      <c r="O3" s="283">
        <v>-6740</v>
      </c>
      <c r="P3" s="286"/>
      <c r="Q3" s="283">
        <v>-1250000</v>
      </c>
      <c r="R3" s="283" t="s">
        <v>447</v>
      </c>
      <c r="S3" s="123"/>
      <c r="T3" s="1493"/>
    </row>
    <row r="4" spans="1:20" s="163" customFormat="1" ht="20.100000000000001" customHeight="1">
      <c r="A4" s="518">
        <v>46161</v>
      </c>
      <c r="B4" s="1918" t="s">
        <v>264</v>
      </c>
      <c r="C4" s="1918" t="s">
        <v>440</v>
      </c>
      <c r="D4" s="1918" t="s">
        <v>436</v>
      </c>
      <c r="E4" s="1921" t="s">
        <v>553</v>
      </c>
      <c r="F4" s="1921"/>
      <c r="G4" s="1921"/>
      <c r="H4" s="501" t="s">
        <v>554</v>
      </c>
      <c r="I4" s="1919" t="s">
        <v>555</v>
      </c>
      <c r="J4" s="1918">
        <v>3940</v>
      </c>
      <c r="K4" s="1918">
        <v>8000</v>
      </c>
      <c r="L4" s="23">
        <f t="shared" ref="L4" si="0">K4-J4</f>
        <v>4060</v>
      </c>
      <c r="M4" s="1919"/>
      <c r="N4" s="1919"/>
      <c r="O4" s="1919">
        <f t="shared" ref="O4" si="1">L4</f>
        <v>4060</v>
      </c>
      <c r="P4" s="1920">
        <v>1063.9135000000001</v>
      </c>
      <c r="Q4" s="1920">
        <f t="shared" ref="Q4" si="2">O4*P4</f>
        <v>4319488.8100000005</v>
      </c>
      <c r="R4" s="1917" t="s">
        <v>5</v>
      </c>
      <c r="S4" s="123" t="s">
        <v>567</v>
      </c>
      <c r="T4" s="1493" t="s">
        <v>696</v>
      </c>
    </row>
    <row r="5" spans="1:20" s="163" customFormat="1" ht="20.100000000000001" customHeight="1">
      <c r="A5" s="516">
        <v>46161</v>
      </c>
      <c r="B5" s="898" t="s">
        <v>264</v>
      </c>
      <c r="C5" s="898" t="s">
        <v>440</v>
      </c>
      <c r="D5" s="898" t="s">
        <v>274</v>
      </c>
      <c r="E5" s="924" t="s">
        <v>556</v>
      </c>
      <c r="F5" s="924"/>
      <c r="G5" s="924"/>
      <c r="H5" s="226" t="s">
        <v>554</v>
      </c>
      <c r="I5" s="919" t="s">
        <v>555</v>
      </c>
      <c r="J5" s="898">
        <v>15660</v>
      </c>
      <c r="K5" s="898">
        <v>37620</v>
      </c>
      <c r="L5" s="26">
        <f t="shared" ref="L3:L8" si="3">K5-J5</f>
        <v>21960</v>
      </c>
      <c r="M5" s="919"/>
      <c r="N5" s="919"/>
      <c r="O5" s="919">
        <f t="shared" ref="O3:O8" si="4">L5</f>
        <v>21960</v>
      </c>
      <c r="P5" s="901">
        <v>1063.9135000000001</v>
      </c>
      <c r="Q5" s="901">
        <f t="shared" ref="Q3:Q8" si="5">O5*P5</f>
        <v>23363540.460000001</v>
      </c>
      <c r="R5" s="895" t="s">
        <v>5</v>
      </c>
      <c r="S5" s="917" t="s">
        <v>566</v>
      </c>
      <c r="T5" s="1493" t="s">
        <v>696</v>
      </c>
    </row>
    <row r="6" spans="1:20" s="163" customFormat="1" ht="20.100000000000001" customHeight="1">
      <c r="A6" s="516">
        <v>46161</v>
      </c>
      <c r="B6" s="898" t="s">
        <v>264</v>
      </c>
      <c r="C6" s="898" t="s">
        <v>440</v>
      </c>
      <c r="D6" s="898" t="s">
        <v>274</v>
      </c>
      <c r="E6" s="924" t="s">
        <v>557</v>
      </c>
      <c r="F6" s="924"/>
      <c r="G6" s="924"/>
      <c r="H6" s="226" t="s">
        <v>554</v>
      </c>
      <c r="I6" s="919" t="s">
        <v>555</v>
      </c>
      <c r="J6" s="898">
        <v>7440</v>
      </c>
      <c r="K6" s="898">
        <v>19360</v>
      </c>
      <c r="L6" s="26">
        <f t="shared" si="3"/>
        <v>11920</v>
      </c>
      <c r="M6" s="919"/>
      <c r="N6" s="919"/>
      <c r="O6" s="919">
        <f t="shared" si="4"/>
        <v>11920</v>
      </c>
      <c r="P6" s="990">
        <v>1063.9135000000001</v>
      </c>
      <c r="Q6" s="901">
        <f t="shared" si="5"/>
        <v>12681848.920000002</v>
      </c>
      <c r="R6" s="895" t="s">
        <v>5</v>
      </c>
      <c r="S6" s="917" t="s">
        <v>566</v>
      </c>
      <c r="T6" s="1493" t="s">
        <v>696</v>
      </c>
    </row>
    <row r="7" spans="1:20" s="163" customFormat="1" ht="20.100000000000001" customHeight="1">
      <c r="A7" s="516">
        <v>46161</v>
      </c>
      <c r="B7" s="898" t="s">
        <v>264</v>
      </c>
      <c r="C7" s="898" t="s">
        <v>440</v>
      </c>
      <c r="D7" s="898" t="s">
        <v>436</v>
      </c>
      <c r="E7" s="924" t="s">
        <v>558</v>
      </c>
      <c r="F7" s="924"/>
      <c r="G7" s="924"/>
      <c r="H7" s="226" t="s">
        <v>554</v>
      </c>
      <c r="I7" s="919" t="s">
        <v>555</v>
      </c>
      <c r="J7" s="898">
        <v>4360</v>
      </c>
      <c r="K7" s="898">
        <v>8920</v>
      </c>
      <c r="L7" s="26">
        <f t="shared" si="3"/>
        <v>4560</v>
      </c>
      <c r="M7" s="919"/>
      <c r="N7" s="919"/>
      <c r="O7" s="919">
        <f t="shared" si="4"/>
        <v>4560</v>
      </c>
      <c r="P7" s="990">
        <v>1063.9135000000001</v>
      </c>
      <c r="Q7" s="901">
        <f t="shared" si="5"/>
        <v>4851445.5600000005</v>
      </c>
      <c r="R7" s="895" t="s">
        <v>5</v>
      </c>
      <c r="S7" s="917" t="s">
        <v>566</v>
      </c>
      <c r="T7" s="1493" t="s">
        <v>696</v>
      </c>
    </row>
    <row r="8" spans="1:20" s="163" customFormat="1" ht="20.100000000000001" customHeight="1">
      <c r="A8" s="519">
        <v>46161</v>
      </c>
      <c r="B8" s="964" t="s">
        <v>264</v>
      </c>
      <c r="C8" s="964" t="s">
        <v>440</v>
      </c>
      <c r="D8" s="964" t="s">
        <v>436</v>
      </c>
      <c r="E8" s="983" t="s">
        <v>559</v>
      </c>
      <c r="F8" s="983"/>
      <c r="G8" s="983"/>
      <c r="H8" s="502" t="s">
        <v>554</v>
      </c>
      <c r="I8" s="973" t="s">
        <v>555</v>
      </c>
      <c r="J8" s="964">
        <v>2180</v>
      </c>
      <c r="K8" s="964">
        <v>3800</v>
      </c>
      <c r="L8" s="28">
        <f t="shared" si="3"/>
        <v>1620</v>
      </c>
      <c r="M8" s="973"/>
      <c r="N8" s="973"/>
      <c r="O8" s="973">
        <f t="shared" si="4"/>
        <v>1620</v>
      </c>
      <c r="P8" s="975">
        <v>1063.9135000000001</v>
      </c>
      <c r="Q8" s="975">
        <f t="shared" si="5"/>
        <v>1723539.87</v>
      </c>
      <c r="R8" s="971" t="s">
        <v>5</v>
      </c>
      <c r="S8" s="111" t="s">
        <v>566</v>
      </c>
      <c r="T8" s="1493" t="s">
        <v>696</v>
      </c>
    </row>
    <row r="9" spans="1:20" s="163" customFormat="1" ht="20.100000000000001" customHeight="1">
      <c r="A9" s="1014">
        <v>46163</v>
      </c>
      <c r="B9" s="966" t="s">
        <v>264</v>
      </c>
      <c r="C9" s="966" t="s">
        <v>440</v>
      </c>
      <c r="D9" s="966" t="s">
        <v>436</v>
      </c>
      <c r="E9" s="982" t="s">
        <v>559</v>
      </c>
      <c r="F9" s="982"/>
      <c r="G9" s="982"/>
      <c r="H9" s="84" t="s">
        <v>554</v>
      </c>
      <c r="I9" s="976" t="s">
        <v>555</v>
      </c>
      <c r="J9" s="966">
        <v>2180</v>
      </c>
      <c r="K9" s="966">
        <v>4440</v>
      </c>
      <c r="L9" s="58">
        <f t="shared" ref="L9:L11" si="6">K9-J9</f>
        <v>2260</v>
      </c>
      <c r="M9" s="976"/>
      <c r="N9" s="976"/>
      <c r="O9" s="976">
        <f t="shared" ref="O9:O11" si="7">L9</f>
        <v>2260</v>
      </c>
      <c r="P9" s="995">
        <v>1063.9135000000001</v>
      </c>
      <c r="Q9" s="967">
        <f t="shared" ref="Q9:Q11" si="8">O9*P9</f>
        <v>2404444.5100000002</v>
      </c>
      <c r="R9" s="977" t="s">
        <v>5</v>
      </c>
      <c r="S9" s="147" t="s">
        <v>566</v>
      </c>
      <c r="T9" s="1493" t="s">
        <v>696</v>
      </c>
    </row>
    <row r="10" spans="1:20" s="163" customFormat="1" ht="20.100000000000001" customHeight="1">
      <c r="A10" s="1014">
        <v>46163</v>
      </c>
      <c r="B10" s="966" t="s">
        <v>264</v>
      </c>
      <c r="C10" s="966" t="s">
        <v>440</v>
      </c>
      <c r="D10" s="966" t="s">
        <v>274</v>
      </c>
      <c r="E10" s="982" t="s">
        <v>558</v>
      </c>
      <c r="F10" s="982"/>
      <c r="G10" s="982"/>
      <c r="H10" s="84" t="s">
        <v>554</v>
      </c>
      <c r="I10" s="976" t="s">
        <v>555</v>
      </c>
      <c r="J10" s="966">
        <v>4260</v>
      </c>
      <c r="K10" s="966">
        <v>9820</v>
      </c>
      <c r="L10" s="58">
        <f t="shared" si="6"/>
        <v>5560</v>
      </c>
      <c r="M10" s="976"/>
      <c r="N10" s="976"/>
      <c r="O10" s="976">
        <f t="shared" si="7"/>
        <v>5560</v>
      </c>
      <c r="P10" s="990">
        <v>1063.9135000000001</v>
      </c>
      <c r="Q10" s="967">
        <f t="shared" si="8"/>
        <v>5915359.0600000005</v>
      </c>
      <c r="R10" s="970" t="s">
        <v>5</v>
      </c>
      <c r="S10" s="147" t="s">
        <v>566</v>
      </c>
      <c r="T10" s="1493" t="s">
        <v>696</v>
      </c>
    </row>
    <row r="11" spans="1:20" s="163" customFormat="1" ht="20.100000000000001" customHeight="1">
      <c r="A11" s="520">
        <v>46163</v>
      </c>
      <c r="B11" s="1017" t="s">
        <v>264</v>
      </c>
      <c r="C11" s="1017" t="s">
        <v>440</v>
      </c>
      <c r="D11" s="1017" t="s">
        <v>274</v>
      </c>
      <c r="E11" s="1033" t="s">
        <v>553</v>
      </c>
      <c r="F11" s="1033"/>
      <c r="G11" s="1033"/>
      <c r="H11" s="481" t="s">
        <v>554</v>
      </c>
      <c r="I11" s="1028" t="s">
        <v>555</v>
      </c>
      <c r="J11" s="1017">
        <v>3960</v>
      </c>
      <c r="K11" s="1017">
        <v>8440</v>
      </c>
      <c r="L11" s="157">
        <f t="shared" si="6"/>
        <v>4480</v>
      </c>
      <c r="M11" s="1028"/>
      <c r="N11" s="1028"/>
      <c r="O11" s="1028">
        <f t="shared" si="7"/>
        <v>4480</v>
      </c>
      <c r="P11" s="1024">
        <v>1063.9135000000001</v>
      </c>
      <c r="Q11" s="1018">
        <f t="shared" si="8"/>
        <v>4766332.4800000004</v>
      </c>
      <c r="R11" s="1021" t="s">
        <v>5</v>
      </c>
      <c r="S11" s="510" t="s">
        <v>566</v>
      </c>
      <c r="T11" s="1493" t="s">
        <v>696</v>
      </c>
    </row>
    <row r="12" spans="1:20" s="163" customFormat="1" ht="20.100000000000001" customHeight="1">
      <c r="A12" s="517">
        <v>46168</v>
      </c>
      <c r="B12" s="90" t="s">
        <v>34</v>
      </c>
      <c r="C12" s="90" t="s">
        <v>17</v>
      </c>
      <c r="D12" s="90" t="s">
        <v>182</v>
      </c>
      <c r="E12" s="204" t="s">
        <v>584</v>
      </c>
      <c r="F12" s="204" t="s">
        <v>585</v>
      </c>
      <c r="G12" s="204" t="s">
        <v>586</v>
      </c>
      <c r="H12" s="88" t="s">
        <v>216</v>
      </c>
      <c r="I12" s="89" t="s">
        <v>593</v>
      </c>
      <c r="J12" s="90">
        <v>3960</v>
      </c>
      <c r="K12" s="90">
        <v>6010</v>
      </c>
      <c r="L12" s="91">
        <f t="shared" ref="L12:L17" si="9">K12-J12</f>
        <v>2050</v>
      </c>
      <c r="M12" s="89"/>
      <c r="N12" s="89"/>
      <c r="O12" s="89">
        <f t="shared" ref="O12:O17" si="10">L12</f>
        <v>2050</v>
      </c>
      <c r="P12" s="92"/>
      <c r="Q12" s="92">
        <v>200000</v>
      </c>
      <c r="R12" s="508" t="s">
        <v>5</v>
      </c>
      <c r="S12" s="139" t="s">
        <v>661</v>
      </c>
      <c r="T12" s="1463" t="s">
        <v>641</v>
      </c>
    </row>
    <row r="13" spans="1:20" s="163" customFormat="1" ht="20.100000000000001" customHeight="1">
      <c r="A13" s="1014">
        <v>46172</v>
      </c>
      <c r="B13" s="1164" t="s">
        <v>264</v>
      </c>
      <c r="C13" s="1164" t="s">
        <v>17</v>
      </c>
      <c r="D13" s="1164" t="s">
        <v>182</v>
      </c>
      <c r="E13" s="1187" t="s">
        <v>623</v>
      </c>
      <c r="F13" s="1187" t="s">
        <v>624</v>
      </c>
      <c r="G13" s="1187" t="s">
        <v>625</v>
      </c>
      <c r="H13" s="84" t="s">
        <v>627</v>
      </c>
      <c r="I13" s="1173" t="s">
        <v>207</v>
      </c>
      <c r="J13" s="1164">
        <v>9710</v>
      </c>
      <c r="K13" s="1164">
        <v>13610</v>
      </c>
      <c r="L13" s="58">
        <f t="shared" si="9"/>
        <v>3900</v>
      </c>
      <c r="M13" s="1173"/>
      <c r="N13" s="1173"/>
      <c r="O13" s="1173">
        <f t="shared" si="10"/>
        <v>3900</v>
      </c>
      <c r="P13" s="1170">
        <v>0</v>
      </c>
      <c r="Q13" s="1170">
        <f t="shared" ref="Q13:Q18" si="11">O13*P13</f>
        <v>0</v>
      </c>
      <c r="R13" s="1162" t="s">
        <v>5</v>
      </c>
      <c r="S13" s="147" t="s">
        <v>308</v>
      </c>
      <c r="T13" s="110"/>
    </row>
    <row r="14" spans="1:20" s="163" customFormat="1" ht="20.100000000000001" customHeight="1">
      <c r="A14" s="520">
        <v>46172</v>
      </c>
      <c r="B14" s="1165" t="s">
        <v>264</v>
      </c>
      <c r="C14" s="1165" t="s">
        <v>17</v>
      </c>
      <c r="D14" s="1165" t="s">
        <v>182</v>
      </c>
      <c r="E14" s="1188" t="s">
        <v>66</v>
      </c>
      <c r="F14" s="1188" t="s">
        <v>628</v>
      </c>
      <c r="G14" s="1188" t="s">
        <v>629</v>
      </c>
      <c r="H14" s="481" t="s">
        <v>626</v>
      </c>
      <c r="I14" s="1181" t="s">
        <v>446</v>
      </c>
      <c r="J14" s="1165">
        <v>9360</v>
      </c>
      <c r="K14" s="1165">
        <v>13250</v>
      </c>
      <c r="L14" s="157">
        <f t="shared" si="9"/>
        <v>3890</v>
      </c>
      <c r="M14" s="1181"/>
      <c r="N14" s="1181"/>
      <c r="O14" s="1181">
        <f t="shared" si="10"/>
        <v>3890</v>
      </c>
      <c r="P14" s="1171">
        <v>0</v>
      </c>
      <c r="Q14" s="1171">
        <f t="shared" si="11"/>
        <v>0</v>
      </c>
      <c r="R14" s="1163" t="s">
        <v>5</v>
      </c>
      <c r="S14" s="510" t="s">
        <v>308</v>
      </c>
      <c r="T14" s="110"/>
    </row>
    <row r="15" spans="1:20" s="163" customFormat="1" ht="20.100000000000001" customHeight="1">
      <c r="A15" s="87">
        <v>46174</v>
      </c>
      <c r="B15" s="90" t="s">
        <v>264</v>
      </c>
      <c r="C15" s="90" t="s">
        <v>262</v>
      </c>
      <c r="D15" s="90" t="s">
        <v>263</v>
      </c>
      <c r="E15" s="204" t="s">
        <v>228</v>
      </c>
      <c r="F15" s="204"/>
      <c r="G15" s="204"/>
      <c r="H15" s="88" t="s">
        <v>229</v>
      </c>
      <c r="I15" s="89" t="s">
        <v>43</v>
      </c>
      <c r="J15" s="90">
        <v>13390</v>
      </c>
      <c r="K15" s="90">
        <v>15740</v>
      </c>
      <c r="L15" s="91">
        <f t="shared" si="9"/>
        <v>2350</v>
      </c>
      <c r="M15" s="89"/>
      <c r="N15" s="89"/>
      <c r="O15" s="89">
        <f t="shared" si="10"/>
        <v>2350</v>
      </c>
      <c r="P15" s="92">
        <v>19950</v>
      </c>
      <c r="Q15" s="92">
        <f t="shared" si="11"/>
        <v>46882500</v>
      </c>
      <c r="R15" s="508" t="s">
        <v>5</v>
      </c>
      <c r="S15" s="139" t="s">
        <v>634</v>
      </c>
      <c r="T15" s="1246" t="s">
        <v>644</v>
      </c>
    </row>
    <row r="16" spans="1:20" s="163" customFormat="1" ht="20.100000000000001" customHeight="1">
      <c r="A16" s="87">
        <v>46183</v>
      </c>
      <c r="B16" s="124" t="s">
        <v>685</v>
      </c>
      <c r="C16" s="90" t="s">
        <v>17</v>
      </c>
      <c r="D16" s="90" t="s">
        <v>686</v>
      </c>
      <c r="E16" s="204" t="s">
        <v>687</v>
      </c>
      <c r="F16" s="204"/>
      <c r="G16" s="204"/>
      <c r="H16" s="88" t="s">
        <v>688</v>
      </c>
      <c r="I16" s="89" t="s">
        <v>689</v>
      </c>
      <c r="J16" s="90">
        <v>1150</v>
      </c>
      <c r="K16" s="90">
        <v>1210</v>
      </c>
      <c r="L16" s="91">
        <f t="shared" si="9"/>
        <v>60</v>
      </c>
      <c r="M16" s="89"/>
      <c r="N16" s="89"/>
      <c r="O16" s="89">
        <f t="shared" si="10"/>
        <v>60</v>
      </c>
      <c r="P16" s="92"/>
      <c r="Q16" s="92">
        <f t="shared" si="11"/>
        <v>0</v>
      </c>
      <c r="R16" s="508" t="s">
        <v>5</v>
      </c>
      <c r="S16" s="139" t="s">
        <v>690</v>
      </c>
      <c r="T16" s="110"/>
    </row>
    <row r="17" spans="1:20" s="163" customFormat="1" ht="20.100000000000001" customHeight="1">
      <c r="A17" s="87">
        <v>46183</v>
      </c>
      <c r="B17" s="90" t="s">
        <v>231</v>
      </c>
      <c r="C17" s="90" t="s">
        <v>691</v>
      </c>
      <c r="D17" s="90" t="s">
        <v>87</v>
      </c>
      <c r="E17" s="204" t="s">
        <v>310</v>
      </c>
      <c r="F17" s="204" t="s">
        <v>693</v>
      </c>
      <c r="G17" s="204" t="s">
        <v>694</v>
      </c>
      <c r="H17" s="88" t="s">
        <v>692</v>
      </c>
      <c r="I17" s="89" t="s">
        <v>695</v>
      </c>
      <c r="J17" s="90">
        <v>1960</v>
      </c>
      <c r="K17" s="90">
        <v>3130</v>
      </c>
      <c r="L17" s="91">
        <f t="shared" si="9"/>
        <v>1170</v>
      </c>
      <c r="M17" s="89"/>
      <c r="N17" s="89"/>
      <c r="O17" s="89">
        <f t="shared" si="10"/>
        <v>1170</v>
      </c>
      <c r="P17" s="92">
        <v>1500</v>
      </c>
      <c r="Q17" s="92">
        <f t="shared" si="11"/>
        <v>1755000</v>
      </c>
      <c r="R17" s="508" t="s">
        <v>5</v>
      </c>
      <c r="S17" s="139"/>
      <c r="T17" s="1644" t="s">
        <v>720</v>
      </c>
    </row>
    <row r="18" spans="1:20" s="163" customFormat="1" ht="20.100000000000001" customHeight="1">
      <c r="A18" s="87">
        <v>46196</v>
      </c>
      <c r="B18" s="90" t="s">
        <v>34</v>
      </c>
      <c r="C18" s="90" t="s">
        <v>17</v>
      </c>
      <c r="D18" s="90" t="s">
        <v>182</v>
      </c>
      <c r="E18" s="204" t="s">
        <v>16</v>
      </c>
      <c r="F18" s="204" t="s">
        <v>736</v>
      </c>
      <c r="G18" s="204" t="s">
        <v>737</v>
      </c>
      <c r="H18" s="88" t="s">
        <v>211</v>
      </c>
      <c r="I18" s="89" t="s">
        <v>212</v>
      </c>
      <c r="J18" s="90">
        <v>8030</v>
      </c>
      <c r="K18" s="90">
        <v>9110</v>
      </c>
      <c r="L18" s="91">
        <f>K18-J18</f>
        <v>1080</v>
      </c>
      <c r="M18" s="89"/>
      <c r="N18" s="89"/>
      <c r="O18" s="89">
        <f>L18</f>
        <v>1080</v>
      </c>
      <c r="P18" s="92">
        <v>230</v>
      </c>
      <c r="Q18" s="92">
        <f t="shared" si="11"/>
        <v>248400</v>
      </c>
      <c r="R18" s="508" t="s">
        <v>5</v>
      </c>
      <c r="S18" s="139"/>
      <c r="T18" s="1644" t="s">
        <v>747</v>
      </c>
    </row>
    <row r="19" spans="1:20" ht="21.95" customHeight="1">
      <c r="A19" s="155"/>
      <c r="B19" s="375"/>
      <c r="C19" s="896"/>
      <c r="D19" s="896"/>
      <c r="E19" s="100"/>
      <c r="F19" s="903"/>
      <c r="G19" s="903"/>
      <c r="H19" s="100"/>
      <c r="I19" s="156"/>
      <c r="J19" s="156"/>
      <c r="K19" s="52"/>
      <c r="L19" s="53"/>
      <c r="M19" s="156"/>
      <c r="N19" s="52"/>
      <c r="O19" s="52"/>
      <c r="P19" s="52"/>
      <c r="Q19" s="156"/>
      <c r="R19" s="54"/>
      <c r="S19" s="97"/>
      <c r="T19" s="41"/>
    </row>
    <row r="20" spans="1:20" ht="30" customHeight="1">
      <c r="A20" s="72"/>
      <c r="B20" s="75"/>
      <c r="C20" s="75"/>
      <c r="D20" s="75"/>
      <c r="E20" s="73"/>
      <c r="F20" s="73"/>
      <c r="G20" s="73"/>
      <c r="H20" s="74"/>
      <c r="I20" s="75"/>
      <c r="J20" s="75"/>
      <c r="K20" s="75"/>
      <c r="L20" s="11">
        <f>SUBTOTAL(9,L3:L19)</f>
        <v>64180</v>
      </c>
      <c r="M20" s="76"/>
      <c r="N20" s="77"/>
      <c r="O20" s="76"/>
      <c r="P20" s="77"/>
      <c r="Q20" s="66">
        <f>SUBTOTAL(9,Q3:Q19)</f>
        <v>107861899.67</v>
      </c>
      <c r="R20" s="74"/>
      <c r="S20" s="74"/>
    </row>
    <row r="21" spans="1:20" ht="21.95" customHeight="1">
      <c r="A21" s="4"/>
      <c r="B21" s="7"/>
      <c r="C21" s="7"/>
      <c r="D21" s="7"/>
      <c r="E21" s="5"/>
      <c r="F21" s="5"/>
      <c r="G21" s="5"/>
      <c r="H21" s="5"/>
      <c r="I21" s="7"/>
      <c r="J21" s="7"/>
      <c r="K21" s="7"/>
      <c r="L21" s="7"/>
      <c r="M21" s="7"/>
      <c r="N21" s="6"/>
      <c r="O21" s="6"/>
      <c r="P21" s="5"/>
      <c r="Q21" s="5"/>
      <c r="R21" s="5"/>
      <c r="S21" s="5"/>
    </row>
    <row r="22" spans="1:20" ht="21.95" customHeight="1">
      <c r="A22" s="4"/>
      <c r="B22" s="7"/>
      <c r="C22" s="7"/>
      <c r="D22" s="7"/>
      <c r="E22" s="5"/>
      <c r="F22" s="5"/>
      <c r="G22" s="5"/>
      <c r="H22" s="5"/>
      <c r="I22" s="7"/>
      <c r="J22" s="7"/>
      <c r="K22" s="7"/>
      <c r="L22" s="7"/>
      <c r="M22" s="7"/>
      <c r="N22" s="5"/>
      <c r="O22" s="5"/>
      <c r="P22" s="5"/>
      <c r="Q22" s="5"/>
      <c r="R22" s="5"/>
      <c r="S22" s="5"/>
    </row>
    <row r="23" spans="1:20" ht="21.95" customHeight="1">
      <c r="A23" s="4"/>
      <c r="B23" s="7"/>
      <c r="C23" s="7"/>
      <c r="D23" s="7"/>
      <c r="E23" s="5"/>
      <c r="F23" s="5"/>
      <c r="G23" s="5"/>
      <c r="H23" s="5"/>
      <c r="I23" s="7"/>
      <c r="J23" s="7"/>
      <c r="K23" s="7"/>
      <c r="L23" s="7"/>
      <c r="M23" s="7"/>
      <c r="N23" s="5"/>
      <c r="O23" s="5"/>
      <c r="P23" s="5"/>
      <c r="Q23" s="112"/>
      <c r="R23" s="5"/>
      <c r="S23" s="5"/>
    </row>
    <row r="24" spans="1:20" ht="21.95" customHeight="1">
      <c r="A24" s="4"/>
      <c r="B24" s="7"/>
      <c r="C24" s="7"/>
      <c r="D24" s="7"/>
      <c r="E24" s="5"/>
      <c r="F24" s="5"/>
      <c r="G24" s="5"/>
      <c r="H24" s="5"/>
      <c r="I24" s="7"/>
      <c r="J24" s="7"/>
      <c r="K24" s="7"/>
      <c r="L24" s="7"/>
      <c r="M24" s="7"/>
      <c r="N24" s="7"/>
      <c r="O24" s="5"/>
      <c r="P24" s="7"/>
      <c r="Q24" s="7"/>
      <c r="R24" s="5"/>
      <c r="S24" s="5"/>
    </row>
    <row r="25" spans="1:20" ht="21.95" customHeight="1">
      <c r="A25" s="4"/>
      <c r="B25" s="7"/>
      <c r="C25" s="7"/>
      <c r="D25" s="7"/>
      <c r="E25" s="5"/>
      <c r="F25" s="5"/>
      <c r="G25" s="5"/>
      <c r="H25" s="5"/>
      <c r="I25" s="7"/>
      <c r="J25" s="7"/>
      <c r="K25" s="7"/>
      <c r="L25" s="7"/>
      <c r="M25" s="7"/>
      <c r="N25" s="7"/>
      <c r="O25" s="5"/>
      <c r="P25" s="5"/>
      <c r="Q25" s="5"/>
      <c r="R25" s="5"/>
      <c r="S25" s="5"/>
    </row>
    <row r="26" spans="1:20" ht="21.95" customHeight="1">
      <c r="A26" s="4"/>
      <c r="B26" s="7"/>
      <c r="C26" s="7"/>
      <c r="D26" s="7"/>
      <c r="E26" s="5"/>
      <c r="F26" s="5"/>
      <c r="G26" s="5"/>
      <c r="H26" s="5"/>
      <c r="I26" s="7"/>
      <c r="J26" s="7"/>
      <c r="K26" s="7"/>
      <c r="L26" s="7"/>
      <c r="M26" s="7"/>
      <c r="N26" s="5"/>
      <c r="O26" s="5"/>
      <c r="P26" s="5"/>
      <c r="Q26" s="5"/>
      <c r="R26" s="5"/>
      <c r="S26" s="5"/>
    </row>
    <row r="27" spans="1:20" ht="21.95" customHeight="1">
      <c r="A27" s="4"/>
      <c r="B27" s="7"/>
      <c r="C27" s="7"/>
      <c r="D27" s="7"/>
      <c r="E27" s="5"/>
      <c r="F27" s="5"/>
      <c r="G27" s="5"/>
      <c r="H27" s="5"/>
      <c r="I27" s="7"/>
      <c r="J27" s="7"/>
      <c r="K27" s="7"/>
      <c r="L27" s="7"/>
      <c r="M27" s="7"/>
      <c r="N27" s="5"/>
      <c r="O27" s="5"/>
      <c r="P27" s="5"/>
      <c r="Q27" s="7"/>
      <c r="R27" s="5"/>
      <c r="S27" s="5"/>
    </row>
    <row r="28" spans="1:20" ht="21.95" customHeight="1">
      <c r="A28" s="4"/>
      <c r="B28" s="7"/>
      <c r="C28" s="7"/>
      <c r="D28" s="7"/>
      <c r="E28" s="5"/>
      <c r="F28" s="5"/>
      <c r="G28" s="5"/>
      <c r="H28" s="5"/>
      <c r="I28" s="7"/>
      <c r="J28" s="7"/>
      <c r="K28" s="7"/>
      <c r="L28" s="7"/>
      <c r="M28" s="7"/>
      <c r="N28" s="5"/>
      <c r="O28" s="5"/>
      <c r="P28" s="5"/>
      <c r="Q28" s="5"/>
      <c r="R28" s="5"/>
      <c r="S28" s="5"/>
    </row>
    <row r="29" spans="1:20" ht="21.95" customHeight="1">
      <c r="A29" s="4"/>
      <c r="B29" s="7"/>
      <c r="C29" s="7"/>
      <c r="D29" s="7"/>
      <c r="E29" s="5"/>
      <c r="F29" s="5"/>
      <c r="G29" s="5"/>
      <c r="H29" s="5"/>
      <c r="I29" s="7"/>
      <c r="J29" s="7"/>
      <c r="K29" s="7"/>
      <c r="L29" s="7"/>
      <c r="M29" s="7"/>
      <c r="N29" s="5"/>
      <c r="O29" s="5"/>
      <c r="P29" s="5"/>
      <c r="Q29" s="5"/>
      <c r="R29" s="5"/>
      <c r="S29" s="5"/>
    </row>
    <row r="30" spans="1:20" ht="21.95" customHeight="1">
      <c r="A30" s="4"/>
      <c r="B30" s="7"/>
      <c r="C30" s="7"/>
      <c r="D30" s="7"/>
      <c r="E30" s="5"/>
      <c r="F30" s="5"/>
      <c r="G30" s="5"/>
      <c r="H30" s="5"/>
      <c r="I30" s="7"/>
      <c r="J30" s="7"/>
      <c r="K30" s="7"/>
      <c r="L30" s="7"/>
      <c r="M30" s="7"/>
      <c r="N30" s="5"/>
      <c r="O30" s="5"/>
      <c r="P30" s="5"/>
      <c r="Q30" s="5"/>
      <c r="R30" s="5"/>
      <c r="S30" s="5"/>
    </row>
    <row r="31" spans="1:20" ht="21.95" customHeight="1">
      <c r="A31" s="4"/>
      <c r="B31" s="7"/>
      <c r="C31" s="7"/>
      <c r="D31" s="7"/>
      <c r="E31" s="5"/>
      <c r="F31" s="5"/>
      <c r="G31" s="5"/>
      <c r="H31" s="5"/>
      <c r="I31" s="7"/>
      <c r="J31" s="7"/>
      <c r="K31" s="7"/>
      <c r="L31" s="7"/>
      <c r="M31" s="7"/>
      <c r="N31" s="5"/>
      <c r="O31" s="5"/>
      <c r="P31" s="5"/>
      <c r="Q31" s="5"/>
      <c r="R31" s="5"/>
      <c r="S31" s="5"/>
    </row>
    <row r="32" spans="1:20" ht="21.95" customHeight="1">
      <c r="A32" s="4"/>
      <c r="B32" s="7"/>
      <c r="C32" s="7"/>
      <c r="D32" s="7"/>
      <c r="E32" s="5"/>
      <c r="F32" s="5"/>
      <c r="G32" s="5"/>
      <c r="H32" s="5"/>
      <c r="I32" s="7"/>
      <c r="J32" s="7"/>
      <c r="K32" s="7"/>
      <c r="L32" s="7"/>
      <c r="M32" s="7"/>
      <c r="N32" s="5"/>
      <c r="O32" s="5"/>
      <c r="P32" s="5"/>
      <c r="Q32" s="5"/>
      <c r="R32" s="5"/>
      <c r="S32" s="5"/>
    </row>
    <row r="33" spans="1:19" ht="21.95" customHeight="1">
      <c r="A33" s="4"/>
      <c r="B33" s="7"/>
      <c r="C33" s="7"/>
      <c r="D33" s="7"/>
      <c r="E33" s="5"/>
      <c r="F33" s="5"/>
      <c r="G33" s="5"/>
      <c r="H33" s="5"/>
      <c r="I33" s="7"/>
      <c r="J33" s="7"/>
      <c r="K33" s="7"/>
      <c r="L33" s="7"/>
      <c r="M33" s="7"/>
      <c r="N33" s="5"/>
      <c r="O33" s="5"/>
      <c r="P33" s="5"/>
      <c r="Q33" s="5"/>
      <c r="R33" s="5"/>
      <c r="S33" s="5"/>
    </row>
    <row r="34" spans="1:19" ht="21.95" customHeight="1">
      <c r="A34" s="4"/>
      <c r="B34" s="7"/>
      <c r="C34" s="7"/>
      <c r="D34" s="7"/>
      <c r="E34" s="5"/>
      <c r="F34" s="5"/>
      <c r="G34" s="5"/>
      <c r="H34" s="5"/>
      <c r="I34" s="7"/>
      <c r="J34" s="7"/>
      <c r="K34" s="7"/>
      <c r="L34" s="7"/>
      <c r="M34" s="7"/>
      <c r="N34" s="5"/>
      <c r="O34" s="5"/>
      <c r="P34" s="5"/>
      <c r="Q34" s="5"/>
      <c r="R34" s="5"/>
      <c r="S34" s="5"/>
    </row>
    <row r="35" spans="1:19" ht="21.95" customHeight="1">
      <c r="A35" s="4"/>
      <c r="B35" s="7"/>
      <c r="C35" s="7"/>
      <c r="D35" s="7"/>
      <c r="E35" s="5"/>
      <c r="F35" s="5"/>
      <c r="G35" s="5"/>
      <c r="H35" s="5"/>
      <c r="I35" s="7"/>
      <c r="J35" s="7"/>
      <c r="K35" s="7"/>
      <c r="L35" s="7"/>
      <c r="M35" s="7"/>
      <c r="N35" s="5"/>
      <c r="O35" s="5"/>
      <c r="P35" s="5"/>
      <c r="Q35" s="5"/>
      <c r="R35" s="5"/>
      <c r="S35" s="5"/>
    </row>
    <row r="36" spans="1:19" ht="21.95" customHeight="1">
      <c r="A36" s="4"/>
      <c r="B36" s="7"/>
      <c r="C36" s="7"/>
      <c r="D36" s="7"/>
      <c r="E36" s="5"/>
      <c r="F36" s="5"/>
      <c r="G36" s="5"/>
      <c r="H36" s="5"/>
      <c r="I36" s="7"/>
      <c r="J36" s="7"/>
      <c r="K36" s="7"/>
      <c r="L36" s="7"/>
      <c r="M36" s="7"/>
      <c r="N36" s="5"/>
      <c r="O36" s="5"/>
      <c r="P36" s="5"/>
      <c r="Q36" s="5"/>
      <c r="R36" s="5"/>
      <c r="S36" s="5"/>
    </row>
    <row r="37" spans="1:19" ht="21.95" customHeight="1">
      <c r="A37" s="4"/>
      <c r="B37" s="7"/>
      <c r="C37" s="7"/>
      <c r="D37" s="7"/>
      <c r="E37" s="5"/>
      <c r="F37" s="5"/>
      <c r="G37" s="5"/>
      <c r="H37" s="5"/>
      <c r="I37" s="7"/>
      <c r="J37" s="7"/>
      <c r="K37" s="7"/>
      <c r="L37" s="7"/>
      <c r="M37" s="7"/>
      <c r="N37" s="5"/>
      <c r="O37" s="5"/>
      <c r="P37" s="5"/>
      <c r="Q37" s="5"/>
      <c r="R37" s="5"/>
      <c r="S37" s="5"/>
    </row>
    <row r="38" spans="1:19" ht="21.95" customHeight="1">
      <c r="A38" s="4"/>
      <c r="B38" s="7"/>
      <c r="C38" s="7"/>
      <c r="D38" s="7"/>
      <c r="E38" s="5"/>
      <c r="F38" s="5"/>
      <c r="G38" s="5"/>
      <c r="H38" s="5"/>
      <c r="I38" s="7"/>
      <c r="J38" s="7"/>
      <c r="K38" s="7"/>
      <c r="L38" s="7"/>
      <c r="M38" s="7"/>
      <c r="N38" s="5"/>
      <c r="O38" s="5"/>
      <c r="P38" s="5"/>
      <c r="Q38" s="5"/>
      <c r="R38" s="5"/>
      <c r="S38" s="5"/>
    </row>
    <row r="39" spans="1:19" ht="21.95" customHeight="1">
      <c r="A39" s="4"/>
      <c r="B39" s="7"/>
      <c r="C39" s="7"/>
      <c r="D39" s="7"/>
      <c r="E39" s="5"/>
      <c r="F39" s="5"/>
      <c r="G39" s="5"/>
      <c r="H39" s="5"/>
      <c r="I39" s="7"/>
      <c r="J39" s="7"/>
      <c r="K39" s="7"/>
      <c r="L39" s="7"/>
      <c r="M39" s="7"/>
      <c r="N39" s="5"/>
      <c r="O39" s="5"/>
      <c r="P39" s="5"/>
      <c r="Q39" s="5"/>
      <c r="R39" s="5"/>
      <c r="S39" s="5"/>
    </row>
    <row r="40" spans="1:19" ht="21.95" customHeight="1">
      <c r="A40" s="4"/>
      <c r="B40" s="7"/>
      <c r="C40" s="7"/>
      <c r="D40" s="7"/>
      <c r="E40" s="5"/>
      <c r="F40" s="5"/>
      <c r="G40" s="5"/>
      <c r="H40" s="5"/>
      <c r="I40" s="7"/>
      <c r="J40" s="7"/>
      <c r="K40" s="7"/>
      <c r="L40" s="7"/>
      <c r="M40" s="7"/>
      <c r="N40" s="5"/>
      <c r="O40" s="5"/>
      <c r="P40" s="5"/>
      <c r="Q40" s="5"/>
      <c r="R40" s="5"/>
      <c r="S40" s="5"/>
    </row>
    <row r="41" spans="1:19" ht="21.95" customHeight="1">
      <c r="A41" s="4"/>
      <c r="B41" s="7"/>
      <c r="C41" s="7"/>
      <c r="D41" s="7"/>
      <c r="E41" s="5"/>
      <c r="F41" s="5"/>
      <c r="G41" s="5"/>
      <c r="H41" s="5"/>
      <c r="I41" s="7"/>
      <c r="J41" s="7"/>
      <c r="K41" s="7"/>
      <c r="L41" s="7"/>
      <c r="M41" s="7"/>
      <c r="N41" s="5"/>
      <c r="O41" s="5"/>
      <c r="P41" s="5"/>
      <c r="Q41" s="5"/>
      <c r="R41" s="5"/>
      <c r="S41" s="5"/>
    </row>
    <row r="42" spans="1:19" ht="21.95" customHeight="1">
      <c r="A42" s="4"/>
      <c r="B42" s="7"/>
      <c r="C42" s="7"/>
      <c r="D42" s="7"/>
      <c r="E42" s="5"/>
      <c r="F42" s="5"/>
      <c r="G42" s="5"/>
      <c r="H42" s="5"/>
      <c r="I42" s="7"/>
      <c r="J42" s="7"/>
      <c r="K42" s="7"/>
      <c r="L42" s="7"/>
      <c r="M42" s="7"/>
      <c r="N42" s="5"/>
      <c r="O42" s="5"/>
      <c r="P42" s="5"/>
      <c r="Q42" s="5"/>
      <c r="R42" s="5"/>
      <c r="S42" s="5"/>
    </row>
    <row r="43" spans="1:19" ht="21.95" customHeight="1">
      <c r="A43" s="4"/>
      <c r="B43" s="7"/>
      <c r="C43" s="7"/>
      <c r="D43" s="7"/>
      <c r="E43" s="5"/>
      <c r="F43" s="5"/>
      <c r="G43" s="5"/>
      <c r="H43" s="5"/>
      <c r="I43" s="7"/>
      <c r="J43" s="7"/>
      <c r="K43" s="7"/>
      <c r="L43" s="7"/>
      <c r="M43" s="7"/>
      <c r="N43" s="5"/>
      <c r="O43" s="5"/>
      <c r="P43" s="5"/>
      <c r="Q43" s="5"/>
      <c r="R43" s="5"/>
      <c r="S43" s="5"/>
    </row>
    <row r="44" spans="1:19" ht="21.95" customHeight="1">
      <c r="A44" s="4"/>
      <c r="B44" s="81"/>
      <c r="C44" s="81"/>
      <c r="D44" s="81"/>
      <c r="E44" s="5"/>
      <c r="F44" s="5"/>
      <c r="G44" s="5"/>
      <c r="H44" s="5"/>
      <c r="I44" s="7"/>
      <c r="J44" s="7"/>
      <c r="K44" s="7"/>
      <c r="L44" s="7"/>
      <c r="M44" s="7"/>
      <c r="N44" s="5"/>
      <c r="O44" s="5"/>
      <c r="P44" s="5"/>
      <c r="Q44" s="5"/>
      <c r="R44" s="5"/>
      <c r="S44" s="5"/>
    </row>
    <row r="45" spans="1:19" ht="21.95" customHeight="1">
      <c r="A45" s="4"/>
      <c r="B45" s="7"/>
      <c r="C45" s="7"/>
      <c r="D45" s="7"/>
      <c r="E45" s="5"/>
      <c r="F45" s="5"/>
      <c r="G45" s="5"/>
      <c r="H45" s="5"/>
      <c r="I45" s="7"/>
      <c r="J45" s="7"/>
      <c r="K45" s="7"/>
      <c r="L45" s="7"/>
      <c r="M45" s="7"/>
      <c r="N45" s="5"/>
      <c r="O45" s="5"/>
      <c r="P45" s="5"/>
      <c r="Q45" s="5"/>
      <c r="R45" s="5"/>
      <c r="S45" s="5"/>
    </row>
    <row r="46" spans="1:19" ht="21.95" customHeight="1">
      <c r="A46" s="4"/>
      <c r="B46" s="7"/>
      <c r="C46" s="7"/>
      <c r="D46" s="7"/>
      <c r="E46" s="5"/>
      <c r="F46" s="5"/>
      <c r="G46" s="5"/>
      <c r="H46" s="5"/>
      <c r="I46" s="7"/>
      <c r="J46" s="7"/>
      <c r="K46" s="7"/>
      <c r="L46" s="7"/>
      <c r="M46" s="7"/>
      <c r="N46" s="5"/>
      <c r="O46" s="5"/>
      <c r="P46" s="5"/>
      <c r="Q46" s="5"/>
      <c r="R46" s="5"/>
      <c r="S46" s="5"/>
    </row>
    <row r="47" spans="1:19" ht="21.95" customHeight="1">
      <c r="A47" s="4"/>
      <c r="B47" s="7"/>
      <c r="C47" s="7"/>
      <c r="D47" s="7"/>
      <c r="E47" s="5"/>
      <c r="F47" s="5"/>
      <c r="G47" s="5"/>
      <c r="H47" s="5"/>
      <c r="I47" s="7"/>
      <c r="J47" s="7"/>
      <c r="K47" s="7"/>
      <c r="L47" s="7"/>
      <c r="M47" s="7"/>
      <c r="N47" s="5"/>
      <c r="O47" s="5"/>
      <c r="P47" s="5"/>
      <c r="Q47" s="5"/>
      <c r="R47" s="5"/>
      <c r="S47" s="5"/>
    </row>
    <row r="48" spans="1:19" ht="21.95" customHeight="1">
      <c r="A48" s="4"/>
      <c r="B48" s="7"/>
      <c r="C48" s="7"/>
      <c r="D48" s="7"/>
      <c r="E48" s="5"/>
      <c r="F48" s="5"/>
      <c r="G48" s="5"/>
      <c r="H48" s="5"/>
      <c r="I48" s="7"/>
      <c r="J48" s="7"/>
      <c r="K48" s="7"/>
      <c r="L48" s="7"/>
      <c r="M48" s="7"/>
      <c r="N48" s="5"/>
      <c r="O48" s="5"/>
      <c r="P48" s="5"/>
      <c r="Q48" s="5"/>
      <c r="R48" s="5"/>
      <c r="S48" s="5"/>
    </row>
    <row r="49" spans="1:19">
      <c r="A49" s="4"/>
      <c r="B49" s="7"/>
      <c r="C49" s="7"/>
      <c r="D49" s="7"/>
      <c r="E49" s="5"/>
      <c r="F49" s="5"/>
      <c r="G49" s="5"/>
      <c r="H49" s="5"/>
      <c r="I49" s="7"/>
      <c r="J49" s="7"/>
      <c r="K49" s="7"/>
      <c r="L49" s="7"/>
      <c r="M49" s="7"/>
      <c r="N49" s="5"/>
      <c r="O49" s="5"/>
      <c r="P49" s="5"/>
      <c r="Q49" s="5"/>
      <c r="R49" s="5"/>
      <c r="S49" s="5"/>
    </row>
    <row r="50" spans="1:19">
      <c r="A50" s="4"/>
      <c r="B50" s="7"/>
      <c r="C50" s="7"/>
      <c r="D50" s="7"/>
      <c r="E50" s="5"/>
      <c r="F50" s="5"/>
      <c r="G50" s="5"/>
      <c r="H50" s="5"/>
      <c r="I50" s="7"/>
      <c r="J50" s="7"/>
      <c r="K50" s="7"/>
      <c r="L50" s="7"/>
      <c r="M50" s="7"/>
      <c r="N50" s="5"/>
      <c r="O50" s="5"/>
      <c r="P50" s="5"/>
      <c r="Q50" s="5"/>
      <c r="R50" s="5"/>
      <c r="S50" s="5"/>
    </row>
    <row r="51" spans="1:19">
      <c r="A51" s="4"/>
      <c r="B51" s="7"/>
      <c r="C51" s="7"/>
      <c r="D51" s="7"/>
      <c r="E51" s="5"/>
      <c r="F51" s="5"/>
      <c r="G51" s="5"/>
      <c r="H51" s="5"/>
      <c r="I51" s="7"/>
      <c r="J51" s="7"/>
      <c r="K51" s="7"/>
      <c r="L51" s="7"/>
      <c r="M51" s="7"/>
      <c r="N51" s="5"/>
      <c r="O51" s="5"/>
      <c r="P51" s="5"/>
      <c r="Q51" s="5"/>
      <c r="R51" s="5"/>
      <c r="S51" s="5"/>
    </row>
    <row r="52" spans="1:19">
      <c r="A52" s="4"/>
      <c r="B52" s="7"/>
      <c r="C52" s="7"/>
      <c r="D52" s="7"/>
      <c r="E52" s="5"/>
      <c r="F52" s="5"/>
      <c r="G52" s="5"/>
      <c r="H52" s="5"/>
      <c r="I52" s="7"/>
      <c r="J52" s="7"/>
      <c r="K52" s="7"/>
      <c r="L52" s="7"/>
      <c r="M52" s="7"/>
      <c r="N52" s="5"/>
      <c r="O52" s="5"/>
      <c r="P52" s="5"/>
      <c r="Q52" s="5"/>
      <c r="R52" s="5"/>
      <c r="S52" s="5"/>
    </row>
    <row r="53" spans="1:19">
      <c r="A53" s="4"/>
      <c r="B53" s="7"/>
      <c r="C53" s="7"/>
      <c r="D53" s="7"/>
      <c r="E53" s="5"/>
      <c r="F53" s="5"/>
      <c r="G53" s="5"/>
      <c r="H53" s="5"/>
      <c r="I53" s="7"/>
      <c r="J53" s="7"/>
      <c r="K53" s="7"/>
      <c r="L53" s="7"/>
      <c r="M53" s="7"/>
      <c r="N53" s="5"/>
      <c r="O53" s="5"/>
      <c r="P53" s="5"/>
      <c r="Q53" s="5"/>
      <c r="R53" s="5"/>
      <c r="S53" s="5"/>
    </row>
    <row r="54" spans="1:19">
      <c r="A54" s="4"/>
      <c r="B54" s="7"/>
      <c r="C54" s="7"/>
      <c r="D54" s="7"/>
      <c r="E54" s="5"/>
      <c r="F54" s="5"/>
      <c r="G54" s="5"/>
      <c r="H54" s="5"/>
      <c r="I54" s="7"/>
      <c r="J54" s="7"/>
      <c r="K54" s="7"/>
      <c r="L54" s="7"/>
      <c r="M54" s="7"/>
      <c r="N54" s="5"/>
      <c r="O54" s="5"/>
      <c r="P54" s="5"/>
      <c r="Q54" s="5"/>
      <c r="R54" s="5"/>
      <c r="S54" s="5"/>
    </row>
    <row r="55" spans="1:19">
      <c r="A55" s="4"/>
      <c r="B55" s="7"/>
      <c r="C55" s="7"/>
      <c r="D55" s="7"/>
      <c r="E55" s="5"/>
      <c r="F55" s="5"/>
      <c r="G55" s="5"/>
      <c r="H55" s="5"/>
      <c r="I55" s="7"/>
      <c r="J55" s="7"/>
      <c r="K55" s="7"/>
      <c r="L55" s="7"/>
      <c r="M55" s="7"/>
      <c r="N55" s="5"/>
      <c r="O55" s="5"/>
      <c r="P55" s="5"/>
      <c r="Q55" s="5"/>
      <c r="R55" s="5"/>
      <c r="S55" s="5"/>
    </row>
    <row r="56" spans="1:19">
      <c r="A56" s="4"/>
      <c r="B56" s="7"/>
      <c r="C56" s="7"/>
      <c r="D56" s="7"/>
      <c r="E56" s="5"/>
      <c r="F56" s="5"/>
      <c r="G56" s="5"/>
      <c r="H56" s="5"/>
      <c r="I56" s="7"/>
      <c r="J56" s="7"/>
      <c r="K56" s="7"/>
      <c r="L56" s="7"/>
      <c r="M56" s="7"/>
      <c r="N56" s="5"/>
      <c r="O56" s="5"/>
      <c r="P56" s="5"/>
      <c r="Q56" s="5"/>
      <c r="R56" s="5"/>
      <c r="S56" s="5"/>
    </row>
    <row r="57" spans="1:19">
      <c r="A57" s="4"/>
      <c r="B57" s="7"/>
      <c r="C57" s="7"/>
      <c r="D57" s="7"/>
      <c r="E57" s="5"/>
      <c r="F57" s="5"/>
      <c r="G57" s="5"/>
      <c r="H57" s="5"/>
      <c r="I57" s="7"/>
      <c r="J57" s="7"/>
      <c r="K57" s="7"/>
      <c r="L57" s="7"/>
      <c r="M57" s="7"/>
      <c r="N57" s="5"/>
      <c r="O57" s="5"/>
      <c r="P57" s="5"/>
      <c r="Q57" s="5"/>
      <c r="R57" s="5"/>
      <c r="S57" s="5"/>
    </row>
    <row r="58" spans="1:19">
      <c r="A58" s="4"/>
      <c r="B58" s="7"/>
      <c r="C58" s="7"/>
      <c r="D58" s="7"/>
      <c r="E58" s="5"/>
      <c r="F58" s="5"/>
      <c r="G58" s="5"/>
      <c r="H58" s="5"/>
      <c r="I58" s="7"/>
      <c r="J58" s="7"/>
      <c r="K58" s="7"/>
      <c r="L58" s="7"/>
      <c r="M58" s="7"/>
      <c r="N58" s="5"/>
      <c r="O58" s="5"/>
      <c r="P58" s="5"/>
      <c r="Q58" s="5"/>
      <c r="R58" s="5"/>
      <c r="S58" s="5"/>
    </row>
    <row r="59" spans="1:19">
      <c r="A59" s="4"/>
      <c r="B59" s="7"/>
      <c r="C59" s="7"/>
      <c r="D59" s="7"/>
      <c r="E59" s="5"/>
      <c r="F59" s="5"/>
      <c r="G59" s="5"/>
      <c r="H59" s="5"/>
      <c r="I59" s="7"/>
      <c r="J59" s="7"/>
      <c r="K59" s="7"/>
      <c r="L59" s="7"/>
      <c r="M59" s="7"/>
      <c r="N59" s="5"/>
      <c r="O59" s="5"/>
      <c r="P59" s="5"/>
      <c r="Q59" s="5"/>
      <c r="R59" s="5"/>
      <c r="S59" s="5"/>
    </row>
    <row r="60" spans="1:19">
      <c r="A60" s="4"/>
      <c r="B60" s="7"/>
      <c r="C60" s="7"/>
      <c r="D60" s="7"/>
      <c r="E60" s="5"/>
      <c r="F60" s="5"/>
      <c r="G60" s="5"/>
      <c r="H60" s="5"/>
      <c r="I60" s="7"/>
      <c r="J60" s="7"/>
      <c r="K60" s="7"/>
      <c r="L60" s="7"/>
      <c r="M60" s="7"/>
      <c r="N60" s="5"/>
      <c r="O60" s="5"/>
      <c r="P60" s="5"/>
      <c r="Q60" s="5"/>
      <c r="R60" s="5"/>
      <c r="S60" s="5"/>
    </row>
    <row r="61" spans="1:19">
      <c r="A61" s="4"/>
      <c r="B61" s="7"/>
      <c r="C61" s="7"/>
      <c r="D61" s="7"/>
      <c r="E61" s="5"/>
      <c r="F61" s="5"/>
      <c r="G61" s="5"/>
      <c r="H61" s="5"/>
      <c r="I61" s="7"/>
      <c r="J61" s="7"/>
      <c r="K61" s="7"/>
      <c r="L61" s="7"/>
      <c r="M61" s="7"/>
      <c r="N61" s="5"/>
      <c r="O61" s="5"/>
      <c r="P61" s="5"/>
      <c r="Q61" s="5"/>
      <c r="R61" s="5"/>
      <c r="S61" s="5"/>
    </row>
    <row r="62" spans="1:19">
      <c r="A62" s="4"/>
      <c r="B62" s="7"/>
      <c r="C62" s="7"/>
      <c r="D62" s="7"/>
      <c r="E62" s="5"/>
      <c r="F62" s="5"/>
      <c r="G62" s="5"/>
      <c r="H62" s="5"/>
      <c r="I62" s="7"/>
      <c r="J62" s="7"/>
      <c r="K62" s="7"/>
      <c r="L62" s="7"/>
      <c r="M62" s="7"/>
      <c r="N62" s="5"/>
      <c r="O62" s="5"/>
      <c r="P62" s="5"/>
      <c r="Q62" s="5"/>
      <c r="R62" s="5"/>
      <c r="S62" s="5"/>
    </row>
    <row r="63" spans="1:19">
      <c r="A63" s="4"/>
      <c r="B63" s="7"/>
      <c r="C63" s="7"/>
      <c r="D63" s="7"/>
      <c r="E63" s="5"/>
      <c r="F63" s="5"/>
      <c r="G63" s="5"/>
      <c r="H63" s="5"/>
      <c r="I63" s="7"/>
      <c r="J63" s="7"/>
      <c r="K63" s="7"/>
      <c r="L63" s="7"/>
      <c r="M63" s="7"/>
      <c r="N63" s="5"/>
      <c r="O63" s="5"/>
      <c r="P63" s="5"/>
      <c r="Q63" s="5"/>
      <c r="R63" s="5"/>
      <c r="S63" s="5"/>
    </row>
    <row r="64" spans="1:19">
      <c r="A64" s="4"/>
      <c r="B64" s="7"/>
      <c r="C64" s="7"/>
      <c r="D64" s="7"/>
      <c r="E64" s="5"/>
      <c r="F64" s="5"/>
      <c r="G64" s="5"/>
      <c r="H64" s="5"/>
      <c r="I64" s="7"/>
      <c r="J64" s="7"/>
      <c r="K64" s="7"/>
      <c r="L64" s="7"/>
      <c r="M64" s="7"/>
      <c r="N64" s="5"/>
      <c r="O64" s="5"/>
      <c r="P64" s="5"/>
      <c r="Q64" s="5"/>
      <c r="R64" s="5"/>
      <c r="S64" s="5"/>
    </row>
    <row r="65" spans="1:19">
      <c r="A65" s="4"/>
      <c r="B65" s="7"/>
      <c r="C65" s="7"/>
      <c r="D65" s="7"/>
      <c r="E65" s="5"/>
      <c r="F65" s="5"/>
      <c r="G65" s="5"/>
      <c r="H65" s="5"/>
      <c r="I65" s="7"/>
      <c r="J65" s="7"/>
      <c r="K65" s="7"/>
      <c r="L65" s="7"/>
      <c r="M65" s="7"/>
      <c r="N65" s="5"/>
      <c r="O65" s="5"/>
      <c r="P65" s="5"/>
      <c r="Q65" s="5"/>
      <c r="R65" s="5"/>
      <c r="S65" s="5"/>
    </row>
    <row r="66" spans="1:19">
      <c r="A66" s="4"/>
      <c r="B66" s="7"/>
      <c r="C66" s="7"/>
      <c r="D66" s="7"/>
      <c r="E66" s="5"/>
      <c r="F66" s="5"/>
      <c r="G66" s="5"/>
      <c r="H66" s="5"/>
      <c r="I66" s="7"/>
      <c r="J66" s="7"/>
      <c r="K66" s="7"/>
      <c r="L66" s="7"/>
      <c r="M66" s="7"/>
      <c r="N66" s="5"/>
      <c r="O66" s="5"/>
      <c r="P66" s="5"/>
      <c r="Q66" s="5"/>
      <c r="R66" s="5"/>
      <c r="S66" s="5"/>
    </row>
    <row r="67" spans="1:19">
      <c r="A67" s="4"/>
      <c r="B67" s="7"/>
      <c r="C67" s="7"/>
      <c r="D67" s="7"/>
      <c r="E67" s="5"/>
      <c r="F67" s="5"/>
      <c r="G67" s="5"/>
      <c r="H67" s="5"/>
      <c r="I67" s="7"/>
      <c r="J67" s="7"/>
      <c r="K67" s="7"/>
      <c r="L67" s="7"/>
      <c r="M67" s="7"/>
      <c r="N67" s="5"/>
      <c r="O67" s="5"/>
      <c r="P67" s="5"/>
      <c r="Q67" s="5"/>
      <c r="R67" s="5"/>
      <c r="S67" s="5"/>
    </row>
    <row r="68" spans="1:19">
      <c r="A68" s="4"/>
      <c r="B68" s="7"/>
      <c r="C68" s="7"/>
      <c r="D68" s="7"/>
      <c r="E68" s="5"/>
      <c r="F68" s="5"/>
      <c r="G68" s="5"/>
      <c r="H68" s="5"/>
      <c r="I68" s="7"/>
      <c r="J68" s="7"/>
      <c r="K68" s="7"/>
      <c r="L68" s="7"/>
      <c r="M68" s="7"/>
      <c r="N68" s="5"/>
      <c r="O68" s="5"/>
      <c r="P68" s="5"/>
      <c r="Q68" s="5"/>
      <c r="R68" s="5"/>
      <c r="S68" s="5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41EE-5A5B-4F9F-BA5E-1DB7F7F93D61}">
  <sheetPr>
    <tabColor rgb="FFFF0000"/>
  </sheetPr>
  <dimension ref="A1:Z76"/>
  <sheetViews>
    <sheetView zoomScale="85" zoomScaleNormal="85" workbookViewId="0">
      <pane ySplit="4" topLeftCell="A5" activePane="bottomLeft" state="frozen"/>
      <selection activeCell="J91" sqref="J91"/>
      <selection pane="bottomLeft" activeCell="Q18" sqref="Q18"/>
    </sheetView>
  </sheetViews>
  <sheetFormatPr defaultRowHeight="16.5" outlineLevelCol="1"/>
  <cols>
    <col min="1" max="1" width="9.25" customWidth="1"/>
    <col min="2" max="2" width="13.375" customWidth="1"/>
    <col min="3" max="3" width="12" customWidth="1"/>
    <col min="4" max="4" width="8.75" customWidth="1"/>
    <col min="5" max="5" width="16.25" customWidth="1"/>
    <col min="6" max="6" width="15.375" bestFit="1" customWidth="1"/>
    <col min="7" max="7" width="12.125" customWidth="1"/>
    <col min="8" max="8" width="10.25" customWidth="1"/>
    <col min="9" max="9" width="11.5" customWidth="1"/>
    <col min="10" max="10" width="14.375" customWidth="1"/>
    <col min="11" max="11" width="12.25" hidden="1" customWidth="1" outlineLevel="1"/>
    <col min="12" max="12" width="13.125" hidden="1" customWidth="1" outlineLevel="1"/>
    <col min="13" max="13" width="16.125" customWidth="1" collapsed="1"/>
    <col min="14" max="14" width="19" customWidth="1"/>
    <col min="15" max="16" width="15.75" hidden="1" customWidth="1" outlineLevel="1"/>
    <col min="17" max="17" width="17.375" customWidth="1" collapsed="1"/>
    <col min="18" max="18" width="17.375" customWidth="1"/>
    <col min="19" max="19" width="8.25" customWidth="1"/>
    <col min="20" max="20" width="16.375" customWidth="1"/>
    <col min="21" max="21" width="9.875" customWidth="1"/>
    <col min="22" max="22" width="15.75" customWidth="1"/>
    <col min="23" max="23" width="18.75" customWidth="1"/>
    <col min="24" max="24" width="11.5" customWidth="1"/>
    <col min="25" max="25" width="24.125" customWidth="1"/>
    <col min="26" max="26" width="10.625" customWidth="1"/>
  </cols>
  <sheetData>
    <row r="1" spans="1:26" ht="33.75">
      <c r="A1" s="388"/>
      <c r="B1" s="2024" t="s">
        <v>338</v>
      </c>
      <c r="C1" s="2024"/>
      <c r="D1" s="2024"/>
      <c r="E1" s="2024"/>
      <c r="F1" s="2024"/>
      <c r="G1" s="2024"/>
      <c r="H1" s="2024"/>
      <c r="I1" s="2024"/>
      <c r="J1" s="2024"/>
      <c r="K1" s="2024"/>
      <c r="L1" s="2024"/>
      <c r="M1" s="2024"/>
      <c r="N1" s="2024"/>
      <c r="O1" s="2024"/>
      <c r="P1" s="2024"/>
      <c r="Q1" s="2024"/>
      <c r="R1" s="2024"/>
      <c r="S1" s="2024"/>
      <c r="T1" s="2024"/>
      <c r="U1" s="2024"/>
      <c r="V1" s="2024"/>
      <c r="W1" s="2024"/>
      <c r="X1" s="2024"/>
      <c r="Y1" s="619"/>
      <c r="Z1" s="388"/>
    </row>
    <row r="2" spans="1:26" ht="63.75" customHeight="1">
      <c r="A2" s="388"/>
      <c r="B2" s="619"/>
      <c r="C2" s="619"/>
      <c r="D2" s="619"/>
      <c r="E2" s="619"/>
      <c r="F2" s="619"/>
      <c r="G2" s="1715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1715"/>
      <c r="V2" s="619"/>
      <c r="W2" s="619"/>
      <c r="X2" s="619"/>
      <c r="Y2" s="619"/>
      <c r="Z2" s="388"/>
    </row>
    <row r="3" spans="1:26">
      <c r="A3" s="388"/>
      <c r="B3" s="3"/>
      <c r="C3" s="3"/>
      <c r="D3" s="3"/>
      <c r="E3" s="2"/>
      <c r="F3" s="2"/>
      <c r="G3" s="2"/>
      <c r="H3" s="3"/>
      <c r="I3" s="3"/>
      <c r="J3" s="388"/>
      <c r="K3" s="388"/>
      <c r="L3" s="388"/>
      <c r="M3" s="388"/>
      <c r="N3" s="2"/>
      <c r="O3" s="2"/>
      <c r="P3" s="2"/>
      <c r="Q3" s="386">
        <f>SUBTOTAL(9,Q5:Q181)</f>
        <v>677920</v>
      </c>
      <c r="R3" s="2"/>
      <c r="S3" s="2"/>
      <c r="T3" s="386">
        <f>SUBTOTAL(9,T5:T181)</f>
        <v>684350</v>
      </c>
      <c r="U3" s="386">
        <f>SUBTOTAL(9,U5:U181)</f>
        <v>1619</v>
      </c>
      <c r="V3" s="388"/>
      <c r="W3" s="386">
        <f>SUBTOTAL(9,W5:W181)</f>
        <v>-105952225</v>
      </c>
      <c r="X3" s="388"/>
      <c r="Y3" s="388"/>
      <c r="Z3" s="388"/>
    </row>
    <row r="4" spans="1:26" ht="24">
      <c r="A4" s="521" t="s">
        <v>754</v>
      </c>
      <c r="B4" s="523" t="s">
        <v>469</v>
      </c>
      <c r="C4" s="523" t="s">
        <v>388</v>
      </c>
      <c r="D4" s="523" t="s">
        <v>389</v>
      </c>
      <c r="E4" s="522" t="s">
        <v>391</v>
      </c>
      <c r="F4" s="1724" t="s">
        <v>452</v>
      </c>
      <c r="G4" s="1724" t="s">
        <v>742</v>
      </c>
      <c r="H4" s="523" t="s">
        <v>14</v>
      </c>
      <c r="I4" s="523" t="s">
        <v>13</v>
      </c>
      <c r="J4" s="523" t="s">
        <v>0</v>
      </c>
      <c r="K4" s="523" t="s">
        <v>249</v>
      </c>
      <c r="L4" s="523" t="s">
        <v>260</v>
      </c>
      <c r="M4" s="1724" t="s">
        <v>741</v>
      </c>
      <c r="N4" s="522" t="s">
        <v>2</v>
      </c>
      <c r="O4" s="522" t="s">
        <v>80</v>
      </c>
      <c r="P4" s="522" t="s">
        <v>81</v>
      </c>
      <c r="Q4" s="1725" t="s">
        <v>9</v>
      </c>
      <c r="R4" s="525" t="s">
        <v>78</v>
      </c>
      <c r="S4" s="743" t="s">
        <v>385</v>
      </c>
      <c r="T4" s="527" t="s">
        <v>77</v>
      </c>
      <c r="U4" s="527" t="s">
        <v>743</v>
      </c>
      <c r="V4" s="528" t="s">
        <v>7</v>
      </c>
      <c r="W4" s="529" t="s">
        <v>8</v>
      </c>
      <c r="X4" s="523" t="s">
        <v>57</v>
      </c>
      <c r="Y4" s="744" t="s">
        <v>10</v>
      </c>
      <c r="Z4" s="388" t="s">
        <v>187</v>
      </c>
    </row>
    <row r="5" spans="1:26">
      <c r="A5" s="728">
        <f>ROW()-4</f>
        <v>1</v>
      </c>
      <c r="B5" s="322">
        <v>46146</v>
      </c>
      <c r="C5" s="322">
        <v>46146</v>
      </c>
      <c r="D5" s="322" t="s">
        <v>405</v>
      </c>
      <c r="E5" s="385" t="s">
        <v>264</v>
      </c>
      <c r="F5" s="385" t="s">
        <v>454</v>
      </c>
      <c r="G5" s="385" t="s">
        <v>17</v>
      </c>
      <c r="H5" s="322" t="s">
        <v>440</v>
      </c>
      <c r="I5" s="322" t="s">
        <v>89</v>
      </c>
      <c r="J5" s="322" t="s">
        <v>206</v>
      </c>
      <c r="K5" s="322" t="s">
        <v>265</v>
      </c>
      <c r="L5" s="322" t="s">
        <v>278</v>
      </c>
      <c r="M5" s="475" t="s">
        <v>186</v>
      </c>
      <c r="N5" s="667" t="s">
        <v>191</v>
      </c>
      <c r="O5" s="623">
        <v>21020</v>
      </c>
      <c r="P5" s="623">
        <v>24620</v>
      </c>
      <c r="Q5" s="667">
        <f t="shared" ref="Q5:Q22" si="0">P5-O5</f>
        <v>3600</v>
      </c>
      <c r="R5" s="667">
        <v>4410</v>
      </c>
      <c r="S5" s="667">
        <f>R5-Q5</f>
        <v>810</v>
      </c>
      <c r="T5" s="667">
        <v>4410</v>
      </c>
      <c r="U5" s="1712">
        <v>50</v>
      </c>
      <c r="V5" s="668">
        <v>50000</v>
      </c>
      <c r="W5" s="1729">
        <f>-표4[[#This Row],[단가(원)]]*표4[[#This Row],[루베 적용]]</f>
        <v>-2500000</v>
      </c>
      <c r="X5" s="625" t="s">
        <v>5</v>
      </c>
      <c r="Y5" s="735"/>
      <c r="Z5" s="727"/>
    </row>
    <row r="6" spans="1:26">
      <c r="A6" s="729">
        <f>ROW()-4</f>
        <v>2</v>
      </c>
      <c r="B6" s="648">
        <v>46146</v>
      </c>
      <c r="C6" s="648">
        <v>46147</v>
      </c>
      <c r="D6" s="648" t="s">
        <v>405</v>
      </c>
      <c r="E6" s="311" t="s">
        <v>264</v>
      </c>
      <c r="F6" s="311" t="s">
        <v>453</v>
      </c>
      <c r="G6" s="311" t="s">
        <v>17</v>
      </c>
      <c r="H6" s="648" t="s">
        <v>440</v>
      </c>
      <c r="I6" s="648" t="s">
        <v>89</v>
      </c>
      <c r="J6" s="648" t="s">
        <v>206</v>
      </c>
      <c r="K6" s="648" t="s">
        <v>265</v>
      </c>
      <c r="L6" s="648" t="s">
        <v>278</v>
      </c>
      <c r="M6" s="29" t="s">
        <v>186</v>
      </c>
      <c r="N6" s="651" t="s">
        <v>191</v>
      </c>
      <c r="O6" s="630">
        <v>20100</v>
      </c>
      <c r="P6" s="630">
        <v>25540</v>
      </c>
      <c r="Q6" s="651">
        <f t="shared" si="0"/>
        <v>5440</v>
      </c>
      <c r="R6" s="651">
        <v>4690</v>
      </c>
      <c r="S6" s="651">
        <f>R6-Q6</f>
        <v>-750</v>
      </c>
      <c r="T6" s="651">
        <v>4690</v>
      </c>
      <c r="U6" s="1704">
        <v>50</v>
      </c>
      <c r="V6" s="653">
        <v>50000</v>
      </c>
      <c r="W6" s="1729">
        <f>-표4[[#This Row],[단가(원)]]*표4[[#This Row],[루베 적용]]</f>
        <v>-2500000</v>
      </c>
      <c r="X6" s="626" t="s">
        <v>5</v>
      </c>
      <c r="Y6" s="736" t="s">
        <v>384</v>
      </c>
      <c r="Z6" s="727"/>
    </row>
    <row r="7" spans="1:26">
      <c r="A7" s="730">
        <f>ROW()-4</f>
        <v>3</v>
      </c>
      <c r="B7" s="230">
        <v>46148</v>
      </c>
      <c r="C7" s="230">
        <v>46148</v>
      </c>
      <c r="D7" s="230" t="s">
        <v>405</v>
      </c>
      <c r="E7" s="387" t="s">
        <v>264</v>
      </c>
      <c r="F7" s="387" t="s">
        <v>453</v>
      </c>
      <c r="G7" s="387" t="s">
        <v>17</v>
      </c>
      <c r="H7" s="230" t="s">
        <v>440</v>
      </c>
      <c r="I7" s="657" t="s">
        <v>89</v>
      </c>
      <c r="J7" s="657" t="s">
        <v>206</v>
      </c>
      <c r="K7" s="657" t="s">
        <v>265</v>
      </c>
      <c r="L7" s="657" t="s">
        <v>278</v>
      </c>
      <c r="M7" s="433" t="s">
        <v>186</v>
      </c>
      <c r="N7" s="89" t="s">
        <v>191</v>
      </c>
      <c r="O7" s="90">
        <v>20140</v>
      </c>
      <c r="P7" s="90">
        <v>24280</v>
      </c>
      <c r="Q7" s="89">
        <f t="shared" si="0"/>
        <v>4140</v>
      </c>
      <c r="R7" s="89">
        <v>4210</v>
      </c>
      <c r="S7" s="89">
        <f>R7-Q7</f>
        <v>70</v>
      </c>
      <c r="T7" s="89">
        <v>4210</v>
      </c>
      <c r="U7" s="89">
        <v>50</v>
      </c>
      <c r="V7" s="92">
        <v>50000</v>
      </c>
      <c r="W7" s="1729">
        <f>-표4[[#This Row],[단가(원)]]*표4[[#This Row],[루베 적용]]</f>
        <v>-2500000</v>
      </c>
      <c r="X7" s="645" t="s">
        <v>5</v>
      </c>
      <c r="Y7" s="737"/>
      <c r="Z7" s="727"/>
    </row>
    <row r="8" spans="1:26">
      <c r="A8" s="731">
        <f t="shared" ref="A8:A71" si="1">ROW()-4</f>
        <v>4</v>
      </c>
      <c r="B8" s="647">
        <v>46149</v>
      </c>
      <c r="C8" s="647">
        <v>46149</v>
      </c>
      <c r="D8" s="647" t="s">
        <v>399</v>
      </c>
      <c r="E8" s="647" t="s">
        <v>264</v>
      </c>
      <c r="F8" s="647" t="s">
        <v>453</v>
      </c>
      <c r="G8" s="1695" t="s">
        <v>17</v>
      </c>
      <c r="H8" s="647" t="s">
        <v>440</v>
      </c>
      <c r="I8" s="657" t="s">
        <v>239</v>
      </c>
      <c r="J8" s="657" t="s">
        <v>235</v>
      </c>
      <c r="K8" s="657" t="s">
        <v>289</v>
      </c>
      <c r="L8" s="657" t="s">
        <v>290</v>
      </c>
      <c r="M8" s="103" t="s">
        <v>400</v>
      </c>
      <c r="N8" s="650" t="s">
        <v>401</v>
      </c>
      <c r="O8" s="631">
        <v>20940</v>
      </c>
      <c r="P8" s="631">
        <v>35520</v>
      </c>
      <c r="Q8" s="650">
        <f t="shared" si="0"/>
        <v>14580</v>
      </c>
      <c r="R8" s="650">
        <v>14580</v>
      </c>
      <c r="S8" s="650"/>
      <c r="T8" s="650">
        <v>14580</v>
      </c>
      <c r="U8" s="1697">
        <v>20</v>
      </c>
      <c r="V8" s="652">
        <v>21875</v>
      </c>
      <c r="W8" s="1729">
        <f>-표4[[#This Row],[단가(원)]]*표4[[#This Row],[루베 적용]]</f>
        <v>-437500</v>
      </c>
      <c r="X8" s="632" t="s">
        <v>5</v>
      </c>
      <c r="Y8" s="738" t="s">
        <v>267</v>
      </c>
      <c r="Z8" s="727"/>
    </row>
    <row r="9" spans="1:26">
      <c r="A9" s="732">
        <f t="shared" si="1"/>
        <v>5</v>
      </c>
      <c r="B9" s="654">
        <v>46149</v>
      </c>
      <c r="C9" s="654">
        <v>46150</v>
      </c>
      <c r="D9" s="654" t="s">
        <v>399</v>
      </c>
      <c r="E9" s="654" t="s">
        <v>264</v>
      </c>
      <c r="F9" s="654" t="s">
        <v>453</v>
      </c>
      <c r="G9" s="1696" t="s">
        <v>17</v>
      </c>
      <c r="H9" s="654" t="s">
        <v>440</v>
      </c>
      <c r="I9" s="657" t="s">
        <v>239</v>
      </c>
      <c r="J9" s="657" t="s">
        <v>235</v>
      </c>
      <c r="K9" s="657" t="s">
        <v>289</v>
      </c>
      <c r="L9" s="657" t="s">
        <v>290</v>
      </c>
      <c r="M9" s="633" t="s">
        <v>276</v>
      </c>
      <c r="N9" s="655" t="s">
        <v>277</v>
      </c>
      <c r="O9" s="627">
        <v>20100</v>
      </c>
      <c r="P9" s="627">
        <v>24650</v>
      </c>
      <c r="Q9" s="655">
        <f t="shared" si="0"/>
        <v>4550</v>
      </c>
      <c r="R9" s="655">
        <v>4550</v>
      </c>
      <c r="S9" s="655"/>
      <c r="T9" s="655">
        <v>4550</v>
      </c>
      <c r="U9" s="1698">
        <v>50</v>
      </c>
      <c r="V9" s="656">
        <v>50000</v>
      </c>
      <c r="W9" s="1730">
        <f>-표4[[#This Row],[단가(원)]]*표4[[#This Row],[루베 적용]]</f>
        <v>-2500000</v>
      </c>
      <c r="X9" s="635" t="s">
        <v>5</v>
      </c>
      <c r="Y9" s="739" t="s">
        <v>407</v>
      </c>
      <c r="Z9" s="727"/>
    </row>
    <row r="10" spans="1:26">
      <c r="A10" s="730">
        <f t="shared" si="1"/>
        <v>6</v>
      </c>
      <c r="B10" s="230">
        <v>46153</v>
      </c>
      <c r="C10" s="230">
        <v>46153</v>
      </c>
      <c r="D10" s="230" t="s">
        <v>399</v>
      </c>
      <c r="E10" s="230" t="s">
        <v>264</v>
      </c>
      <c r="F10" s="230" t="s">
        <v>453</v>
      </c>
      <c r="G10" s="230" t="s">
        <v>17</v>
      </c>
      <c r="H10" s="230" t="s">
        <v>440</v>
      </c>
      <c r="I10" s="230" t="s">
        <v>239</v>
      </c>
      <c r="J10" s="230" t="s">
        <v>235</v>
      </c>
      <c r="K10" s="230" t="s">
        <v>257</v>
      </c>
      <c r="L10" s="230" t="s">
        <v>402</v>
      </c>
      <c r="M10" s="433" t="s">
        <v>406</v>
      </c>
      <c r="N10" s="89" t="s">
        <v>286</v>
      </c>
      <c r="O10" s="90">
        <v>20920</v>
      </c>
      <c r="P10" s="90">
        <v>33270</v>
      </c>
      <c r="Q10" s="89">
        <f t="shared" si="0"/>
        <v>12350</v>
      </c>
      <c r="R10" s="89">
        <v>12350</v>
      </c>
      <c r="S10" s="89"/>
      <c r="T10" s="89">
        <v>12350</v>
      </c>
      <c r="U10" s="89"/>
      <c r="V10" s="92">
        <v>170</v>
      </c>
      <c r="W10" s="1731">
        <f>-표4[[#This Row],[단가(원)]]*표4[[#This Row],[정산 중량(kg)]]</f>
        <v>-2099500</v>
      </c>
      <c r="X10" s="645" t="s">
        <v>5</v>
      </c>
      <c r="Y10" s="737" t="s">
        <v>404</v>
      </c>
      <c r="Z10" s="727"/>
    </row>
    <row r="11" spans="1:26">
      <c r="A11" s="733">
        <f t="shared" si="1"/>
        <v>7</v>
      </c>
      <c r="B11" s="657">
        <v>46154</v>
      </c>
      <c r="C11" s="657">
        <v>46154</v>
      </c>
      <c r="D11" s="657" t="s">
        <v>399</v>
      </c>
      <c r="E11" s="657" t="s">
        <v>314</v>
      </c>
      <c r="F11" s="657" t="s">
        <v>210</v>
      </c>
      <c r="G11" s="1700"/>
      <c r="H11" s="657" t="s">
        <v>440</v>
      </c>
      <c r="I11" s="657" t="s">
        <v>239</v>
      </c>
      <c r="J11" s="657" t="s">
        <v>235</v>
      </c>
      <c r="K11" s="657" t="s">
        <v>257</v>
      </c>
      <c r="L11" s="657" t="s">
        <v>402</v>
      </c>
      <c r="M11" s="229" t="s">
        <v>276</v>
      </c>
      <c r="N11" s="659" t="s">
        <v>755</v>
      </c>
      <c r="O11" s="636">
        <v>20120</v>
      </c>
      <c r="P11" s="636">
        <v>28340</v>
      </c>
      <c r="Q11" s="659">
        <f t="shared" si="0"/>
        <v>8220</v>
      </c>
      <c r="R11" s="659">
        <v>8220</v>
      </c>
      <c r="S11" s="650">
        <f t="shared" ref="S11:S16" si="2">R11-Q11</f>
        <v>0</v>
      </c>
      <c r="T11" s="659">
        <f>R11</f>
        <v>8220</v>
      </c>
      <c r="U11" s="1702">
        <v>50</v>
      </c>
      <c r="V11" s="640">
        <v>30000</v>
      </c>
      <c r="W11" s="1732">
        <f>-표4[[#This Row],[단가(원)]]*표4[[#This Row],[루베 적용]]</f>
        <v>-1500000</v>
      </c>
      <c r="X11" s="642" t="s">
        <v>5</v>
      </c>
      <c r="Y11" s="740" t="s">
        <v>449</v>
      </c>
      <c r="Z11" s="727"/>
    </row>
    <row r="12" spans="1:26">
      <c r="A12" s="729">
        <f t="shared" si="1"/>
        <v>8</v>
      </c>
      <c r="B12" s="649">
        <v>46154</v>
      </c>
      <c r="C12" s="649">
        <v>46154</v>
      </c>
      <c r="D12" s="649" t="s">
        <v>405</v>
      </c>
      <c r="E12" s="649" t="s">
        <v>314</v>
      </c>
      <c r="F12" s="649" t="s">
        <v>455</v>
      </c>
      <c r="G12" s="1703"/>
      <c r="H12" s="649" t="s">
        <v>440</v>
      </c>
      <c r="I12" s="649" t="s">
        <v>263</v>
      </c>
      <c r="J12" s="649" t="s">
        <v>172</v>
      </c>
      <c r="K12" s="649" t="s">
        <v>291</v>
      </c>
      <c r="L12" s="649" t="s">
        <v>292</v>
      </c>
      <c r="M12" s="634" t="s">
        <v>276</v>
      </c>
      <c r="N12" s="665" t="s">
        <v>448</v>
      </c>
      <c r="O12" s="628">
        <v>14080</v>
      </c>
      <c r="P12" s="628">
        <v>19510</v>
      </c>
      <c r="Q12" s="665">
        <f t="shared" si="0"/>
        <v>5430</v>
      </c>
      <c r="R12" s="665">
        <v>5430</v>
      </c>
      <c r="S12" s="670">
        <f t="shared" si="2"/>
        <v>0</v>
      </c>
      <c r="T12" s="665">
        <f t="shared" ref="T12:T18" si="3">R12</f>
        <v>5430</v>
      </c>
      <c r="U12" s="1713">
        <v>35</v>
      </c>
      <c r="V12" s="641">
        <v>30000</v>
      </c>
      <c r="W12" s="1727">
        <f>-표4[[#This Row],[단가(원)]]*표4[[#This Row],[루베 적용]]</f>
        <v>-1050000</v>
      </c>
      <c r="X12" s="629" t="s">
        <v>5</v>
      </c>
      <c r="Y12" s="741" t="s">
        <v>450</v>
      </c>
      <c r="Z12" s="727"/>
    </row>
    <row r="13" spans="1:26">
      <c r="A13" s="733">
        <f t="shared" si="1"/>
        <v>9</v>
      </c>
      <c r="B13" s="657">
        <v>46155</v>
      </c>
      <c r="C13" s="657">
        <v>46155</v>
      </c>
      <c r="D13" s="657" t="s">
        <v>399</v>
      </c>
      <c r="E13" s="657" t="s">
        <v>314</v>
      </c>
      <c r="F13" s="657" t="s">
        <v>455</v>
      </c>
      <c r="G13" s="1700"/>
      <c r="H13" s="657" t="s">
        <v>440</v>
      </c>
      <c r="I13" s="657" t="s">
        <v>239</v>
      </c>
      <c r="J13" s="657" t="s">
        <v>235</v>
      </c>
      <c r="K13" s="657" t="s">
        <v>257</v>
      </c>
      <c r="L13" s="657" t="s">
        <v>402</v>
      </c>
      <c r="M13" s="229" t="s">
        <v>276</v>
      </c>
      <c r="N13" s="659" t="s">
        <v>448</v>
      </c>
      <c r="O13" s="636">
        <v>20160</v>
      </c>
      <c r="P13" s="636">
        <v>27600</v>
      </c>
      <c r="Q13" s="659">
        <f t="shared" si="0"/>
        <v>7440</v>
      </c>
      <c r="R13" s="659">
        <v>7440</v>
      </c>
      <c r="S13" s="670">
        <f t="shared" si="2"/>
        <v>0</v>
      </c>
      <c r="T13" s="659">
        <f t="shared" si="3"/>
        <v>7440</v>
      </c>
      <c r="U13" s="1702">
        <v>50</v>
      </c>
      <c r="V13" s="640">
        <v>30000</v>
      </c>
      <c r="W13" s="1732">
        <f>-표4[[#This Row],[단가(원)]]*표4[[#This Row],[루베 적용]]</f>
        <v>-1500000</v>
      </c>
      <c r="X13" s="642" t="s">
        <v>5</v>
      </c>
      <c r="Y13" s="740"/>
      <c r="Z13" s="727"/>
    </row>
    <row r="14" spans="1:26">
      <c r="A14" s="733">
        <f t="shared" si="1"/>
        <v>10</v>
      </c>
      <c r="B14" s="657">
        <v>46155</v>
      </c>
      <c r="C14" s="657">
        <v>46155</v>
      </c>
      <c r="D14" s="657" t="s">
        <v>405</v>
      </c>
      <c r="E14" s="657" t="s">
        <v>314</v>
      </c>
      <c r="F14" s="657" t="s">
        <v>455</v>
      </c>
      <c r="G14" s="1700"/>
      <c r="H14" s="657" t="s">
        <v>440</v>
      </c>
      <c r="I14" s="657" t="s">
        <v>263</v>
      </c>
      <c r="J14" s="657" t="s">
        <v>53</v>
      </c>
      <c r="K14" s="657" t="s">
        <v>291</v>
      </c>
      <c r="L14" s="657" t="s">
        <v>292</v>
      </c>
      <c r="M14" s="229" t="s">
        <v>276</v>
      </c>
      <c r="N14" s="659" t="s">
        <v>448</v>
      </c>
      <c r="O14" s="636">
        <v>14080</v>
      </c>
      <c r="P14" s="636">
        <v>18400</v>
      </c>
      <c r="Q14" s="659">
        <f t="shared" si="0"/>
        <v>4320</v>
      </c>
      <c r="R14" s="659">
        <v>4320</v>
      </c>
      <c r="S14" s="670">
        <f t="shared" si="2"/>
        <v>0</v>
      </c>
      <c r="T14" s="659">
        <f t="shared" si="3"/>
        <v>4320</v>
      </c>
      <c r="U14" s="1702">
        <v>35</v>
      </c>
      <c r="V14" s="640">
        <v>30000</v>
      </c>
      <c r="W14" s="1727">
        <f>-표4[[#This Row],[단가(원)]]*표4[[#This Row],[루베 적용]]</f>
        <v>-1050000</v>
      </c>
      <c r="X14" s="642" t="s">
        <v>5</v>
      </c>
      <c r="Y14" s="740"/>
      <c r="Z14" s="727"/>
    </row>
    <row r="15" spans="1:26">
      <c r="A15" s="731">
        <f t="shared" si="1"/>
        <v>11</v>
      </c>
      <c r="B15" s="647">
        <v>46156</v>
      </c>
      <c r="C15" s="647">
        <v>46156</v>
      </c>
      <c r="D15" s="647" t="s">
        <v>405</v>
      </c>
      <c r="E15" s="647" t="s">
        <v>314</v>
      </c>
      <c r="F15" s="647" t="s">
        <v>455</v>
      </c>
      <c r="G15" s="1695"/>
      <c r="H15" s="647" t="s">
        <v>440</v>
      </c>
      <c r="I15" s="647" t="s">
        <v>239</v>
      </c>
      <c r="J15" s="647" t="s">
        <v>235</v>
      </c>
      <c r="K15" s="647" t="s">
        <v>257</v>
      </c>
      <c r="L15" s="647" t="s">
        <v>402</v>
      </c>
      <c r="M15" s="103" t="s">
        <v>276</v>
      </c>
      <c r="N15" s="650" t="s">
        <v>448</v>
      </c>
      <c r="O15" s="631">
        <v>20160</v>
      </c>
      <c r="P15" s="631">
        <v>27440</v>
      </c>
      <c r="Q15" s="650">
        <f t="shared" si="0"/>
        <v>7280</v>
      </c>
      <c r="R15" s="650">
        <v>7280</v>
      </c>
      <c r="S15" s="670">
        <f t="shared" si="2"/>
        <v>0</v>
      </c>
      <c r="T15" s="650">
        <f t="shared" si="3"/>
        <v>7280</v>
      </c>
      <c r="U15" s="1697">
        <v>35</v>
      </c>
      <c r="V15" s="652">
        <v>30000</v>
      </c>
      <c r="W15" s="1729">
        <f>-표4[[#This Row],[단가(원)]]*표4[[#This Row],[루베 적용]]</f>
        <v>-1050000</v>
      </c>
      <c r="X15" s="632" t="s">
        <v>5</v>
      </c>
      <c r="Y15" s="738"/>
      <c r="Z15" s="727"/>
    </row>
    <row r="16" spans="1:26">
      <c r="A16" s="734">
        <f t="shared" si="1"/>
        <v>12</v>
      </c>
      <c r="B16" s="648">
        <v>46156</v>
      </c>
      <c r="C16" s="648">
        <v>46156</v>
      </c>
      <c r="D16" s="648" t="s">
        <v>405</v>
      </c>
      <c r="E16" s="648" t="s">
        <v>314</v>
      </c>
      <c r="F16" s="648" t="s">
        <v>455</v>
      </c>
      <c r="G16" s="1706"/>
      <c r="H16" s="648" t="s">
        <v>440</v>
      </c>
      <c r="I16" s="648" t="s">
        <v>263</v>
      </c>
      <c r="J16" s="648" t="s">
        <v>53</v>
      </c>
      <c r="K16" s="648" t="s">
        <v>291</v>
      </c>
      <c r="L16" s="648" t="s">
        <v>292</v>
      </c>
      <c r="M16" s="29" t="s">
        <v>276</v>
      </c>
      <c r="N16" s="651" t="s">
        <v>448</v>
      </c>
      <c r="O16" s="630">
        <v>13990</v>
      </c>
      <c r="P16" s="630">
        <v>18560</v>
      </c>
      <c r="Q16" s="651">
        <f t="shared" si="0"/>
        <v>4570</v>
      </c>
      <c r="R16" s="651">
        <v>4570</v>
      </c>
      <c r="S16" s="670">
        <f t="shared" si="2"/>
        <v>0</v>
      </c>
      <c r="T16" s="651">
        <f t="shared" si="3"/>
        <v>4570</v>
      </c>
      <c r="U16" s="1704">
        <v>50</v>
      </c>
      <c r="V16" s="653">
        <v>30000</v>
      </c>
      <c r="W16" s="1728">
        <f>-표4[[#This Row],[단가(원)]]*표4[[#This Row],[루베 적용]]</f>
        <v>-1500000</v>
      </c>
      <c r="X16" s="626" t="s">
        <v>5</v>
      </c>
      <c r="Y16" s="742"/>
      <c r="Z16" s="727"/>
    </row>
    <row r="17" spans="1:26">
      <c r="A17" s="542">
        <f t="shared" si="1"/>
        <v>13</v>
      </c>
      <c r="B17" s="704">
        <v>46156</v>
      </c>
      <c r="C17" s="704">
        <v>46157</v>
      </c>
      <c r="D17" s="704" t="s">
        <v>405</v>
      </c>
      <c r="E17" s="704" t="s">
        <v>314</v>
      </c>
      <c r="F17" s="704" t="s">
        <v>455</v>
      </c>
      <c r="G17" s="1709"/>
      <c r="H17" s="704" t="s">
        <v>440</v>
      </c>
      <c r="I17" s="704" t="s">
        <v>239</v>
      </c>
      <c r="J17" s="704" t="s">
        <v>235</v>
      </c>
      <c r="K17" s="704" t="s">
        <v>257</v>
      </c>
      <c r="L17" s="704" t="s">
        <v>402</v>
      </c>
      <c r="M17" s="501" t="s">
        <v>276</v>
      </c>
      <c r="N17" s="693" t="s">
        <v>191</v>
      </c>
      <c r="O17" s="687">
        <v>20050</v>
      </c>
      <c r="P17" s="687">
        <v>25280</v>
      </c>
      <c r="Q17" s="693">
        <f t="shared" si="0"/>
        <v>5230</v>
      </c>
      <c r="R17" s="693">
        <v>5200</v>
      </c>
      <c r="S17" s="711">
        <f t="shared" ref="S17:S22" si="4">R17-Q17</f>
        <v>-30</v>
      </c>
      <c r="T17" s="693">
        <f t="shared" si="3"/>
        <v>5200</v>
      </c>
      <c r="U17" s="1697"/>
      <c r="V17" s="695"/>
      <c r="W17" s="695">
        <v>-4500000</v>
      </c>
      <c r="X17" s="701" t="s">
        <v>5</v>
      </c>
      <c r="Y17" s="777"/>
      <c r="Z17" s="727"/>
    </row>
    <row r="18" spans="1:26">
      <c r="A18" s="541">
        <f t="shared" si="1"/>
        <v>14</v>
      </c>
      <c r="B18" s="705">
        <v>46156</v>
      </c>
      <c r="C18" s="705">
        <v>46157</v>
      </c>
      <c r="D18" s="705" t="s">
        <v>405</v>
      </c>
      <c r="E18" s="705" t="s">
        <v>314</v>
      </c>
      <c r="F18" s="705" t="s">
        <v>455</v>
      </c>
      <c r="G18" s="1710"/>
      <c r="H18" s="705" t="s">
        <v>440</v>
      </c>
      <c r="I18" s="705" t="s">
        <v>263</v>
      </c>
      <c r="J18" s="705" t="s">
        <v>53</v>
      </c>
      <c r="K18" s="705" t="s">
        <v>291</v>
      </c>
      <c r="L18" s="705" t="s">
        <v>292</v>
      </c>
      <c r="M18" s="502" t="s">
        <v>276</v>
      </c>
      <c r="N18" s="697" t="s">
        <v>191</v>
      </c>
      <c r="O18" s="689">
        <v>14040</v>
      </c>
      <c r="P18" s="689">
        <v>16590</v>
      </c>
      <c r="Q18" s="697">
        <f t="shared" si="0"/>
        <v>2550</v>
      </c>
      <c r="R18" s="697">
        <v>2550</v>
      </c>
      <c r="S18" s="711">
        <f t="shared" si="4"/>
        <v>0</v>
      </c>
      <c r="T18" s="697">
        <f t="shared" si="3"/>
        <v>2550</v>
      </c>
      <c r="U18" s="1704"/>
      <c r="V18" s="698"/>
      <c r="W18" s="698">
        <v>-4000000</v>
      </c>
      <c r="X18" s="700" t="s">
        <v>5</v>
      </c>
      <c r="Y18" s="778"/>
      <c r="Z18" s="727"/>
    </row>
    <row r="19" spans="1:26">
      <c r="A19" s="542">
        <f t="shared" si="1"/>
        <v>15</v>
      </c>
      <c r="B19" s="704">
        <v>46157</v>
      </c>
      <c r="C19" s="704">
        <v>46157</v>
      </c>
      <c r="D19" s="704" t="s">
        <v>405</v>
      </c>
      <c r="E19" s="704" t="s">
        <v>314</v>
      </c>
      <c r="F19" s="704" t="s">
        <v>455</v>
      </c>
      <c r="G19" s="1709"/>
      <c r="H19" s="704" t="s">
        <v>440</v>
      </c>
      <c r="I19" s="704" t="s">
        <v>239</v>
      </c>
      <c r="J19" s="704" t="s">
        <v>235</v>
      </c>
      <c r="K19" s="704" t="s">
        <v>257</v>
      </c>
      <c r="L19" s="704" t="s">
        <v>402</v>
      </c>
      <c r="M19" s="501" t="s">
        <v>276</v>
      </c>
      <c r="N19" s="693" t="s">
        <v>191</v>
      </c>
      <c r="O19" s="687">
        <v>19980</v>
      </c>
      <c r="P19" s="687">
        <v>28040</v>
      </c>
      <c r="Q19" s="693">
        <f t="shared" si="0"/>
        <v>8060</v>
      </c>
      <c r="R19" s="693">
        <v>7990</v>
      </c>
      <c r="S19" s="711">
        <f t="shared" si="4"/>
        <v>-70</v>
      </c>
      <c r="T19" s="695">
        <v>7990</v>
      </c>
      <c r="U19" s="1699"/>
      <c r="V19" s="695"/>
      <c r="W19" s="695">
        <v>-4500000</v>
      </c>
      <c r="X19" s="701" t="s">
        <v>5</v>
      </c>
      <c r="Y19" s="178"/>
      <c r="Z19" s="727"/>
    </row>
    <row r="20" spans="1:26">
      <c r="A20" s="541">
        <f t="shared" si="1"/>
        <v>16</v>
      </c>
      <c r="B20" s="705">
        <v>46157</v>
      </c>
      <c r="C20" s="705">
        <v>46157</v>
      </c>
      <c r="D20" s="705" t="s">
        <v>405</v>
      </c>
      <c r="E20" s="705" t="s">
        <v>314</v>
      </c>
      <c r="F20" s="705" t="s">
        <v>455</v>
      </c>
      <c r="G20" s="1710"/>
      <c r="H20" s="705" t="s">
        <v>440</v>
      </c>
      <c r="I20" s="705" t="s">
        <v>263</v>
      </c>
      <c r="J20" s="705" t="s">
        <v>53</v>
      </c>
      <c r="K20" s="705" t="s">
        <v>291</v>
      </c>
      <c r="L20" s="705" t="s">
        <v>292</v>
      </c>
      <c r="M20" s="502" t="s">
        <v>276</v>
      </c>
      <c r="N20" s="697" t="s">
        <v>191</v>
      </c>
      <c r="O20" s="689">
        <v>13980</v>
      </c>
      <c r="P20" s="689">
        <v>17380</v>
      </c>
      <c r="Q20" s="697">
        <f t="shared" si="0"/>
        <v>3400</v>
      </c>
      <c r="R20" s="697">
        <v>3390</v>
      </c>
      <c r="S20" s="697">
        <f t="shared" si="4"/>
        <v>-10</v>
      </c>
      <c r="T20" s="698">
        <v>3790</v>
      </c>
      <c r="U20" s="1705"/>
      <c r="V20" s="698"/>
      <c r="W20" s="698">
        <v>-4000000</v>
      </c>
      <c r="X20" s="700" t="s">
        <v>5</v>
      </c>
      <c r="Y20" s="180"/>
      <c r="Z20" s="727"/>
    </row>
    <row r="21" spans="1:26">
      <c r="A21" s="542">
        <f t="shared" si="1"/>
        <v>17</v>
      </c>
      <c r="B21" s="756">
        <v>46158</v>
      </c>
      <c r="C21" s="756">
        <v>46158</v>
      </c>
      <c r="D21" s="756" t="s">
        <v>405</v>
      </c>
      <c r="E21" s="756" t="s">
        <v>314</v>
      </c>
      <c r="F21" s="756" t="s">
        <v>455</v>
      </c>
      <c r="G21" s="1709"/>
      <c r="H21" s="756" t="s">
        <v>440</v>
      </c>
      <c r="I21" s="756" t="s">
        <v>239</v>
      </c>
      <c r="J21" s="756" t="s">
        <v>235</v>
      </c>
      <c r="K21" s="756" t="s">
        <v>257</v>
      </c>
      <c r="L21" s="756" t="s">
        <v>402</v>
      </c>
      <c r="M21" s="501" t="s">
        <v>276</v>
      </c>
      <c r="N21" s="751" t="s">
        <v>191</v>
      </c>
      <c r="O21" s="749">
        <v>20150</v>
      </c>
      <c r="P21" s="749">
        <v>24440</v>
      </c>
      <c r="Q21" s="751">
        <f t="shared" si="0"/>
        <v>4290</v>
      </c>
      <c r="R21" s="751">
        <v>4270</v>
      </c>
      <c r="S21" s="751">
        <f t="shared" si="4"/>
        <v>-20</v>
      </c>
      <c r="T21" s="753">
        <f>표4[[#This Row],[거래처 감량 전
실중량(kg)]]</f>
        <v>4270</v>
      </c>
      <c r="U21" s="1699"/>
      <c r="V21" s="753"/>
      <c r="W21" s="753">
        <v>-4500000</v>
      </c>
      <c r="X21" s="758" t="s">
        <v>5</v>
      </c>
      <c r="Y21" s="777"/>
      <c r="Z21" s="727"/>
    </row>
    <row r="22" spans="1:26">
      <c r="A22" s="541">
        <f t="shared" si="1"/>
        <v>18</v>
      </c>
      <c r="B22" s="760">
        <v>46158</v>
      </c>
      <c r="C22" s="760">
        <v>46158</v>
      </c>
      <c r="D22" s="760" t="s">
        <v>405</v>
      </c>
      <c r="E22" s="760" t="s">
        <v>314</v>
      </c>
      <c r="F22" s="760" t="s">
        <v>455</v>
      </c>
      <c r="G22" s="1710"/>
      <c r="H22" s="760" t="s">
        <v>440</v>
      </c>
      <c r="I22" s="760" t="s">
        <v>263</v>
      </c>
      <c r="J22" s="760" t="s">
        <v>53</v>
      </c>
      <c r="K22" s="760" t="s">
        <v>291</v>
      </c>
      <c r="L22" s="760" t="s">
        <v>292</v>
      </c>
      <c r="M22" s="502" t="s">
        <v>276</v>
      </c>
      <c r="N22" s="752" t="s">
        <v>191</v>
      </c>
      <c r="O22" s="748">
        <v>14000</v>
      </c>
      <c r="P22" s="748">
        <v>16620</v>
      </c>
      <c r="Q22" s="752">
        <f t="shared" si="0"/>
        <v>2620</v>
      </c>
      <c r="R22" s="752">
        <v>2620</v>
      </c>
      <c r="S22" s="752">
        <f t="shared" si="4"/>
        <v>0</v>
      </c>
      <c r="T22" s="754">
        <f>표4[[#This Row],[거래처 감량 전
실중량(kg)]]</f>
        <v>2620</v>
      </c>
      <c r="U22" s="1705"/>
      <c r="V22" s="754"/>
      <c r="W22" s="754">
        <v>-4000000</v>
      </c>
      <c r="X22" s="759" t="s">
        <v>5</v>
      </c>
      <c r="Y22" s="778"/>
      <c r="Z22" s="727"/>
    </row>
    <row r="23" spans="1:26">
      <c r="A23" s="537">
        <f t="shared" si="1"/>
        <v>19</v>
      </c>
      <c r="B23" s="874">
        <v>46160</v>
      </c>
      <c r="C23" s="874">
        <v>46160</v>
      </c>
      <c r="D23" s="874" t="s">
        <v>405</v>
      </c>
      <c r="E23" s="874" t="s">
        <v>314</v>
      </c>
      <c r="F23" s="874" t="s">
        <v>455</v>
      </c>
      <c r="G23" s="1709"/>
      <c r="H23" s="874" t="s">
        <v>440</v>
      </c>
      <c r="I23" s="874" t="s">
        <v>239</v>
      </c>
      <c r="J23" s="874" t="s">
        <v>235</v>
      </c>
      <c r="K23" s="874" t="s">
        <v>257</v>
      </c>
      <c r="L23" s="874" t="s">
        <v>402</v>
      </c>
      <c r="M23" s="501" t="s">
        <v>276</v>
      </c>
      <c r="N23" s="868" t="s">
        <v>191</v>
      </c>
      <c r="O23" s="862">
        <v>20050</v>
      </c>
      <c r="P23" s="862">
        <v>24630</v>
      </c>
      <c r="Q23" s="868">
        <f>표4[[#This Row],[총중량(kg)]]-표4[[#This Row],[공차중량(kg)]]</f>
        <v>4580</v>
      </c>
      <c r="R23" s="868">
        <v>4550</v>
      </c>
      <c r="S23" s="868"/>
      <c r="T23" s="868">
        <f>표4[[#This Row],[거래처 감량 전
실중량(kg)]]</f>
        <v>4550</v>
      </c>
      <c r="U23" s="1697"/>
      <c r="V23" s="870"/>
      <c r="W23" s="870">
        <v>-4500000</v>
      </c>
      <c r="X23" s="865" t="s">
        <v>5</v>
      </c>
      <c r="Y23" s="777"/>
      <c r="Z23" s="727"/>
    </row>
    <row r="24" spans="1:26">
      <c r="A24" s="538">
        <f t="shared" si="1"/>
        <v>20</v>
      </c>
      <c r="B24" s="875">
        <v>46160</v>
      </c>
      <c r="C24" s="875">
        <v>46160</v>
      </c>
      <c r="D24" s="875" t="s">
        <v>399</v>
      </c>
      <c r="E24" s="310" t="s">
        <v>314</v>
      </c>
      <c r="F24" s="310" t="s">
        <v>210</v>
      </c>
      <c r="G24" s="310" t="s">
        <v>17</v>
      </c>
      <c r="H24" s="875" t="s">
        <v>6</v>
      </c>
      <c r="I24" s="875" t="s">
        <v>89</v>
      </c>
      <c r="J24" s="938" t="s">
        <v>235</v>
      </c>
      <c r="K24" s="875" t="s">
        <v>257</v>
      </c>
      <c r="L24" s="875" t="s">
        <v>402</v>
      </c>
      <c r="M24" s="226" t="s">
        <v>400</v>
      </c>
      <c r="N24" s="879" t="s">
        <v>401</v>
      </c>
      <c r="O24" s="860">
        <v>20130</v>
      </c>
      <c r="P24" s="860">
        <v>44150</v>
      </c>
      <c r="Q24" s="879">
        <f>표4[[#This Row],[총중량(kg)]]-표4[[#This Row],[공차중량(kg)]]</f>
        <v>24020</v>
      </c>
      <c r="R24" s="879">
        <v>24020</v>
      </c>
      <c r="S24" s="879"/>
      <c r="T24" s="879">
        <f>표4[[#This Row],[거래처 감량 전
실중량(kg)]]</f>
        <v>24020</v>
      </c>
      <c r="U24" s="1714">
        <v>17</v>
      </c>
      <c r="V24" s="864">
        <v>22000</v>
      </c>
      <c r="W24" s="1726">
        <f>-표4[[#This Row],[단가(원)]]*표4[[#This Row],[루베 적용]]</f>
        <v>-374000</v>
      </c>
      <c r="X24" s="866" t="s">
        <v>5</v>
      </c>
      <c r="Y24" s="939" t="s">
        <v>536</v>
      </c>
      <c r="Z24" s="727"/>
    </row>
    <row r="25" spans="1:26">
      <c r="A25" s="538">
        <f t="shared" si="1"/>
        <v>21</v>
      </c>
      <c r="B25" s="875">
        <v>46160</v>
      </c>
      <c r="C25" s="875">
        <v>46160</v>
      </c>
      <c r="D25" s="875" t="s">
        <v>399</v>
      </c>
      <c r="E25" s="310" t="s">
        <v>314</v>
      </c>
      <c r="F25" s="310" t="s">
        <v>210</v>
      </c>
      <c r="G25" s="310" t="s">
        <v>266</v>
      </c>
      <c r="H25" s="875" t="s">
        <v>6</v>
      </c>
      <c r="I25" s="875" t="s">
        <v>74</v>
      </c>
      <c r="J25" s="938" t="s">
        <v>524</v>
      </c>
      <c r="K25" s="875" t="s">
        <v>525</v>
      </c>
      <c r="L25" s="875"/>
      <c r="M25" s="226" t="s">
        <v>400</v>
      </c>
      <c r="N25" s="879" t="s">
        <v>401</v>
      </c>
      <c r="O25" s="860">
        <v>14560</v>
      </c>
      <c r="P25" s="860">
        <v>35960</v>
      </c>
      <c r="Q25" s="879">
        <f>표4[[#This Row],[총중량(kg)]]-표4[[#This Row],[공차중량(kg)]]</f>
        <v>21400</v>
      </c>
      <c r="R25" s="879">
        <v>21400</v>
      </c>
      <c r="S25" s="879"/>
      <c r="T25" s="879">
        <f>표4[[#This Row],[거래처 감량 전
실중량(kg)]]</f>
        <v>21400</v>
      </c>
      <c r="U25" s="1714">
        <v>17</v>
      </c>
      <c r="V25" s="864">
        <v>22000</v>
      </c>
      <c r="W25" s="1726">
        <f>-표4[[#This Row],[단가(원)]]*표4[[#This Row],[루베 적용]]</f>
        <v>-374000</v>
      </c>
      <c r="X25" s="866" t="s">
        <v>5</v>
      </c>
      <c r="Y25" s="939" t="s">
        <v>535</v>
      </c>
      <c r="Z25" s="727"/>
    </row>
    <row r="26" spans="1:26">
      <c r="A26" s="538">
        <f t="shared" si="1"/>
        <v>22</v>
      </c>
      <c r="B26" s="875">
        <v>46160</v>
      </c>
      <c r="C26" s="875">
        <v>46160</v>
      </c>
      <c r="D26" s="875" t="s">
        <v>399</v>
      </c>
      <c r="E26" s="310" t="s">
        <v>314</v>
      </c>
      <c r="F26" s="310" t="s">
        <v>210</v>
      </c>
      <c r="G26" s="310" t="s">
        <v>288</v>
      </c>
      <c r="H26" s="875" t="s">
        <v>6</v>
      </c>
      <c r="I26" s="875" t="s">
        <v>74</v>
      </c>
      <c r="J26" s="875" t="s">
        <v>532</v>
      </c>
      <c r="K26" s="875" t="s">
        <v>533</v>
      </c>
      <c r="L26" s="875"/>
      <c r="M26" s="226" t="s">
        <v>400</v>
      </c>
      <c r="N26" s="879" t="s">
        <v>401</v>
      </c>
      <c r="O26" s="860">
        <v>14890</v>
      </c>
      <c r="P26" s="860">
        <v>38690</v>
      </c>
      <c r="Q26" s="879">
        <f>표4[[#This Row],[총중량(kg)]]-표4[[#This Row],[공차중량(kg)]]</f>
        <v>23800</v>
      </c>
      <c r="R26" s="879">
        <v>23800</v>
      </c>
      <c r="S26" s="879"/>
      <c r="T26" s="879">
        <f>표4[[#This Row],[거래처 감량 전
실중량(kg)]]</f>
        <v>23800</v>
      </c>
      <c r="U26" s="1714">
        <v>17</v>
      </c>
      <c r="V26" s="864">
        <v>22000</v>
      </c>
      <c r="W26" s="1726">
        <f>-표4[[#This Row],[단가(원)]]*표4[[#This Row],[루베 적용]]</f>
        <v>-374000</v>
      </c>
      <c r="X26" s="866" t="s">
        <v>5</v>
      </c>
      <c r="Y26" s="939" t="s">
        <v>534</v>
      </c>
      <c r="Z26" s="727"/>
    </row>
    <row r="27" spans="1:26">
      <c r="A27" s="538">
        <f t="shared" si="1"/>
        <v>23</v>
      </c>
      <c r="B27" s="875">
        <v>46160</v>
      </c>
      <c r="C27" s="875">
        <v>46160</v>
      </c>
      <c r="D27" s="875" t="s">
        <v>399</v>
      </c>
      <c r="E27" s="310" t="s">
        <v>314</v>
      </c>
      <c r="F27" s="310" t="s">
        <v>210</v>
      </c>
      <c r="G27" s="310" t="s">
        <v>288</v>
      </c>
      <c r="H27" s="875" t="s">
        <v>6</v>
      </c>
      <c r="I27" s="875" t="s">
        <v>74</v>
      </c>
      <c r="J27" s="875" t="s">
        <v>528</v>
      </c>
      <c r="K27" s="875" t="s">
        <v>529</v>
      </c>
      <c r="L27" s="875"/>
      <c r="M27" s="226" t="s">
        <v>400</v>
      </c>
      <c r="N27" s="879" t="s">
        <v>401</v>
      </c>
      <c r="O27" s="860">
        <v>14660</v>
      </c>
      <c r="P27" s="860">
        <v>35460</v>
      </c>
      <c r="Q27" s="879">
        <f>표4[[#This Row],[총중량(kg)]]-표4[[#This Row],[공차중량(kg)]]</f>
        <v>20800</v>
      </c>
      <c r="R27" s="879">
        <v>20800</v>
      </c>
      <c r="S27" s="879"/>
      <c r="T27" s="879">
        <f>표4[[#This Row],[거래처 감량 전
실중량(kg)]]</f>
        <v>20800</v>
      </c>
      <c r="U27" s="1714">
        <v>17</v>
      </c>
      <c r="V27" s="864">
        <v>22000</v>
      </c>
      <c r="W27" s="1726">
        <f>-표4[[#This Row],[단가(원)]]*표4[[#This Row],[루베 적용]]</f>
        <v>-374000</v>
      </c>
      <c r="X27" s="866" t="s">
        <v>5</v>
      </c>
      <c r="Y27" s="939" t="s">
        <v>534</v>
      </c>
      <c r="Z27" s="727"/>
    </row>
    <row r="28" spans="1:26">
      <c r="A28" s="541">
        <f t="shared" si="1"/>
        <v>24</v>
      </c>
      <c r="B28" s="876">
        <v>46160</v>
      </c>
      <c r="C28" s="876">
        <v>46160</v>
      </c>
      <c r="D28" s="876" t="s">
        <v>399</v>
      </c>
      <c r="E28" s="311" t="s">
        <v>314</v>
      </c>
      <c r="F28" s="311" t="s">
        <v>210</v>
      </c>
      <c r="G28" s="311" t="s">
        <v>288</v>
      </c>
      <c r="H28" s="876" t="s">
        <v>6</v>
      </c>
      <c r="I28" s="876" t="s">
        <v>74</v>
      </c>
      <c r="J28" s="876" t="s">
        <v>526</v>
      </c>
      <c r="K28" s="876" t="s">
        <v>527</v>
      </c>
      <c r="L28" s="876"/>
      <c r="M28" s="502" t="s">
        <v>400</v>
      </c>
      <c r="N28" s="869" t="s">
        <v>401</v>
      </c>
      <c r="O28" s="861">
        <v>15680</v>
      </c>
      <c r="P28" s="861">
        <v>41940</v>
      </c>
      <c r="Q28" s="869">
        <f>표4[[#This Row],[총중량(kg)]]-표4[[#This Row],[공차중량(kg)]]</f>
        <v>26260</v>
      </c>
      <c r="R28" s="869">
        <v>26260</v>
      </c>
      <c r="S28" s="869"/>
      <c r="T28" s="869">
        <f>표4[[#This Row],[거래처 감량 전
실중량(kg)]]</f>
        <v>26260</v>
      </c>
      <c r="U28" s="1704">
        <v>17</v>
      </c>
      <c r="V28" s="871">
        <v>22000</v>
      </c>
      <c r="W28" s="1728">
        <f>-표4[[#This Row],[단가(원)]]*표4[[#This Row],[루베 적용]]</f>
        <v>-374000</v>
      </c>
      <c r="X28" s="872" t="s">
        <v>5</v>
      </c>
      <c r="Y28" s="778" t="s">
        <v>534</v>
      </c>
      <c r="Z28" s="727"/>
    </row>
    <row r="29" spans="1:26">
      <c r="A29" s="537">
        <f t="shared" si="1"/>
        <v>25</v>
      </c>
      <c r="B29" s="909">
        <v>46161</v>
      </c>
      <c r="C29" s="909">
        <v>46161</v>
      </c>
      <c r="D29" s="909" t="s">
        <v>399</v>
      </c>
      <c r="E29" s="385" t="s">
        <v>314</v>
      </c>
      <c r="F29" s="385" t="s">
        <v>455</v>
      </c>
      <c r="G29" s="385" t="s">
        <v>288</v>
      </c>
      <c r="H29" s="909" t="s">
        <v>6</v>
      </c>
      <c r="I29" s="909" t="s">
        <v>261</v>
      </c>
      <c r="J29" s="909" t="s">
        <v>524</v>
      </c>
      <c r="K29" s="909" t="s">
        <v>525</v>
      </c>
      <c r="L29" s="909"/>
      <c r="M29" s="909" t="s">
        <v>400</v>
      </c>
      <c r="N29" s="914" t="s">
        <v>401</v>
      </c>
      <c r="O29" s="900">
        <v>14560</v>
      </c>
      <c r="P29" s="900">
        <v>38290</v>
      </c>
      <c r="Q29" s="914">
        <f>표4[[#This Row],[총중량(kg)]]-표4[[#This Row],[공차중량(kg)]]</f>
        <v>23730</v>
      </c>
      <c r="R29" s="914">
        <v>23730</v>
      </c>
      <c r="S29" s="914"/>
      <c r="T29" s="914">
        <f>표4[[#This Row],[거래처 감량 전
실중량(kg)]]</f>
        <v>23730</v>
      </c>
      <c r="U29" s="1712">
        <v>17</v>
      </c>
      <c r="V29" s="916">
        <v>22000</v>
      </c>
      <c r="W29" s="1787">
        <f>-표4[[#This Row],[단가(원)]]*표4[[#This Row],[루베 적용]]</f>
        <v>-374000</v>
      </c>
      <c r="X29" s="912" t="s">
        <v>190</v>
      </c>
      <c r="Y29" s="943" t="s">
        <v>534</v>
      </c>
      <c r="Z29" s="727"/>
    </row>
    <row r="30" spans="1:26">
      <c r="A30" s="538">
        <f t="shared" si="1"/>
        <v>26</v>
      </c>
      <c r="B30" s="909">
        <v>46161</v>
      </c>
      <c r="C30" s="909">
        <v>46161</v>
      </c>
      <c r="D30" s="909" t="s">
        <v>399</v>
      </c>
      <c r="E30" s="385" t="s">
        <v>314</v>
      </c>
      <c r="F30" s="385" t="s">
        <v>455</v>
      </c>
      <c r="G30" s="385" t="s">
        <v>288</v>
      </c>
      <c r="H30" s="908" t="s">
        <v>6</v>
      </c>
      <c r="I30" s="909" t="s">
        <v>261</v>
      </c>
      <c r="J30" s="909" t="s">
        <v>526</v>
      </c>
      <c r="K30" s="909" t="s">
        <v>527</v>
      </c>
      <c r="L30" s="909"/>
      <c r="M30" s="909" t="s">
        <v>400</v>
      </c>
      <c r="N30" s="919" t="s">
        <v>401</v>
      </c>
      <c r="O30" s="900">
        <v>15680</v>
      </c>
      <c r="P30" s="900">
        <v>39530</v>
      </c>
      <c r="Q30" s="914">
        <f>표4[[#This Row],[총중량(kg)]]-표4[[#This Row],[공차중량(kg)]]</f>
        <v>23850</v>
      </c>
      <c r="R30" s="914">
        <v>23850</v>
      </c>
      <c r="S30" s="914"/>
      <c r="T30" s="914">
        <f>표4[[#This Row],[거래처 감량 전
실중량(kg)]]</f>
        <v>23850</v>
      </c>
      <c r="U30" s="1712">
        <v>17</v>
      </c>
      <c r="V30" s="916">
        <v>22000</v>
      </c>
      <c r="W30" s="1726">
        <f>-표4[[#This Row],[단가(원)]]*표4[[#This Row],[루베 적용]]</f>
        <v>-374000</v>
      </c>
      <c r="X30" s="912" t="s">
        <v>190</v>
      </c>
      <c r="Y30" s="943" t="s">
        <v>534</v>
      </c>
      <c r="Z30" s="727"/>
    </row>
    <row r="31" spans="1:26">
      <c r="A31" s="538">
        <f t="shared" si="1"/>
        <v>27</v>
      </c>
      <c r="B31" s="909">
        <v>46161</v>
      </c>
      <c r="C31" s="909">
        <v>46161</v>
      </c>
      <c r="D31" s="909" t="s">
        <v>399</v>
      </c>
      <c r="E31" s="385" t="s">
        <v>314</v>
      </c>
      <c r="F31" s="385" t="s">
        <v>455</v>
      </c>
      <c r="G31" s="385" t="s">
        <v>288</v>
      </c>
      <c r="H31" s="908" t="s">
        <v>6</v>
      </c>
      <c r="I31" s="909" t="s">
        <v>261</v>
      </c>
      <c r="J31" s="909" t="s">
        <v>528</v>
      </c>
      <c r="K31" s="909" t="s">
        <v>529</v>
      </c>
      <c r="L31" s="909"/>
      <c r="M31" s="909" t="s">
        <v>400</v>
      </c>
      <c r="N31" s="919" t="s">
        <v>401</v>
      </c>
      <c r="O31" s="900">
        <v>14660</v>
      </c>
      <c r="P31" s="900">
        <v>39390</v>
      </c>
      <c r="Q31" s="914">
        <f>표4[[#This Row],[총중량(kg)]]-표4[[#This Row],[공차중량(kg)]]</f>
        <v>24730</v>
      </c>
      <c r="R31" s="914">
        <v>24730</v>
      </c>
      <c r="S31" s="914"/>
      <c r="T31" s="914">
        <f>표4[[#This Row],[거래처 감량 전
실중량(kg)]]</f>
        <v>24730</v>
      </c>
      <c r="U31" s="1712">
        <v>17</v>
      </c>
      <c r="V31" s="916">
        <v>22000</v>
      </c>
      <c r="W31" s="1726">
        <f>-표4[[#This Row],[단가(원)]]*표4[[#This Row],[루베 적용]]</f>
        <v>-374000</v>
      </c>
      <c r="X31" s="912" t="s">
        <v>190</v>
      </c>
      <c r="Y31" s="943" t="s">
        <v>534</v>
      </c>
      <c r="Z31" s="727"/>
    </row>
    <row r="32" spans="1:26">
      <c r="A32" s="538">
        <f t="shared" si="1"/>
        <v>28</v>
      </c>
      <c r="B32" s="909">
        <v>46161</v>
      </c>
      <c r="C32" s="909">
        <v>46161</v>
      </c>
      <c r="D32" s="909" t="s">
        <v>399</v>
      </c>
      <c r="E32" s="385" t="s">
        <v>314</v>
      </c>
      <c r="F32" s="385" t="s">
        <v>455</v>
      </c>
      <c r="G32" s="385" t="s">
        <v>288</v>
      </c>
      <c r="H32" s="908" t="s">
        <v>6</v>
      </c>
      <c r="I32" s="909" t="s">
        <v>261</v>
      </c>
      <c r="J32" s="909" t="s">
        <v>530</v>
      </c>
      <c r="K32" s="909" t="s">
        <v>531</v>
      </c>
      <c r="L32" s="909"/>
      <c r="M32" s="909" t="s">
        <v>400</v>
      </c>
      <c r="N32" s="919" t="s">
        <v>401</v>
      </c>
      <c r="O32" s="900">
        <v>14570</v>
      </c>
      <c r="P32" s="900">
        <v>40120</v>
      </c>
      <c r="Q32" s="914">
        <f>표4[[#This Row],[총중량(kg)]]-표4[[#This Row],[공차중량(kg)]]</f>
        <v>25550</v>
      </c>
      <c r="R32" s="914">
        <v>25550</v>
      </c>
      <c r="S32" s="914"/>
      <c r="T32" s="914">
        <f>표4[[#This Row],[거래처 감량 전
실중량(kg)]]</f>
        <v>25550</v>
      </c>
      <c r="U32" s="1712">
        <v>17</v>
      </c>
      <c r="V32" s="916">
        <v>22000</v>
      </c>
      <c r="W32" s="1726">
        <f>-표4[[#This Row],[단가(원)]]*표4[[#This Row],[루베 적용]]</f>
        <v>-374000</v>
      </c>
      <c r="X32" s="912" t="s">
        <v>190</v>
      </c>
      <c r="Y32" s="943" t="s">
        <v>534</v>
      </c>
      <c r="Z32" s="727"/>
    </row>
    <row r="33" spans="1:26">
      <c r="A33" s="538">
        <f t="shared" si="1"/>
        <v>29</v>
      </c>
      <c r="B33" s="909">
        <v>46161</v>
      </c>
      <c r="C33" s="909">
        <v>46161</v>
      </c>
      <c r="D33" s="909" t="s">
        <v>399</v>
      </c>
      <c r="E33" s="385" t="s">
        <v>314</v>
      </c>
      <c r="F33" s="385" t="s">
        <v>455</v>
      </c>
      <c r="G33" s="385" t="s">
        <v>288</v>
      </c>
      <c r="H33" s="908" t="s">
        <v>6</v>
      </c>
      <c r="I33" s="909" t="s">
        <v>261</v>
      </c>
      <c r="J33" s="909" t="s">
        <v>524</v>
      </c>
      <c r="K33" s="909" t="s">
        <v>525</v>
      </c>
      <c r="L33" s="909"/>
      <c r="M33" s="909" t="s">
        <v>400</v>
      </c>
      <c r="N33" s="919" t="s">
        <v>401</v>
      </c>
      <c r="O33" s="900">
        <v>14560</v>
      </c>
      <c r="P33" s="900">
        <v>37840</v>
      </c>
      <c r="Q33" s="914">
        <f>표4[[#This Row],[총중량(kg)]]-표4[[#This Row],[공차중량(kg)]]</f>
        <v>23280</v>
      </c>
      <c r="R33" s="914">
        <v>23280</v>
      </c>
      <c r="S33" s="914"/>
      <c r="T33" s="914">
        <f>표4[[#This Row],[거래처 감량 전
실중량(kg)]]</f>
        <v>23280</v>
      </c>
      <c r="U33" s="1712">
        <v>17</v>
      </c>
      <c r="V33" s="916">
        <v>22000</v>
      </c>
      <c r="W33" s="1726">
        <f>-표4[[#This Row],[단가(원)]]*표4[[#This Row],[루베 적용]]</f>
        <v>-374000</v>
      </c>
      <c r="X33" s="912" t="s">
        <v>190</v>
      </c>
      <c r="Y33" s="943" t="s">
        <v>534</v>
      </c>
      <c r="Z33" s="727"/>
    </row>
    <row r="34" spans="1:26">
      <c r="A34" s="538">
        <f t="shared" si="1"/>
        <v>30</v>
      </c>
      <c r="B34" s="909">
        <v>46161</v>
      </c>
      <c r="C34" s="909">
        <v>46161</v>
      </c>
      <c r="D34" s="909" t="s">
        <v>399</v>
      </c>
      <c r="E34" s="385" t="s">
        <v>314</v>
      </c>
      <c r="F34" s="385" t="s">
        <v>455</v>
      </c>
      <c r="G34" s="385" t="s">
        <v>288</v>
      </c>
      <c r="H34" s="908" t="s">
        <v>6</v>
      </c>
      <c r="I34" s="909" t="s">
        <v>261</v>
      </c>
      <c r="J34" s="909" t="s">
        <v>526</v>
      </c>
      <c r="K34" s="909" t="s">
        <v>527</v>
      </c>
      <c r="L34" s="909"/>
      <c r="M34" s="909" t="s">
        <v>400</v>
      </c>
      <c r="N34" s="919" t="s">
        <v>401</v>
      </c>
      <c r="O34" s="900">
        <v>15680</v>
      </c>
      <c r="P34" s="900">
        <v>40420</v>
      </c>
      <c r="Q34" s="914">
        <f>표4[[#This Row],[총중량(kg)]]-표4[[#This Row],[공차중량(kg)]]</f>
        <v>24740</v>
      </c>
      <c r="R34" s="914">
        <v>24740</v>
      </c>
      <c r="S34" s="914"/>
      <c r="T34" s="914">
        <f>표4[[#This Row],[거래처 감량 전
실중량(kg)]]</f>
        <v>24740</v>
      </c>
      <c r="U34" s="1712">
        <v>17</v>
      </c>
      <c r="V34" s="916">
        <v>22000</v>
      </c>
      <c r="W34" s="1726">
        <f>-표4[[#This Row],[단가(원)]]*표4[[#This Row],[루베 적용]]</f>
        <v>-374000</v>
      </c>
      <c r="X34" s="912" t="s">
        <v>190</v>
      </c>
      <c r="Y34" s="943" t="s">
        <v>534</v>
      </c>
      <c r="Z34" s="727"/>
    </row>
    <row r="35" spans="1:26">
      <c r="A35" s="541">
        <f t="shared" si="1"/>
        <v>31</v>
      </c>
      <c r="B35" s="911">
        <v>46161</v>
      </c>
      <c r="C35" s="911">
        <v>46161</v>
      </c>
      <c r="D35" s="911" t="s">
        <v>399</v>
      </c>
      <c r="E35" s="311" t="s">
        <v>314</v>
      </c>
      <c r="F35" s="311" t="s">
        <v>455</v>
      </c>
      <c r="G35" s="311" t="s">
        <v>288</v>
      </c>
      <c r="H35" s="911" t="s">
        <v>6</v>
      </c>
      <c r="I35" s="911" t="s">
        <v>261</v>
      </c>
      <c r="J35" s="911" t="s">
        <v>528</v>
      </c>
      <c r="K35" s="911" t="s">
        <v>529</v>
      </c>
      <c r="L35" s="911"/>
      <c r="M35" s="911" t="s">
        <v>400</v>
      </c>
      <c r="N35" s="906" t="s">
        <v>401</v>
      </c>
      <c r="O35" s="899">
        <v>14660</v>
      </c>
      <c r="P35" s="899">
        <v>25890</v>
      </c>
      <c r="Q35" s="906">
        <f>표4[[#This Row],[총중량(kg)]]-표4[[#This Row],[공차중량(kg)]]</f>
        <v>11230</v>
      </c>
      <c r="R35" s="906">
        <v>11230</v>
      </c>
      <c r="S35" s="906"/>
      <c r="T35" s="906">
        <f>표4[[#This Row],[거래처 감량 전
실중량(kg)]]</f>
        <v>11230</v>
      </c>
      <c r="U35" s="1704">
        <v>17</v>
      </c>
      <c r="V35" s="907">
        <v>22000</v>
      </c>
      <c r="W35" s="1726">
        <f>-표4[[#This Row],[단가(원)]]*표4[[#This Row],[루베 적용]]</f>
        <v>-374000</v>
      </c>
      <c r="X35" s="913" t="s">
        <v>190</v>
      </c>
      <c r="Y35" s="778" t="s">
        <v>534</v>
      </c>
      <c r="Z35" s="727"/>
    </row>
    <row r="36" spans="1:26">
      <c r="A36" s="541">
        <f t="shared" si="1"/>
        <v>32</v>
      </c>
      <c r="B36" s="1748">
        <v>46161</v>
      </c>
      <c r="C36" s="1751"/>
      <c r="D36" s="1748" t="s">
        <v>451</v>
      </c>
      <c r="E36" s="311" t="s">
        <v>314</v>
      </c>
      <c r="F36" s="311" t="s">
        <v>455</v>
      </c>
      <c r="G36" s="309" t="s">
        <v>288</v>
      </c>
      <c r="H36" s="87" t="s">
        <v>6</v>
      </c>
      <c r="I36" s="87" t="s">
        <v>74</v>
      </c>
      <c r="J36" s="87"/>
      <c r="K36" s="87"/>
      <c r="L36" s="87"/>
      <c r="M36" s="87" t="s">
        <v>748</v>
      </c>
      <c r="N36" s="89" t="s">
        <v>749</v>
      </c>
      <c r="O36" s="1735"/>
      <c r="P36" s="1735"/>
      <c r="Q36" s="1745"/>
      <c r="R36" s="1745"/>
      <c r="S36" s="1745"/>
      <c r="T36" s="1745"/>
      <c r="U36" s="1745">
        <v>17</v>
      </c>
      <c r="V36" s="1736">
        <v>6600</v>
      </c>
      <c r="W36" s="1727">
        <f>-표4[[#This Row],[단가(원)]]*표4[[#This Row],[루베 적용]]</f>
        <v>-112200</v>
      </c>
      <c r="X36" s="1737"/>
      <c r="Y36" s="778" t="s">
        <v>750</v>
      </c>
      <c r="Z36" s="727"/>
    </row>
    <row r="37" spans="1:26">
      <c r="A37" s="543">
        <f t="shared" si="1"/>
        <v>33</v>
      </c>
      <c r="B37" s="1000">
        <v>46161</v>
      </c>
      <c r="C37" s="1000"/>
      <c r="D37" s="1751" t="s">
        <v>451</v>
      </c>
      <c r="E37" s="1015" t="s">
        <v>264</v>
      </c>
      <c r="F37" s="1015"/>
      <c r="G37" s="1015" t="s">
        <v>570</v>
      </c>
      <c r="H37" s="1747" t="s">
        <v>6</v>
      </c>
      <c r="I37" s="1747" t="s">
        <v>568</v>
      </c>
      <c r="J37" s="1747" t="s">
        <v>569</v>
      </c>
      <c r="K37" s="1747"/>
      <c r="L37" s="1747"/>
      <c r="M37" s="1747" t="s">
        <v>570</v>
      </c>
      <c r="N37" s="1749" t="s">
        <v>571</v>
      </c>
      <c r="O37" s="987">
        <v>15220</v>
      </c>
      <c r="P37" s="987">
        <v>27820</v>
      </c>
      <c r="Q37" s="993">
        <f>표4[[#This Row],[총중량(kg)]]-표4[[#This Row],[공차중량(kg)]]</f>
        <v>12600</v>
      </c>
      <c r="R37" s="993"/>
      <c r="S37" s="993"/>
      <c r="T37" s="993">
        <v>12600</v>
      </c>
      <c r="U37" s="1702"/>
      <c r="V37" s="991">
        <v>0</v>
      </c>
      <c r="W37" s="991">
        <v>0</v>
      </c>
      <c r="X37" s="1738" t="s">
        <v>5</v>
      </c>
      <c r="Y37" s="1788" t="s">
        <v>308</v>
      </c>
      <c r="Z37" s="727"/>
    </row>
    <row r="38" spans="1:26">
      <c r="A38" s="542">
        <f t="shared" si="1"/>
        <v>34</v>
      </c>
      <c r="B38" s="979">
        <v>46162</v>
      </c>
      <c r="C38" s="979">
        <v>46162</v>
      </c>
      <c r="D38" s="979" t="s">
        <v>405</v>
      </c>
      <c r="E38" s="979" t="s">
        <v>264</v>
      </c>
      <c r="F38" s="979" t="s">
        <v>17</v>
      </c>
      <c r="G38" s="1709" t="s">
        <v>83</v>
      </c>
      <c r="H38" s="979" t="s">
        <v>17</v>
      </c>
      <c r="I38" s="979" t="s">
        <v>89</v>
      </c>
      <c r="J38" s="979" t="s">
        <v>202</v>
      </c>
      <c r="K38" s="979"/>
      <c r="L38" s="979"/>
      <c r="M38" s="501" t="s">
        <v>83</v>
      </c>
      <c r="N38" s="972" t="s">
        <v>285</v>
      </c>
      <c r="O38" s="965">
        <v>20930</v>
      </c>
      <c r="P38" s="965">
        <v>31240</v>
      </c>
      <c r="Q38" s="972">
        <f>표4[[#This Row],[총중량(kg)]]-표4[[#This Row],[공차중량(kg)]]-3490</f>
        <v>6820</v>
      </c>
      <c r="R38" s="972"/>
      <c r="S38" s="972"/>
      <c r="T38" s="972">
        <f>표4[[#This Row],[실중량(kg)]]</f>
        <v>6820</v>
      </c>
      <c r="U38" s="1697"/>
      <c r="V38" s="974">
        <v>170</v>
      </c>
      <c r="W38" s="974">
        <f>-표4[[#This Row],[단가(원)]]*표4[[#This Row],[정산 중량(kg)]]</f>
        <v>-1159400</v>
      </c>
      <c r="X38" s="969" t="s">
        <v>5</v>
      </c>
      <c r="Y38" s="777" t="s">
        <v>540</v>
      </c>
      <c r="Z38" s="727"/>
    </row>
    <row r="39" spans="1:26">
      <c r="A39" s="541">
        <f t="shared" si="1"/>
        <v>35</v>
      </c>
      <c r="B39" s="981">
        <v>46162</v>
      </c>
      <c r="C39" s="981">
        <v>46162</v>
      </c>
      <c r="D39" s="980" t="s">
        <v>405</v>
      </c>
      <c r="E39" s="309" t="s">
        <v>314</v>
      </c>
      <c r="F39" s="980" t="s">
        <v>17</v>
      </c>
      <c r="G39" s="1710"/>
      <c r="H39" s="980" t="s">
        <v>17</v>
      </c>
      <c r="I39" s="980" t="s">
        <v>89</v>
      </c>
      <c r="J39" s="981" t="s">
        <v>202</v>
      </c>
      <c r="K39" s="981"/>
      <c r="L39" s="981"/>
      <c r="M39" s="481" t="s">
        <v>83</v>
      </c>
      <c r="N39" s="978" t="s">
        <v>285</v>
      </c>
      <c r="O39" s="964"/>
      <c r="P39" s="964"/>
      <c r="Q39" s="973">
        <v>3490</v>
      </c>
      <c r="R39" s="973"/>
      <c r="S39" s="973"/>
      <c r="T39" s="973">
        <f>표4[[#This Row],[실중량(kg)]]</f>
        <v>3490</v>
      </c>
      <c r="U39" s="1704"/>
      <c r="V39" s="975">
        <v>170</v>
      </c>
      <c r="W39" s="968">
        <f>-표4[[#This Row],[단가(원)]]*표4[[#This Row],[정산 중량(kg)]]</f>
        <v>-593300</v>
      </c>
      <c r="X39" s="971" t="s">
        <v>5</v>
      </c>
      <c r="Y39" s="778" t="s">
        <v>539</v>
      </c>
      <c r="Z39" s="727"/>
    </row>
    <row r="40" spans="1:26">
      <c r="A40" s="1045">
        <f t="shared" si="1"/>
        <v>36</v>
      </c>
      <c r="B40" s="87">
        <v>46163</v>
      </c>
      <c r="C40" s="87">
        <v>46163</v>
      </c>
      <c r="D40" s="87" t="s">
        <v>405</v>
      </c>
      <c r="E40" s="387" t="s">
        <v>264</v>
      </c>
      <c r="F40" s="87" t="s">
        <v>453</v>
      </c>
      <c r="G40" s="87" t="s">
        <v>17</v>
      </c>
      <c r="H40" s="87" t="s">
        <v>440</v>
      </c>
      <c r="I40" s="87" t="s">
        <v>239</v>
      </c>
      <c r="J40" s="87" t="s">
        <v>235</v>
      </c>
      <c r="K40" s="87" t="s">
        <v>289</v>
      </c>
      <c r="L40" s="87" t="s">
        <v>290</v>
      </c>
      <c r="M40" s="88" t="s">
        <v>400</v>
      </c>
      <c r="N40" s="89" t="s">
        <v>401</v>
      </c>
      <c r="O40" s="90">
        <v>20820</v>
      </c>
      <c r="P40" s="90">
        <v>38840</v>
      </c>
      <c r="Q40" s="89">
        <f>표4[[#This Row],[총중량(kg)]]-표4[[#This Row],[공차중량(kg)]]</f>
        <v>18020</v>
      </c>
      <c r="R40" s="89">
        <v>23980</v>
      </c>
      <c r="S40" s="89"/>
      <c r="T40" s="89">
        <f>표4[[#This Row],[거래처 감량 전
실중량(kg)]]</f>
        <v>23980</v>
      </c>
      <c r="U40" s="89">
        <v>20</v>
      </c>
      <c r="V40" s="92">
        <v>21875</v>
      </c>
      <c r="W40" s="1731">
        <f>-표4[[#This Row],[단가(원)]]*표4[[#This Row],[루베 적용]]</f>
        <v>-437500</v>
      </c>
      <c r="X40" s="508" t="s">
        <v>5</v>
      </c>
      <c r="Y40" s="1046" t="s">
        <v>562</v>
      </c>
      <c r="Z40" s="727"/>
    </row>
    <row r="41" spans="1:26">
      <c r="A41" s="616">
        <f t="shared" si="1"/>
        <v>37</v>
      </c>
      <c r="B41" s="1088">
        <v>46164</v>
      </c>
      <c r="C41" s="1088">
        <v>46164</v>
      </c>
      <c r="D41" s="1088" t="s">
        <v>399</v>
      </c>
      <c r="E41" s="1015" t="s">
        <v>264</v>
      </c>
      <c r="F41" s="1088" t="s">
        <v>453</v>
      </c>
      <c r="G41" s="1711" t="s">
        <v>17</v>
      </c>
      <c r="H41" s="1088" t="s">
        <v>440</v>
      </c>
      <c r="I41" s="1088" t="s">
        <v>239</v>
      </c>
      <c r="J41" s="1088" t="s">
        <v>235</v>
      </c>
      <c r="K41" s="1088" t="s">
        <v>257</v>
      </c>
      <c r="L41" s="1088" t="s">
        <v>402</v>
      </c>
      <c r="M41" s="84" t="s">
        <v>361</v>
      </c>
      <c r="N41" s="1087" t="s">
        <v>286</v>
      </c>
      <c r="O41" s="1085">
        <v>20690</v>
      </c>
      <c r="P41" s="1085">
        <v>37660</v>
      </c>
      <c r="Q41" s="1087">
        <f>표4[[#This Row],[총중량(kg)]]-표4[[#This Row],[공차중량(kg)]]</f>
        <v>16970</v>
      </c>
      <c r="R41" s="1087">
        <v>16970</v>
      </c>
      <c r="S41" s="1087"/>
      <c r="T41" s="1087">
        <f>표4[[#This Row],[거래처 감량 전
실중량(kg)]]</f>
        <v>16970</v>
      </c>
      <c r="U41" s="1702"/>
      <c r="V41" s="1086">
        <v>170</v>
      </c>
      <c r="W41" s="1732">
        <f>-표4[[#This Row],[단가(원)]]*표4[[#This Row],[정산 중량(kg)]]</f>
        <v>-2884900</v>
      </c>
      <c r="X41" s="1084" t="s">
        <v>5</v>
      </c>
      <c r="Y41" s="1117" t="s">
        <v>588</v>
      </c>
      <c r="Z41" s="727"/>
    </row>
    <row r="42" spans="1:26">
      <c r="A42" s="1300">
        <f t="shared" si="1"/>
        <v>38</v>
      </c>
      <c r="B42" s="87">
        <v>46171</v>
      </c>
      <c r="C42" s="87">
        <v>46171</v>
      </c>
      <c r="D42" s="87" t="s">
        <v>451</v>
      </c>
      <c r="E42" s="387" t="s">
        <v>309</v>
      </c>
      <c r="F42" s="87"/>
      <c r="G42" s="87"/>
      <c r="H42" s="87" t="s">
        <v>17</v>
      </c>
      <c r="I42" s="87" t="s">
        <v>46</v>
      </c>
      <c r="J42" s="87" t="s">
        <v>33</v>
      </c>
      <c r="K42" s="87" t="s">
        <v>335</v>
      </c>
      <c r="L42" s="87" t="s">
        <v>336</v>
      </c>
      <c r="M42" s="88" t="s">
        <v>618</v>
      </c>
      <c r="N42" s="89" t="s">
        <v>619</v>
      </c>
      <c r="O42" s="90">
        <v>13570</v>
      </c>
      <c r="P42" s="90">
        <v>16400</v>
      </c>
      <c r="Q42" s="89">
        <f>표4[[#This Row],[총중량(kg)]]-표4[[#This Row],[공차중량(kg)]]</f>
        <v>2830</v>
      </c>
      <c r="R42" s="89"/>
      <c r="S42" s="89"/>
      <c r="T42" s="89">
        <v>2830</v>
      </c>
      <c r="U42" s="89"/>
      <c r="V42" s="92">
        <v>0</v>
      </c>
      <c r="W42" s="92">
        <v>0</v>
      </c>
      <c r="X42" s="508" t="s">
        <v>5</v>
      </c>
      <c r="Y42" s="614" t="s">
        <v>308</v>
      </c>
      <c r="Z42" s="727"/>
    </row>
    <row r="43" spans="1:26">
      <c r="A43" s="1300">
        <f t="shared" si="1"/>
        <v>39</v>
      </c>
      <c r="B43" s="1290">
        <v>46171</v>
      </c>
      <c r="C43" s="1290">
        <v>46171</v>
      </c>
      <c r="D43" s="1290" t="s">
        <v>399</v>
      </c>
      <c r="E43" s="309" t="s">
        <v>264</v>
      </c>
      <c r="F43" s="309" t="s">
        <v>453</v>
      </c>
      <c r="G43" s="309" t="s">
        <v>266</v>
      </c>
      <c r="H43" s="87" t="s">
        <v>440</v>
      </c>
      <c r="I43" s="1290" t="s">
        <v>224</v>
      </c>
      <c r="J43" s="1290" t="s">
        <v>526</v>
      </c>
      <c r="K43" s="1290"/>
      <c r="L43" s="1290"/>
      <c r="M43" s="1290" t="s">
        <v>400</v>
      </c>
      <c r="N43" s="481" t="s">
        <v>642</v>
      </c>
      <c r="O43" s="1286">
        <v>14560</v>
      </c>
      <c r="P43" s="1280">
        <v>23000</v>
      </c>
      <c r="Q43" s="89">
        <f>P43-O43</f>
        <v>8440</v>
      </c>
      <c r="R43" s="1286">
        <v>8440</v>
      </c>
      <c r="S43" s="1286"/>
      <c r="T43" s="1286">
        <f>R43</f>
        <v>8440</v>
      </c>
      <c r="U43" s="1713">
        <v>17</v>
      </c>
      <c r="V43" s="1283">
        <v>31250</v>
      </c>
      <c r="W43" s="1727">
        <f>-표4[[#This Row],[단가(원)]]*표4[[#This Row],[루베 적용]]</f>
        <v>-531250</v>
      </c>
      <c r="X43" s="1284" t="s">
        <v>5</v>
      </c>
      <c r="Y43" s="614"/>
      <c r="Z43" s="727"/>
    </row>
    <row r="44" spans="1:26">
      <c r="A44" s="1300">
        <f t="shared" si="1"/>
        <v>40</v>
      </c>
      <c r="B44" s="1290">
        <v>46171</v>
      </c>
      <c r="C44" s="1290">
        <v>46171</v>
      </c>
      <c r="D44" s="1290" t="s">
        <v>399</v>
      </c>
      <c r="E44" s="309" t="s">
        <v>264</v>
      </c>
      <c r="F44" s="309" t="s">
        <v>453</v>
      </c>
      <c r="G44" s="309" t="s">
        <v>266</v>
      </c>
      <c r="H44" s="87" t="s">
        <v>440</v>
      </c>
      <c r="I44" s="1290" t="s">
        <v>224</v>
      </c>
      <c r="J44" s="1290" t="s">
        <v>528</v>
      </c>
      <c r="K44" s="1290"/>
      <c r="L44" s="1290"/>
      <c r="M44" s="1290" t="s">
        <v>400</v>
      </c>
      <c r="N44" s="481" t="s">
        <v>642</v>
      </c>
      <c r="O44" s="1286">
        <v>14660</v>
      </c>
      <c r="P44" s="1280">
        <v>26910</v>
      </c>
      <c r="Q44" s="89">
        <f t="shared" ref="Q44:Q52" si="5">P44-O44</f>
        <v>12250</v>
      </c>
      <c r="R44" s="1286">
        <v>12250</v>
      </c>
      <c r="S44" s="1286"/>
      <c r="T44" s="1286">
        <f t="shared" ref="T44:T45" si="6">R44</f>
        <v>12250</v>
      </c>
      <c r="U44" s="1713">
        <v>17</v>
      </c>
      <c r="V44" s="1283">
        <v>31250</v>
      </c>
      <c r="W44" s="1727">
        <f>-표4[[#This Row],[단가(원)]]*표4[[#This Row],[루베 적용]]</f>
        <v>-531250</v>
      </c>
      <c r="X44" s="1284" t="s">
        <v>5</v>
      </c>
      <c r="Y44" s="614"/>
      <c r="Z44" s="727"/>
    </row>
    <row r="45" spans="1:26">
      <c r="A45" s="1300">
        <f t="shared" si="1"/>
        <v>41</v>
      </c>
      <c r="B45" s="1290">
        <v>46171</v>
      </c>
      <c r="C45" s="1290">
        <v>46171</v>
      </c>
      <c r="D45" s="1290" t="s">
        <v>399</v>
      </c>
      <c r="E45" s="309" t="s">
        <v>264</v>
      </c>
      <c r="F45" s="309" t="s">
        <v>453</v>
      </c>
      <c r="G45" s="309" t="s">
        <v>266</v>
      </c>
      <c r="H45" s="87" t="s">
        <v>440</v>
      </c>
      <c r="I45" s="1290" t="s">
        <v>224</v>
      </c>
      <c r="J45" s="1290" t="s">
        <v>524</v>
      </c>
      <c r="K45" s="1290"/>
      <c r="L45" s="1290"/>
      <c r="M45" s="1290" t="s">
        <v>400</v>
      </c>
      <c r="N45" s="481" t="s">
        <v>642</v>
      </c>
      <c r="O45" s="1286">
        <v>14560</v>
      </c>
      <c r="P45" s="1280">
        <v>28090</v>
      </c>
      <c r="Q45" s="89">
        <f t="shared" si="5"/>
        <v>13530</v>
      </c>
      <c r="R45" s="1286">
        <v>13530</v>
      </c>
      <c r="S45" s="1286"/>
      <c r="T45" s="1286">
        <f t="shared" si="6"/>
        <v>13530</v>
      </c>
      <c r="U45" s="1713">
        <v>17</v>
      </c>
      <c r="V45" s="1283">
        <v>31250</v>
      </c>
      <c r="W45" s="1727">
        <f>-표4[[#This Row],[단가(원)]]*표4[[#This Row],[루베 적용]]</f>
        <v>-531250</v>
      </c>
      <c r="X45" s="1284" t="s">
        <v>5</v>
      </c>
      <c r="Y45" s="614"/>
      <c r="Z45" s="727"/>
    </row>
    <row r="46" spans="1:26">
      <c r="A46" s="1733"/>
      <c r="B46" s="1722">
        <v>46171</v>
      </c>
      <c r="C46" s="1722"/>
      <c r="D46" s="1722" t="s">
        <v>738</v>
      </c>
      <c r="E46" s="309" t="s">
        <v>264</v>
      </c>
      <c r="F46" s="309" t="s">
        <v>453</v>
      </c>
      <c r="G46" s="1015" t="s">
        <v>266</v>
      </c>
      <c r="H46" s="1721" t="s">
        <v>6</v>
      </c>
      <c r="I46" s="1722" t="s">
        <v>222</v>
      </c>
      <c r="J46" s="1722"/>
      <c r="K46" s="1722"/>
      <c r="L46" s="1722"/>
      <c r="M46" s="1723" t="s">
        <v>400</v>
      </c>
      <c r="N46" s="84"/>
      <c r="O46" s="1720"/>
      <c r="P46" s="1716"/>
      <c r="Q46" s="1719"/>
      <c r="R46" s="1720"/>
      <c r="S46" s="1720"/>
      <c r="T46" s="1720"/>
      <c r="U46" s="1720">
        <v>17</v>
      </c>
      <c r="V46" s="1717">
        <v>9375</v>
      </c>
      <c r="W46" s="1732">
        <f>-표4[[#This Row],[단가(원)]]*표4[[#This Row],[루베 적용]]</f>
        <v>-159375</v>
      </c>
      <c r="X46" s="1718" t="s">
        <v>744</v>
      </c>
      <c r="Y46" s="1734"/>
      <c r="Z46" s="727"/>
    </row>
    <row r="47" spans="1:26">
      <c r="A47" s="612">
        <f t="shared" si="1"/>
        <v>43</v>
      </c>
      <c r="B47" s="1312">
        <v>46178</v>
      </c>
      <c r="C47" s="1312">
        <v>46178</v>
      </c>
      <c r="D47" s="1312" t="s">
        <v>405</v>
      </c>
      <c r="E47" s="1312" t="s">
        <v>314</v>
      </c>
      <c r="F47" s="1312" t="s">
        <v>455</v>
      </c>
      <c r="G47" s="1709"/>
      <c r="H47" s="1312" t="s">
        <v>6</v>
      </c>
      <c r="I47" s="1312" t="s">
        <v>239</v>
      </c>
      <c r="J47" s="1312" t="s">
        <v>235</v>
      </c>
      <c r="K47" s="1312" t="s">
        <v>281</v>
      </c>
      <c r="L47" s="1312" t="s">
        <v>282</v>
      </c>
      <c r="M47" s="501" t="s">
        <v>276</v>
      </c>
      <c r="N47" s="1739" t="s">
        <v>448</v>
      </c>
      <c r="O47" s="1393">
        <v>20830</v>
      </c>
      <c r="P47" s="1393">
        <v>29180</v>
      </c>
      <c r="Q47" s="1397">
        <f t="shared" si="5"/>
        <v>8350</v>
      </c>
      <c r="R47" s="1309">
        <v>8320</v>
      </c>
      <c r="S47" s="1309"/>
      <c r="T47" s="1309">
        <f t="shared" ref="T47:T52" si="7">R47</f>
        <v>8320</v>
      </c>
      <c r="U47" s="1697">
        <v>50</v>
      </c>
      <c r="V47" s="1741">
        <v>30000</v>
      </c>
      <c r="W47" s="1729">
        <f>-표4[[#This Row],[단가(원)]]*표4[[#This Row],[루베 적용]]</f>
        <v>-1500000</v>
      </c>
      <c r="X47" s="1301" t="s">
        <v>5</v>
      </c>
      <c r="Y47" s="178"/>
      <c r="Z47" s="727"/>
    </row>
    <row r="48" spans="1:26">
      <c r="A48" s="615">
        <f t="shared" si="1"/>
        <v>44</v>
      </c>
      <c r="B48" s="1382">
        <v>46178</v>
      </c>
      <c r="C48" s="1382">
        <v>46178</v>
      </c>
      <c r="D48" s="1382" t="s">
        <v>405</v>
      </c>
      <c r="E48" s="1382" t="s">
        <v>314</v>
      </c>
      <c r="F48" s="1382" t="s">
        <v>455</v>
      </c>
      <c r="G48" s="1708"/>
      <c r="H48" s="1382" t="s">
        <v>6</v>
      </c>
      <c r="I48" s="1382" t="s">
        <v>239</v>
      </c>
      <c r="J48" s="1382" t="s">
        <v>334</v>
      </c>
      <c r="K48" s="1382" t="s">
        <v>492</v>
      </c>
      <c r="L48" s="1382" t="s">
        <v>493</v>
      </c>
      <c r="M48" s="480" t="s">
        <v>276</v>
      </c>
      <c r="N48" s="1740" t="s">
        <v>448</v>
      </c>
      <c r="O48" s="1394">
        <v>21400</v>
      </c>
      <c r="P48" s="1394">
        <v>27030</v>
      </c>
      <c r="Q48" s="1399">
        <f t="shared" si="5"/>
        <v>5630</v>
      </c>
      <c r="R48" s="1380">
        <v>5670</v>
      </c>
      <c r="S48" s="1380"/>
      <c r="T48" s="1380">
        <f t="shared" si="7"/>
        <v>5670</v>
      </c>
      <c r="U48" s="1698">
        <v>50</v>
      </c>
      <c r="V48" s="1742">
        <v>30000</v>
      </c>
      <c r="W48" s="1728">
        <f>-표4[[#This Row],[단가(원)]]*표4[[#This Row],[루베 적용]]</f>
        <v>-1500000</v>
      </c>
      <c r="X48" s="1379" t="s">
        <v>5</v>
      </c>
      <c r="Y48" s="1047"/>
      <c r="Z48" s="727"/>
    </row>
    <row r="49" spans="1:26">
      <c r="A49" s="612">
        <f t="shared" si="1"/>
        <v>45</v>
      </c>
      <c r="B49" s="1401">
        <v>46182</v>
      </c>
      <c r="C49" s="1401">
        <v>46182</v>
      </c>
      <c r="D49" s="1401" t="s">
        <v>405</v>
      </c>
      <c r="E49" s="1401" t="s">
        <v>314</v>
      </c>
      <c r="F49" s="1401" t="s">
        <v>455</v>
      </c>
      <c r="G49" s="1709"/>
      <c r="H49" s="1401" t="s">
        <v>6</v>
      </c>
      <c r="I49" s="1401" t="s">
        <v>239</v>
      </c>
      <c r="J49" s="1401" t="s">
        <v>206</v>
      </c>
      <c r="K49" s="1401"/>
      <c r="L49" s="1401"/>
      <c r="M49" s="501" t="s">
        <v>276</v>
      </c>
      <c r="N49" s="1397" t="s">
        <v>448</v>
      </c>
      <c r="O49" s="1393">
        <v>20100</v>
      </c>
      <c r="P49" s="1393">
        <v>29960</v>
      </c>
      <c r="Q49" s="1397">
        <f t="shared" si="5"/>
        <v>9860</v>
      </c>
      <c r="R49" s="1397">
        <v>9850</v>
      </c>
      <c r="S49" s="1397"/>
      <c r="T49" s="1397">
        <f t="shared" si="7"/>
        <v>9850</v>
      </c>
      <c r="U49" s="1697">
        <v>50</v>
      </c>
      <c r="V49" s="1398">
        <v>30000</v>
      </c>
      <c r="W49" s="1729">
        <f>-표4[[#This Row],[단가(원)]]*표4[[#This Row],[루베 적용]]</f>
        <v>-1500000</v>
      </c>
      <c r="X49" s="1389" t="s">
        <v>5</v>
      </c>
      <c r="Y49" s="123"/>
      <c r="Z49" s="727"/>
    </row>
    <row r="50" spans="1:26">
      <c r="A50" s="618">
        <f t="shared" si="1"/>
        <v>46</v>
      </c>
      <c r="B50" s="1402">
        <v>46182</v>
      </c>
      <c r="C50" s="1402">
        <v>46182</v>
      </c>
      <c r="D50" s="1402" t="s">
        <v>405</v>
      </c>
      <c r="E50" s="1402" t="s">
        <v>314</v>
      </c>
      <c r="F50" s="1402" t="s">
        <v>455</v>
      </c>
      <c r="G50" s="1710"/>
      <c r="H50" s="1402" t="s">
        <v>6</v>
      </c>
      <c r="I50" s="1402" t="s">
        <v>46</v>
      </c>
      <c r="J50" s="1402" t="s">
        <v>312</v>
      </c>
      <c r="K50" s="1402"/>
      <c r="L50" s="1402"/>
      <c r="M50" s="502" t="s">
        <v>276</v>
      </c>
      <c r="N50" s="1399" t="s">
        <v>448</v>
      </c>
      <c r="O50" s="1394">
        <v>21290</v>
      </c>
      <c r="P50" s="1394">
        <v>25610</v>
      </c>
      <c r="Q50" s="1399">
        <f t="shared" si="5"/>
        <v>4320</v>
      </c>
      <c r="R50" s="1399">
        <v>4350</v>
      </c>
      <c r="S50" s="1399"/>
      <c r="T50" s="1399">
        <f t="shared" si="7"/>
        <v>4350</v>
      </c>
      <c r="U50" s="1704">
        <v>50</v>
      </c>
      <c r="V50" s="1400">
        <v>30000</v>
      </c>
      <c r="W50" s="1728">
        <f>-표4[[#This Row],[단가(원)]]*표4[[#This Row],[루베 적용]]</f>
        <v>-1500000</v>
      </c>
      <c r="X50" s="1391" t="s">
        <v>5</v>
      </c>
      <c r="Y50" s="111"/>
      <c r="Z50" s="727"/>
    </row>
    <row r="51" spans="1:26">
      <c r="A51" s="612">
        <f t="shared" si="1"/>
        <v>47</v>
      </c>
      <c r="B51" s="1420">
        <v>46183</v>
      </c>
      <c r="C51" s="1420">
        <v>46183</v>
      </c>
      <c r="D51" s="1420" t="s">
        <v>405</v>
      </c>
      <c r="E51" s="1420" t="s">
        <v>314</v>
      </c>
      <c r="F51" s="1420" t="s">
        <v>455</v>
      </c>
      <c r="G51" s="1709"/>
      <c r="H51" s="1420" t="s">
        <v>6</v>
      </c>
      <c r="I51" s="1420" t="s">
        <v>239</v>
      </c>
      <c r="J51" s="1420" t="s">
        <v>235</v>
      </c>
      <c r="K51" s="1420" t="s">
        <v>281</v>
      </c>
      <c r="L51" s="1420" t="s">
        <v>282</v>
      </c>
      <c r="M51" s="501" t="s">
        <v>276</v>
      </c>
      <c r="N51" s="501" t="s">
        <v>448</v>
      </c>
      <c r="O51" s="1414">
        <v>20710</v>
      </c>
      <c r="P51" s="1414">
        <v>29170</v>
      </c>
      <c r="Q51" s="1416">
        <f t="shared" si="5"/>
        <v>8460</v>
      </c>
      <c r="R51" s="1416">
        <v>8450</v>
      </c>
      <c r="S51" s="1416"/>
      <c r="T51" s="1416">
        <f t="shared" si="7"/>
        <v>8450</v>
      </c>
      <c r="U51" s="1697">
        <v>50</v>
      </c>
      <c r="V51" s="1417">
        <v>30000</v>
      </c>
      <c r="W51" s="1729">
        <f>-표4[[#This Row],[단가(원)]]*표4[[#This Row],[루베 적용]]</f>
        <v>-1500000</v>
      </c>
      <c r="X51" s="1412" t="s">
        <v>5</v>
      </c>
      <c r="Y51" s="123"/>
      <c r="Z51" s="727"/>
    </row>
    <row r="52" spans="1:26">
      <c r="A52" s="618">
        <f t="shared" si="1"/>
        <v>48</v>
      </c>
      <c r="B52" s="1421">
        <v>46183</v>
      </c>
      <c r="C52" s="1421">
        <v>46183</v>
      </c>
      <c r="D52" s="1421" t="s">
        <v>405</v>
      </c>
      <c r="E52" s="1421" t="s">
        <v>314</v>
      </c>
      <c r="F52" s="1421" t="s">
        <v>455</v>
      </c>
      <c r="G52" s="1710"/>
      <c r="H52" s="1421" t="s">
        <v>6</v>
      </c>
      <c r="I52" s="1421" t="s">
        <v>263</v>
      </c>
      <c r="J52" s="1421" t="s">
        <v>172</v>
      </c>
      <c r="K52" s="1421" t="s">
        <v>291</v>
      </c>
      <c r="L52" s="1421" t="s">
        <v>292</v>
      </c>
      <c r="M52" s="502" t="s">
        <v>276</v>
      </c>
      <c r="N52" s="502" t="s">
        <v>448</v>
      </c>
      <c r="O52" s="1415">
        <v>14030</v>
      </c>
      <c r="P52" s="1415">
        <v>18140</v>
      </c>
      <c r="Q52" s="1418">
        <f t="shared" si="5"/>
        <v>4110</v>
      </c>
      <c r="R52" s="1418">
        <v>4100</v>
      </c>
      <c r="S52" s="1418"/>
      <c r="T52" s="1418">
        <f t="shared" si="7"/>
        <v>4100</v>
      </c>
      <c r="U52" s="1704">
        <v>35</v>
      </c>
      <c r="V52" s="1419">
        <v>30000</v>
      </c>
      <c r="W52" s="1728">
        <f>-표4[[#This Row],[단가(원)]]*표4[[#This Row],[루베 적용]]</f>
        <v>-1050000</v>
      </c>
      <c r="X52" s="1413" t="s">
        <v>5</v>
      </c>
      <c r="Y52" s="111"/>
      <c r="Z52" s="727"/>
    </row>
    <row r="53" spans="1:26">
      <c r="A53" s="613">
        <f t="shared" si="1"/>
        <v>49</v>
      </c>
      <c r="B53" s="1480">
        <v>46184</v>
      </c>
      <c r="C53" s="1480">
        <v>46184</v>
      </c>
      <c r="D53" s="1480" t="s">
        <v>405</v>
      </c>
      <c r="E53" s="1479" t="s">
        <v>34</v>
      </c>
      <c r="F53" s="1480" t="s">
        <v>17</v>
      </c>
      <c r="G53" s="1711"/>
      <c r="H53" s="1480" t="s">
        <v>17</v>
      </c>
      <c r="I53" s="1480" t="s">
        <v>89</v>
      </c>
      <c r="J53" s="1480" t="s">
        <v>86</v>
      </c>
      <c r="K53" s="1480"/>
      <c r="L53" s="1480"/>
      <c r="M53" s="84" t="s">
        <v>83</v>
      </c>
      <c r="N53" s="1478" t="s">
        <v>285</v>
      </c>
      <c r="O53" s="1471">
        <v>21490</v>
      </c>
      <c r="P53" s="1471">
        <v>35130</v>
      </c>
      <c r="Q53" s="1478">
        <f>표4[[#This Row],[총중량(kg)]]-표4[[#This Row],[공차중량(kg)]]</f>
        <v>13640</v>
      </c>
      <c r="R53" s="1478"/>
      <c r="S53" s="1478"/>
      <c r="T53" s="1478">
        <f>표4[[#This Row],[실중량(kg)]]</f>
        <v>13640</v>
      </c>
      <c r="U53" s="1702"/>
      <c r="V53" s="1472">
        <v>170</v>
      </c>
      <c r="W53" s="1472">
        <f>-표4[[#This Row],[단가(원)]]*표4[[#This Row],[정산 중량(kg)]]</f>
        <v>-2318800</v>
      </c>
      <c r="X53" s="1474" t="s">
        <v>5</v>
      </c>
      <c r="Y53" s="1016"/>
      <c r="Z53" s="727"/>
    </row>
    <row r="54" spans="1:26">
      <c r="A54" s="612">
        <f t="shared" si="1"/>
        <v>50</v>
      </c>
      <c r="B54" s="1508">
        <v>46185</v>
      </c>
      <c r="C54" s="1508">
        <v>46185</v>
      </c>
      <c r="D54" s="1508" t="s">
        <v>405</v>
      </c>
      <c r="E54" s="1508" t="s">
        <v>314</v>
      </c>
      <c r="F54" s="1508" t="s">
        <v>455</v>
      </c>
      <c r="G54" s="1709"/>
      <c r="H54" s="1508" t="s">
        <v>440</v>
      </c>
      <c r="I54" s="1508" t="s">
        <v>239</v>
      </c>
      <c r="J54" s="1508" t="s">
        <v>235</v>
      </c>
      <c r="K54" s="1508"/>
      <c r="L54" s="1508"/>
      <c r="M54" s="501" t="s">
        <v>276</v>
      </c>
      <c r="N54" s="1504" t="s">
        <v>448</v>
      </c>
      <c r="O54" s="1501">
        <v>20770</v>
      </c>
      <c r="P54" s="1501">
        <v>30040</v>
      </c>
      <c r="Q54" s="1504">
        <f>표4[[#This Row],[총중량(kg)]]-표4[[#This Row],[공차중량(kg)]]</f>
        <v>9270</v>
      </c>
      <c r="R54" s="1504">
        <v>9270</v>
      </c>
      <c r="S54" s="1504"/>
      <c r="T54" s="1504">
        <f>표4[[#This Row],[거래처 감량 전
실중량(kg)]]</f>
        <v>9270</v>
      </c>
      <c r="U54" s="1697">
        <v>50</v>
      </c>
      <c r="V54" s="1506">
        <v>30000</v>
      </c>
      <c r="W54" s="1729">
        <f>-표4[[#This Row],[단가(원)]]*표4[[#This Row],[루베 적용]]</f>
        <v>-1500000</v>
      </c>
      <c r="X54" s="1502" t="s">
        <v>5</v>
      </c>
      <c r="Y54" s="178"/>
      <c r="Z54" s="727"/>
    </row>
    <row r="55" spans="1:26">
      <c r="A55" s="618">
        <f t="shared" si="1"/>
        <v>51</v>
      </c>
      <c r="B55" s="1509">
        <v>46185</v>
      </c>
      <c r="C55" s="1509">
        <v>46185</v>
      </c>
      <c r="D55" s="1509" t="s">
        <v>405</v>
      </c>
      <c r="E55" s="1509" t="s">
        <v>314</v>
      </c>
      <c r="F55" s="1509" t="s">
        <v>455</v>
      </c>
      <c r="G55" s="1710"/>
      <c r="H55" s="1509" t="s">
        <v>440</v>
      </c>
      <c r="I55" s="1509" t="s">
        <v>263</v>
      </c>
      <c r="J55" s="1509" t="s">
        <v>334</v>
      </c>
      <c r="K55" s="1509"/>
      <c r="L55" s="1509"/>
      <c r="M55" s="502" t="s">
        <v>276</v>
      </c>
      <c r="N55" s="1505" t="s">
        <v>448</v>
      </c>
      <c r="O55" s="1500">
        <v>21100</v>
      </c>
      <c r="P55" s="1500">
        <v>26550</v>
      </c>
      <c r="Q55" s="1505">
        <f>표4[[#This Row],[총중량(kg)]]-표4[[#This Row],[공차중량(kg)]]</f>
        <v>5450</v>
      </c>
      <c r="R55" s="1505">
        <v>5460</v>
      </c>
      <c r="S55" s="1505"/>
      <c r="T55" s="1505">
        <f>표4[[#This Row],[거래처 감량 전
실중량(kg)]]</f>
        <v>5460</v>
      </c>
      <c r="U55" s="1704">
        <v>50</v>
      </c>
      <c r="V55" s="1507">
        <v>30000</v>
      </c>
      <c r="W55" s="1728">
        <f>-표4[[#This Row],[단가(원)]]*표4[[#This Row],[루베 적용]]</f>
        <v>-1500000</v>
      </c>
      <c r="X55" s="1503" t="s">
        <v>5</v>
      </c>
      <c r="Y55" s="180"/>
      <c r="Z55" s="727"/>
    </row>
    <row r="56" spans="1:26">
      <c r="A56" s="612">
        <f t="shared" si="1"/>
        <v>52</v>
      </c>
      <c r="B56" s="1532">
        <v>46188</v>
      </c>
      <c r="C56" s="1532">
        <v>46188</v>
      </c>
      <c r="D56" s="1532" t="s">
        <v>405</v>
      </c>
      <c r="E56" s="1532" t="s">
        <v>314</v>
      </c>
      <c r="F56" s="1532" t="s">
        <v>455</v>
      </c>
      <c r="G56" s="1709"/>
      <c r="H56" s="1532" t="s">
        <v>440</v>
      </c>
      <c r="I56" s="1532" t="s">
        <v>239</v>
      </c>
      <c r="J56" s="1532" t="s">
        <v>235</v>
      </c>
      <c r="K56" s="1532" t="s">
        <v>281</v>
      </c>
      <c r="L56" s="1532" t="s">
        <v>282</v>
      </c>
      <c r="M56" s="501" t="s">
        <v>276</v>
      </c>
      <c r="N56" s="1527" t="s">
        <v>448</v>
      </c>
      <c r="O56" s="1521">
        <v>20090</v>
      </c>
      <c r="P56" s="1521">
        <v>29860</v>
      </c>
      <c r="Q56" s="1527">
        <f>P56-O56</f>
        <v>9770</v>
      </c>
      <c r="R56" s="1527">
        <v>9780</v>
      </c>
      <c r="S56" s="1527"/>
      <c r="T56" s="1527">
        <f>R56</f>
        <v>9780</v>
      </c>
      <c r="U56" s="1697">
        <v>50</v>
      </c>
      <c r="V56" s="1528">
        <v>30000</v>
      </c>
      <c r="W56" s="1729">
        <f>-표4[[#This Row],[단가(원)]]*표4[[#This Row],[루베 적용]]</f>
        <v>-1500000</v>
      </c>
      <c r="X56" s="1516" t="s">
        <v>5</v>
      </c>
      <c r="Y56" s="178"/>
      <c r="Z56" s="727"/>
    </row>
    <row r="57" spans="1:26">
      <c r="A57" s="617">
        <f t="shared" si="1"/>
        <v>53</v>
      </c>
      <c r="B57" s="1531">
        <v>46188</v>
      </c>
      <c r="C57" s="1531">
        <v>46188</v>
      </c>
      <c r="D57" s="1531" t="s">
        <v>405</v>
      </c>
      <c r="E57" s="1531" t="s">
        <v>314</v>
      </c>
      <c r="F57" s="1531" t="s">
        <v>455</v>
      </c>
      <c r="G57" s="1707"/>
      <c r="H57" s="1531" t="s">
        <v>440</v>
      </c>
      <c r="I57" s="1531" t="s">
        <v>263</v>
      </c>
      <c r="J57" s="1531" t="s">
        <v>334</v>
      </c>
      <c r="K57" s="1531" t="s">
        <v>291</v>
      </c>
      <c r="L57" s="1531" t="s">
        <v>292</v>
      </c>
      <c r="M57" s="226" t="s">
        <v>276</v>
      </c>
      <c r="N57" s="1541" t="s">
        <v>448</v>
      </c>
      <c r="O57" s="1522">
        <v>21130</v>
      </c>
      <c r="P57" s="1522">
        <v>26000</v>
      </c>
      <c r="Q57" s="1541">
        <f>P57-O57</f>
        <v>4870</v>
      </c>
      <c r="R57" s="1541">
        <v>4870</v>
      </c>
      <c r="S57" s="1541"/>
      <c r="T57" s="1541">
        <f>R57</f>
        <v>4870</v>
      </c>
      <c r="U57" s="1714">
        <v>50</v>
      </c>
      <c r="V57" s="1524">
        <v>30000</v>
      </c>
      <c r="W57" s="1728">
        <f>-표4[[#This Row],[단가(원)]]*표4[[#This Row],[루베 적용]]</f>
        <v>-1500000</v>
      </c>
      <c r="X57" s="1517" t="s">
        <v>5</v>
      </c>
      <c r="Y57" s="179"/>
      <c r="Z57" s="727"/>
    </row>
    <row r="58" spans="1:26">
      <c r="A58" s="618">
        <f t="shared" si="1"/>
        <v>54</v>
      </c>
      <c r="B58" s="1533">
        <v>46188</v>
      </c>
      <c r="C58" s="1533">
        <v>46188</v>
      </c>
      <c r="D58" s="1533" t="s">
        <v>738</v>
      </c>
      <c r="E58" s="1533" t="s">
        <v>264</v>
      </c>
      <c r="F58" s="1533" t="s">
        <v>707</v>
      </c>
      <c r="G58" s="1710" t="s">
        <v>708</v>
      </c>
      <c r="H58" s="1533" t="s">
        <v>6</v>
      </c>
      <c r="I58" s="1533" t="s">
        <v>89</v>
      </c>
      <c r="J58" s="1549" t="s">
        <v>739</v>
      </c>
      <c r="K58" s="1533"/>
      <c r="L58" s="1533"/>
      <c r="M58" s="502" t="s">
        <v>708</v>
      </c>
      <c r="N58" s="1529" t="s">
        <v>709</v>
      </c>
      <c r="O58" s="1523">
        <v>17600</v>
      </c>
      <c r="P58" s="1523">
        <v>40240</v>
      </c>
      <c r="Q58" s="1529">
        <f>표4[[#This Row],[총중량(kg)]]-표4[[#This Row],[공차중량(kg)]]</f>
        <v>22640</v>
      </c>
      <c r="R58" s="1529"/>
      <c r="S58" s="1529"/>
      <c r="T58" s="1529">
        <f>표4[[#This Row],[실중량(kg)]]</f>
        <v>22640</v>
      </c>
      <c r="U58" s="1704"/>
      <c r="V58" s="1530">
        <v>300</v>
      </c>
      <c r="W58" s="1728">
        <f>-표4[[#This Row],[단가(원)]]*표4[[#This Row],[정산 중량(kg)]]</f>
        <v>-6792000</v>
      </c>
      <c r="X58" s="1518" t="s">
        <v>5</v>
      </c>
      <c r="Y58" s="180"/>
      <c r="Z58" s="727"/>
    </row>
    <row r="59" spans="1:26">
      <c r="A59" s="612">
        <f t="shared" si="1"/>
        <v>55</v>
      </c>
      <c r="B59" s="1567">
        <v>46189</v>
      </c>
      <c r="C59" s="1567">
        <v>46189</v>
      </c>
      <c r="D59" s="1567" t="s">
        <v>405</v>
      </c>
      <c r="E59" s="1567" t="s">
        <v>314</v>
      </c>
      <c r="F59" s="1567" t="s">
        <v>455</v>
      </c>
      <c r="G59" s="1709"/>
      <c r="H59" s="1567" t="s">
        <v>440</v>
      </c>
      <c r="I59" s="1567" t="s">
        <v>239</v>
      </c>
      <c r="J59" s="1567" t="s">
        <v>235</v>
      </c>
      <c r="K59" s="1567" t="s">
        <v>281</v>
      </c>
      <c r="L59" s="1567" t="s">
        <v>282</v>
      </c>
      <c r="M59" s="501" t="s">
        <v>276</v>
      </c>
      <c r="N59" s="1564" t="s">
        <v>448</v>
      </c>
      <c r="O59" s="1558">
        <v>20780</v>
      </c>
      <c r="P59" s="1558">
        <v>29800</v>
      </c>
      <c r="Q59" s="1564">
        <f>표4[[#This Row],[총중량(kg)]]-표4[[#This Row],[공차중량(kg)]]</f>
        <v>9020</v>
      </c>
      <c r="R59" s="1564">
        <v>9010</v>
      </c>
      <c r="S59" s="1564"/>
      <c r="T59" s="1564">
        <f>R59</f>
        <v>9010</v>
      </c>
      <c r="U59" s="1697">
        <v>50</v>
      </c>
      <c r="V59" s="1565">
        <v>30000</v>
      </c>
      <c r="W59" s="1729">
        <f>-표4[[#This Row],[단가(원)]]*표4[[#This Row],[루베 적용]]</f>
        <v>-1500000</v>
      </c>
      <c r="X59" s="1552" t="s">
        <v>190</v>
      </c>
      <c r="Y59" s="178" t="s">
        <v>721</v>
      </c>
      <c r="Z59" s="727"/>
    </row>
    <row r="60" spans="1:26">
      <c r="A60" s="617">
        <f t="shared" si="1"/>
        <v>56</v>
      </c>
      <c r="B60" s="1566">
        <v>46189</v>
      </c>
      <c r="C60" s="1566">
        <v>46189</v>
      </c>
      <c r="D60" s="1566" t="s">
        <v>405</v>
      </c>
      <c r="E60" s="1566" t="s">
        <v>314</v>
      </c>
      <c r="F60" s="1566" t="s">
        <v>455</v>
      </c>
      <c r="G60" s="1707"/>
      <c r="H60" s="1566" t="s">
        <v>440</v>
      </c>
      <c r="I60" s="1566" t="s">
        <v>263</v>
      </c>
      <c r="J60" s="1566" t="s">
        <v>334</v>
      </c>
      <c r="K60" s="1566" t="s">
        <v>291</v>
      </c>
      <c r="L60" s="1566" t="s">
        <v>292</v>
      </c>
      <c r="M60" s="226" t="s">
        <v>276</v>
      </c>
      <c r="N60" s="1571" t="s">
        <v>448</v>
      </c>
      <c r="O60" s="1559">
        <v>21020</v>
      </c>
      <c r="P60" s="1559">
        <v>26880</v>
      </c>
      <c r="Q60" s="1571">
        <f>표4[[#This Row],[총중량(kg)]]-표4[[#This Row],[공차중량(kg)]]</f>
        <v>5860</v>
      </c>
      <c r="R60" s="1571">
        <v>5860</v>
      </c>
      <c r="S60" s="1571"/>
      <c r="T60" s="1571">
        <f>R60</f>
        <v>5860</v>
      </c>
      <c r="U60" s="1714">
        <v>50</v>
      </c>
      <c r="V60" s="1560">
        <v>30000</v>
      </c>
      <c r="W60" s="1728">
        <f>-표4[[#This Row],[단가(원)]]*표4[[#This Row],[루베 적용]]</f>
        <v>-1500000</v>
      </c>
      <c r="X60" s="1553" t="s">
        <v>190</v>
      </c>
      <c r="Y60" s="179" t="s">
        <v>721</v>
      </c>
      <c r="Z60" s="727"/>
    </row>
    <row r="61" spans="1:26">
      <c r="A61" s="615">
        <f t="shared" si="1"/>
        <v>57</v>
      </c>
      <c r="B61" s="1568">
        <v>46189</v>
      </c>
      <c r="C61" s="1568">
        <v>46190</v>
      </c>
      <c r="D61" s="1568" t="s">
        <v>451</v>
      </c>
      <c r="E61" s="1568" t="s">
        <v>315</v>
      </c>
      <c r="F61" s="1568"/>
      <c r="G61" s="1711"/>
      <c r="H61" s="1568" t="s">
        <v>17</v>
      </c>
      <c r="I61" s="1568" t="s">
        <v>46</v>
      </c>
      <c r="J61" s="1568" t="s">
        <v>33</v>
      </c>
      <c r="K61" s="1568" t="s">
        <v>291</v>
      </c>
      <c r="L61" s="1568" t="s">
        <v>292</v>
      </c>
      <c r="M61" s="84" t="s">
        <v>276</v>
      </c>
      <c r="N61" s="1563" t="s">
        <v>191</v>
      </c>
      <c r="O61" s="1556">
        <v>13530</v>
      </c>
      <c r="P61" s="1556">
        <v>15530</v>
      </c>
      <c r="Q61" s="1563">
        <f>표4[[#This Row],[총중량(kg)]]-표4[[#This Row],[공차중량(kg)]]</f>
        <v>2000</v>
      </c>
      <c r="R61" s="1563">
        <v>2000</v>
      </c>
      <c r="S61" s="1563"/>
      <c r="T61" s="1563">
        <v>2000</v>
      </c>
      <c r="U61" s="1702"/>
      <c r="V61" s="1561"/>
      <c r="W61" s="1561">
        <v>0</v>
      </c>
      <c r="X61" s="1554" t="s">
        <v>18</v>
      </c>
      <c r="Y61" s="1016" t="s">
        <v>723</v>
      </c>
      <c r="Z61" s="727"/>
    </row>
    <row r="62" spans="1:26">
      <c r="A62" s="612">
        <f t="shared" si="1"/>
        <v>58</v>
      </c>
      <c r="B62" s="1585">
        <v>46191</v>
      </c>
      <c r="C62" s="1585">
        <v>46191</v>
      </c>
      <c r="D62" s="1585" t="s">
        <v>405</v>
      </c>
      <c r="E62" s="1585" t="s">
        <v>314</v>
      </c>
      <c r="F62" s="1585" t="s">
        <v>455</v>
      </c>
      <c r="G62" s="1709"/>
      <c r="H62" s="1585" t="s">
        <v>440</v>
      </c>
      <c r="I62" s="1585" t="s">
        <v>239</v>
      </c>
      <c r="J62" s="1585" t="s">
        <v>235</v>
      </c>
      <c r="K62" s="1585" t="s">
        <v>281</v>
      </c>
      <c r="L62" s="1585" t="s">
        <v>282</v>
      </c>
      <c r="M62" s="501" t="s">
        <v>276</v>
      </c>
      <c r="N62" s="1581" t="s">
        <v>448</v>
      </c>
      <c r="O62" s="1578">
        <v>20110</v>
      </c>
      <c r="P62" s="1578">
        <v>30030</v>
      </c>
      <c r="Q62" s="1581">
        <f>표4[[#This Row],[총중량(kg)]]-표4[[#This Row],[공차중량(kg)]]</f>
        <v>9920</v>
      </c>
      <c r="R62" s="1581">
        <v>9920</v>
      </c>
      <c r="S62" s="1581"/>
      <c r="T62" s="1581">
        <f>R62</f>
        <v>9920</v>
      </c>
      <c r="U62" s="1697">
        <v>50</v>
      </c>
      <c r="V62" s="1583">
        <v>30000</v>
      </c>
      <c r="W62" s="1729">
        <f>-표4[[#This Row],[단가(원)]]*표4[[#This Row],[루베 적용]]</f>
        <v>-1500000</v>
      </c>
      <c r="X62" s="1579" t="s">
        <v>190</v>
      </c>
      <c r="Y62" s="178" t="s">
        <v>721</v>
      </c>
      <c r="Z62" s="727"/>
    </row>
    <row r="63" spans="1:26">
      <c r="A63" s="617">
        <f t="shared" si="1"/>
        <v>59</v>
      </c>
      <c r="B63" s="1586">
        <v>46191</v>
      </c>
      <c r="C63" s="1586">
        <v>46191</v>
      </c>
      <c r="D63" s="1586" t="s">
        <v>405</v>
      </c>
      <c r="E63" s="1586" t="s">
        <v>314</v>
      </c>
      <c r="F63" s="1586" t="s">
        <v>455</v>
      </c>
      <c r="G63" s="1707"/>
      <c r="H63" s="1586" t="s">
        <v>440</v>
      </c>
      <c r="I63" s="1586" t="s">
        <v>263</v>
      </c>
      <c r="J63" s="1586" t="s">
        <v>334</v>
      </c>
      <c r="K63" s="1586" t="s">
        <v>291</v>
      </c>
      <c r="L63" s="1586" t="s">
        <v>292</v>
      </c>
      <c r="M63" s="226" t="s">
        <v>276</v>
      </c>
      <c r="N63" s="1587" t="s">
        <v>448</v>
      </c>
      <c r="O63" s="1577">
        <v>21360</v>
      </c>
      <c r="P63" s="1577">
        <v>25550</v>
      </c>
      <c r="Q63" s="1582">
        <f>표4[[#This Row],[총중량(kg)]]-표4[[#This Row],[공차중량(kg)]]</f>
        <v>4190</v>
      </c>
      <c r="R63" s="1582">
        <v>4210</v>
      </c>
      <c r="S63" s="1582"/>
      <c r="T63" s="1582">
        <f>R63</f>
        <v>4210</v>
      </c>
      <c r="U63" s="1704">
        <v>50</v>
      </c>
      <c r="V63" s="1584">
        <v>30000</v>
      </c>
      <c r="W63" s="1728">
        <f>-표4[[#This Row],[단가(원)]]*표4[[#This Row],[루베 적용]]</f>
        <v>-1500000</v>
      </c>
      <c r="X63" s="1580" t="s">
        <v>190</v>
      </c>
      <c r="Y63" s="180" t="s">
        <v>721</v>
      </c>
      <c r="Z63" s="727"/>
    </row>
    <row r="64" spans="1:26">
      <c r="A64" s="612">
        <f t="shared" si="1"/>
        <v>60</v>
      </c>
      <c r="B64" s="1607">
        <v>46192</v>
      </c>
      <c r="C64" s="1607">
        <v>46192</v>
      </c>
      <c r="D64" s="1607" t="s">
        <v>405</v>
      </c>
      <c r="E64" s="1607" t="s">
        <v>314</v>
      </c>
      <c r="F64" s="1607" t="s">
        <v>455</v>
      </c>
      <c r="G64" s="1709"/>
      <c r="H64" s="1607" t="s">
        <v>440</v>
      </c>
      <c r="I64" s="1607" t="s">
        <v>239</v>
      </c>
      <c r="J64" s="1607" t="s">
        <v>235</v>
      </c>
      <c r="K64" s="1607" t="s">
        <v>281</v>
      </c>
      <c r="L64" s="1607" t="s">
        <v>282</v>
      </c>
      <c r="M64" s="501" t="s">
        <v>276</v>
      </c>
      <c r="N64" s="1599" t="s">
        <v>448</v>
      </c>
      <c r="O64" s="1597">
        <v>20770</v>
      </c>
      <c r="P64" s="1597">
        <v>31410</v>
      </c>
      <c r="Q64" s="1609">
        <f>표4[[#This Row],[총중량(kg)]]-표4[[#This Row],[공차중량(kg)]]</f>
        <v>10640</v>
      </c>
      <c r="R64" s="1609">
        <v>10640</v>
      </c>
      <c r="S64" s="1609"/>
      <c r="T64" s="1609">
        <f>표4[[#This Row],[거래처 감량 전
실중량(kg)]]</f>
        <v>10640</v>
      </c>
      <c r="U64" s="1712">
        <v>50</v>
      </c>
      <c r="V64" s="1612">
        <v>30000</v>
      </c>
      <c r="W64" s="1729">
        <f>-표4[[#This Row],[단가(원)]]*표4[[#This Row],[루베 적용]]</f>
        <v>-1500000</v>
      </c>
      <c r="X64" s="1591" t="s">
        <v>190</v>
      </c>
      <c r="Y64" s="205"/>
      <c r="Z64" s="727"/>
    </row>
    <row r="65" spans="1:26">
      <c r="A65" s="615">
        <f t="shared" si="1"/>
        <v>61</v>
      </c>
      <c r="B65" s="1606">
        <v>46192</v>
      </c>
      <c r="C65" s="1606">
        <v>46192</v>
      </c>
      <c r="D65" s="1606" t="s">
        <v>405</v>
      </c>
      <c r="E65" s="1606" t="s">
        <v>314</v>
      </c>
      <c r="F65" s="1606" t="s">
        <v>455</v>
      </c>
      <c r="G65" s="1708"/>
      <c r="H65" s="1606" t="s">
        <v>440</v>
      </c>
      <c r="I65" s="1606" t="s">
        <v>263</v>
      </c>
      <c r="J65" s="1606" t="s">
        <v>334</v>
      </c>
      <c r="K65" s="1606" t="s">
        <v>291</v>
      </c>
      <c r="L65" s="1606" t="s">
        <v>292</v>
      </c>
      <c r="M65" s="480" t="s">
        <v>276</v>
      </c>
      <c r="N65" s="1600" t="s">
        <v>448</v>
      </c>
      <c r="O65" s="1593">
        <v>21010</v>
      </c>
      <c r="P65" s="1593">
        <v>27080</v>
      </c>
      <c r="Q65" s="1600">
        <f>표4[[#This Row],[총중량(kg)]]-표4[[#This Row],[공차중량(kg)]]</f>
        <v>6070</v>
      </c>
      <c r="R65" s="1600">
        <v>6090</v>
      </c>
      <c r="S65" s="1600"/>
      <c r="T65" s="1600">
        <f>표4[[#This Row],[거래처 감량 전
실중량(kg)]]</f>
        <v>6090</v>
      </c>
      <c r="U65" s="1698">
        <v>50</v>
      </c>
      <c r="V65" s="1602">
        <v>30000</v>
      </c>
      <c r="W65" s="1728">
        <f>-표4[[#This Row],[단가(원)]]*표4[[#This Row],[루베 적용]]</f>
        <v>-1500000</v>
      </c>
      <c r="X65" s="1592" t="s">
        <v>190</v>
      </c>
      <c r="Y65" s="1047"/>
      <c r="Z65" s="727"/>
    </row>
    <row r="66" spans="1:26">
      <c r="A66" s="612">
        <f t="shared" si="1"/>
        <v>62</v>
      </c>
      <c r="B66" s="1688">
        <v>46195</v>
      </c>
      <c r="C66" s="1688">
        <v>46195</v>
      </c>
      <c r="D66" s="1688" t="s">
        <v>451</v>
      </c>
      <c r="E66" s="1693" t="s">
        <v>699</v>
      </c>
      <c r="F66" s="373"/>
      <c r="G66" s="373"/>
      <c r="H66" s="1688" t="s">
        <v>17</v>
      </c>
      <c r="I66" s="1688" t="s">
        <v>46</v>
      </c>
      <c r="J66" s="1688" t="s">
        <v>33</v>
      </c>
      <c r="K66" s="501" t="s">
        <v>252</v>
      </c>
      <c r="L66" s="1682" t="s">
        <v>280</v>
      </c>
      <c r="M66" s="501" t="s">
        <v>618</v>
      </c>
      <c r="N66" s="1682" t="s">
        <v>619</v>
      </c>
      <c r="O66" s="1678">
        <v>13890</v>
      </c>
      <c r="P66" s="1678">
        <v>14760</v>
      </c>
      <c r="Q66" s="1682">
        <f>P66-O66</f>
        <v>870</v>
      </c>
      <c r="R66" s="1682"/>
      <c r="S66" s="1682"/>
      <c r="T66" s="1682">
        <v>870</v>
      </c>
      <c r="U66" s="1697"/>
      <c r="V66" s="1684">
        <v>0</v>
      </c>
      <c r="W66" s="1684">
        <v>0</v>
      </c>
      <c r="X66" s="1672" t="s">
        <v>5</v>
      </c>
      <c r="Y66" s="123" t="s">
        <v>308</v>
      </c>
      <c r="Z66" s="727"/>
    </row>
    <row r="67" spans="1:26">
      <c r="A67" s="617">
        <f t="shared" si="1"/>
        <v>63</v>
      </c>
      <c r="B67" s="1686">
        <v>46195</v>
      </c>
      <c r="C67" s="1686">
        <v>46196</v>
      </c>
      <c r="D67" s="1686" t="s">
        <v>451</v>
      </c>
      <c r="E67" s="1694" t="s">
        <v>699</v>
      </c>
      <c r="F67" s="310"/>
      <c r="G67" s="310"/>
      <c r="H67" s="1686" t="s">
        <v>17</v>
      </c>
      <c r="I67" s="1686" t="s">
        <v>89</v>
      </c>
      <c r="J67" s="1686" t="s">
        <v>206</v>
      </c>
      <c r="K67" s="226" t="s">
        <v>265</v>
      </c>
      <c r="L67" s="1692" t="s">
        <v>278</v>
      </c>
      <c r="M67" s="226" t="s">
        <v>618</v>
      </c>
      <c r="N67" s="1692" t="s">
        <v>619</v>
      </c>
      <c r="O67" s="1679">
        <v>20330</v>
      </c>
      <c r="P67" s="1679">
        <v>21370</v>
      </c>
      <c r="Q67" s="1692">
        <f>표4[[#This Row],[총중량(kg)]]-표4[[#This Row],[공차중량(kg)]]</f>
        <v>1040</v>
      </c>
      <c r="R67" s="1692"/>
      <c r="S67" s="1692"/>
      <c r="T67" s="1692">
        <f>표4[[#This Row],[실중량(kg)]]</f>
        <v>1040</v>
      </c>
      <c r="U67" s="1714"/>
      <c r="V67" s="1680">
        <v>0</v>
      </c>
      <c r="W67" s="1680">
        <v>0</v>
      </c>
      <c r="X67" s="1673" t="s">
        <v>5</v>
      </c>
      <c r="Y67" s="1691" t="s">
        <v>735</v>
      </c>
      <c r="Z67" s="727"/>
    </row>
    <row r="68" spans="1:26">
      <c r="A68" s="615">
        <f t="shared" si="1"/>
        <v>64</v>
      </c>
      <c r="B68" s="1686">
        <v>46195</v>
      </c>
      <c r="C68" s="1686">
        <v>46196</v>
      </c>
      <c r="D68" s="1686" t="s">
        <v>451</v>
      </c>
      <c r="E68" s="1694" t="s">
        <v>699</v>
      </c>
      <c r="F68" s="1015"/>
      <c r="G68" s="1015"/>
      <c r="H68" s="1686" t="s">
        <v>17</v>
      </c>
      <c r="I68" s="1686" t="s">
        <v>89</v>
      </c>
      <c r="J68" s="1686" t="s">
        <v>206</v>
      </c>
      <c r="K68" s="226" t="s">
        <v>265</v>
      </c>
      <c r="L68" s="1692" t="s">
        <v>278</v>
      </c>
      <c r="M68" s="226" t="s">
        <v>618</v>
      </c>
      <c r="N68" s="1692" t="s">
        <v>619</v>
      </c>
      <c r="O68" s="1676">
        <v>21370</v>
      </c>
      <c r="P68" s="1676">
        <v>23320</v>
      </c>
      <c r="Q68" s="1692">
        <f>표4[[#This Row],[총중량(kg)]]-표4[[#This Row],[공차중량(kg)]]</f>
        <v>1950</v>
      </c>
      <c r="R68" s="1692"/>
      <c r="S68" s="1692"/>
      <c r="T68" s="1692">
        <f>표4[[#This Row],[실중량(kg)]]</f>
        <v>1950</v>
      </c>
      <c r="U68" s="1714"/>
      <c r="V68" s="1680">
        <v>0</v>
      </c>
      <c r="W68" s="1680">
        <v>0</v>
      </c>
      <c r="X68" s="1673" t="s">
        <v>5</v>
      </c>
      <c r="Y68" s="152" t="s">
        <v>735</v>
      </c>
      <c r="Z68" s="727"/>
    </row>
    <row r="69" spans="1:26">
      <c r="A69" s="612">
        <f t="shared" si="1"/>
        <v>65</v>
      </c>
      <c r="B69" s="1774">
        <v>46197</v>
      </c>
      <c r="C69" s="1774">
        <v>46197</v>
      </c>
      <c r="D69" s="1774" t="s">
        <v>738</v>
      </c>
      <c r="E69" s="1774" t="s">
        <v>264</v>
      </c>
      <c r="F69" s="1774" t="s">
        <v>707</v>
      </c>
      <c r="G69" s="1774" t="s">
        <v>708</v>
      </c>
      <c r="H69" s="1774" t="s">
        <v>6</v>
      </c>
      <c r="I69" s="1774" t="s">
        <v>89</v>
      </c>
      <c r="J69" s="1793" t="s">
        <v>740</v>
      </c>
      <c r="K69" s="501"/>
      <c r="L69" s="1765"/>
      <c r="M69" s="501" t="s">
        <v>708</v>
      </c>
      <c r="N69" s="1765" t="s">
        <v>709</v>
      </c>
      <c r="O69" s="1759">
        <v>17220</v>
      </c>
      <c r="P69" s="1759">
        <v>36660</v>
      </c>
      <c r="Q69" s="1765">
        <f>P69-O69</f>
        <v>19440</v>
      </c>
      <c r="R69" s="1765"/>
      <c r="S69" s="1765"/>
      <c r="T69" s="1765">
        <f>Q69</f>
        <v>19440</v>
      </c>
      <c r="U69" s="1765"/>
      <c r="V69" s="1767">
        <v>300</v>
      </c>
      <c r="W69" s="1729">
        <f>-표4[[#This Row],[단가(원)]]*표4[[#This Row],[정산 중량(kg)]]</f>
        <v>-5832000</v>
      </c>
      <c r="X69" s="1754" t="s">
        <v>5</v>
      </c>
      <c r="Y69" s="123"/>
      <c r="Z69" s="727"/>
    </row>
    <row r="70" spans="1:26">
      <c r="A70" s="618">
        <f t="shared" si="1"/>
        <v>66</v>
      </c>
      <c r="B70" s="1775">
        <v>46197</v>
      </c>
      <c r="C70" s="1775">
        <v>46197</v>
      </c>
      <c r="D70" s="1775" t="s">
        <v>738</v>
      </c>
      <c r="E70" s="1775" t="s">
        <v>264</v>
      </c>
      <c r="F70" s="1775" t="s">
        <v>707</v>
      </c>
      <c r="G70" s="1775" t="s">
        <v>708</v>
      </c>
      <c r="H70" s="1775" t="s">
        <v>6</v>
      </c>
      <c r="I70" s="1775" t="s">
        <v>89</v>
      </c>
      <c r="J70" s="1549" t="s">
        <v>739</v>
      </c>
      <c r="K70" s="502"/>
      <c r="L70" s="1770"/>
      <c r="M70" s="502" t="s">
        <v>708</v>
      </c>
      <c r="N70" s="1770" t="s">
        <v>709</v>
      </c>
      <c r="O70" s="1761">
        <v>17140</v>
      </c>
      <c r="P70" s="1761">
        <v>31620</v>
      </c>
      <c r="Q70" s="1770">
        <f>P70-O70</f>
        <v>14480</v>
      </c>
      <c r="R70" s="1770"/>
      <c r="S70" s="1770"/>
      <c r="T70" s="1770">
        <f>Q70</f>
        <v>14480</v>
      </c>
      <c r="U70" s="1770"/>
      <c r="V70" s="1771">
        <v>300</v>
      </c>
      <c r="W70" s="1728">
        <f>-표4[[#This Row],[단가(원)]]*표4[[#This Row],[정산 중량(kg)]]</f>
        <v>-4344000</v>
      </c>
      <c r="X70" s="1755" t="s">
        <v>5</v>
      </c>
      <c r="Y70" s="111"/>
      <c r="Z70" s="727"/>
    </row>
    <row r="71" spans="1:26">
      <c r="A71" s="618">
        <f t="shared" si="1"/>
        <v>67</v>
      </c>
      <c r="B71" s="1808">
        <v>46202</v>
      </c>
      <c r="C71" s="1808">
        <v>46202</v>
      </c>
      <c r="D71" s="1808" t="s">
        <v>405</v>
      </c>
      <c r="E71" s="1808" t="s">
        <v>315</v>
      </c>
      <c r="F71" s="1808" t="s">
        <v>210</v>
      </c>
      <c r="G71" s="1808"/>
      <c r="H71" s="1808" t="s">
        <v>6</v>
      </c>
      <c r="I71" s="1808" t="s">
        <v>46</v>
      </c>
      <c r="J71" s="1842" t="s">
        <v>312</v>
      </c>
      <c r="K71" s="481"/>
      <c r="L71" s="1809"/>
      <c r="M71" s="481" t="s">
        <v>186</v>
      </c>
      <c r="N71" s="1809" t="s">
        <v>755</v>
      </c>
      <c r="O71" s="1798">
        <v>21180</v>
      </c>
      <c r="P71" s="1798">
        <v>26260</v>
      </c>
      <c r="Q71" s="1809">
        <f>표4[[#This Row],[총중량(kg)]]-표4[[#This Row],[공차중량(kg)]]</f>
        <v>5080</v>
      </c>
      <c r="R71" s="1809">
        <v>5120</v>
      </c>
      <c r="S71" s="1809"/>
      <c r="T71" s="1809">
        <f>표4[[#This Row],[거래처 감량 전
실중량(kg)]]</f>
        <v>5120</v>
      </c>
      <c r="U71" s="1809">
        <v>50</v>
      </c>
      <c r="V71" s="1802">
        <v>30000</v>
      </c>
      <c r="W71" s="1727">
        <f>-표4[[#This Row],[단가(원)]]*표4[[#This Row],[루베 적용]]</f>
        <v>-1500000</v>
      </c>
      <c r="X71" s="1797" t="s">
        <v>5</v>
      </c>
      <c r="Y71" s="510"/>
      <c r="Z71" s="727"/>
    </row>
    <row r="72" spans="1:26">
      <c r="A72" s="733"/>
      <c r="B72" s="1869"/>
      <c r="C72" s="1869"/>
      <c r="D72" s="1869"/>
      <c r="E72" s="1869"/>
      <c r="F72" s="1869"/>
      <c r="G72" s="1869"/>
      <c r="H72" s="1869"/>
      <c r="I72" s="1869"/>
      <c r="J72" s="1869"/>
      <c r="K72" s="1869"/>
      <c r="L72" s="1869"/>
      <c r="M72" s="229"/>
      <c r="N72" s="1870"/>
      <c r="O72" s="1857"/>
      <c r="P72" s="1857"/>
      <c r="Q72" s="1870"/>
      <c r="R72" s="1870"/>
      <c r="S72" s="1870"/>
      <c r="T72" s="1870"/>
      <c r="U72" s="1870"/>
      <c r="V72" s="1863"/>
      <c r="W72" s="1863"/>
      <c r="X72" s="1855"/>
      <c r="Y72" s="740"/>
      <c r="Z72" s="727"/>
    </row>
    <row r="73" spans="1:26">
      <c r="A73" s="733"/>
      <c r="B73" s="1869"/>
      <c r="C73" s="1869"/>
      <c r="D73" s="1869"/>
      <c r="E73" s="1869"/>
      <c r="F73" s="1869"/>
      <c r="G73" s="1869"/>
      <c r="H73" s="1869"/>
      <c r="I73" s="1869"/>
      <c r="J73" s="1869"/>
      <c r="K73" s="1869"/>
      <c r="L73" s="1869"/>
      <c r="M73" s="229"/>
      <c r="N73" s="1870"/>
      <c r="O73" s="1857"/>
      <c r="P73" s="1857"/>
      <c r="Q73" s="1870"/>
      <c r="R73" s="1870"/>
      <c r="S73" s="1870"/>
      <c r="T73" s="1870"/>
      <c r="U73" s="1870"/>
      <c r="V73" s="1863"/>
      <c r="W73" s="1863"/>
      <c r="X73" s="1855"/>
      <c r="Y73" s="740"/>
      <c r="Z73" s="727"/>
    </row>
    <row r="74" spans="1:26">
      <c r="A74" s="733"/>
      <c r="B74" s="1869"/>
      <c r="C74" s="1869"/>
      <c r="D74" s="1869"/>
      <c r="E74" s="1869"/>
      <c r="F74" s="1869"/>
      <c r="G74" s="1869"/>
      <c r="H74" s="1869"/>
      <c r="I74" s="1869"/>
      <c r="J74" s="1869"/>
      <c r="K74" s="1869"/>
      <c r="L74" s="1869"/>
      <c r="M74" s="229"/>
      <c r="N74" s="1870"/>
      <c r="O74" s="1857"/>
      <c r="P74" s="1857"/>
      <c r="Q74" s="1870"/>
      <c r="R74" s="1870"/>
      <c r="S74" s="1870"/>
      <c r="T74" s="1870"/>
      <c r="U74" s="1870"/>
      <c r="V74" s="1863"/>
      <c r="W74" s="1863"/>
      <c r="X74" s="1855"/>
      <c r="Y74" s="740"/>
      <c r="Z74" s="727"/>
    </row>
    <row r="75" spans="1:26">
      <c r="A75" s="733"/>
      <c r="B75" s="1869"/>
      <c r="C75" s="1869"/>
      <c r="D75" s="1869"/>
      <c r="E75" s="1869"/>
      <c r="F75" s="1869"/>
      <c r="G75" s="1869"/>
      <c r="H75" s="1869"/>
      <c r="I75" s="1869"/>
      <c r="J75" s="1869"/>
      <c r="K75" s="1869"/>
      <c r="L75" s="1869"/>
      <c r="M75" s="229"/>
      <c r="N75" s="1870"/>
      <c r="O75" s="1857"/>
      <c r="P75" s="1857"/>
      <c r="Q75" s="1870"/>
      <c r="R75" s="1870"/>
      <c r="S75" s="1870"/>
      <c r="T75" s="1870"/>
      <c r="U75" s="1870"/>
      <c r="V75" s="1863"/>
      <c r="W75" s="1863"/>
      <c r="X75" s="1855"/>
      <c r="Y75" s="740"/>
      <c r="Z75" s="727"/>
    </row>
    <row r="76" spans="1:26">
      <c r="A76" s="745"/>
      <c r="B76" s="646"/>
      <c r="C76" s="646"/>
      <c r="D76" s="646"/>
      <c r="E76" s="746"/>
      <c r="F76" s="746"/>
      <c r="G76" s="746"/>
      <c r="H76" s="646"/>
      <c r="I76" s="646"/>
      <c r="J76" s="646"/>
      <c r="K76" s="646"/>
      <c r="L76" s="646"/>
      <c r="M76" s="606"/>
      <c r="N76" s="658"/>
      <c r="O76" s="621"/>
      <c r="P76" s="621"/>
      <c r="Q76" s="658"/>
      <c r="R76" s="658"/>
      <c r="S76" s="658"/>
      <c r="T76" s="658"/>
      <c r="U76" s="1701"/>
      <c r="V76" s="639"/>
      <c r="W76" s="639"/>
      <c r="X76" s="622"/>
      <c r="Y76" s="747"/>
      <c r="Z76" s="727"/>
    </row>
  </sheetData>
  <mergeCells count="1">
    <mergeCell ref="B1:X1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1502-BB76-423C-A8D0-1C5F68507545}">
  <sheetPr>
    <pageSetUpPr fitToPage="1"/>
  </sheetPr>
  <dimension ref="A1:Y58"/>
  <sheetViews>
    <sheetView zoomScale="80" zoomScaleNormal="80" workbookViewId="0">
      <pane ySplit="2" topLeftCell="A3" activePane="bottomLeft" state="frozen"/>
      <selection activeCell="J30" sqref="J30"/>
      <selection pane="bottomLeft" activeCell="P25" sqref="P25"/>
    </sheetView>
  </sheetViews>
  <sheetFormatPr defaultRowHeight="16.5" outlineLevelCol="1"/>
  <cols>
    <col min="1" max="1" width="16.375" style="3" customWidth="1"/>
    <col min="2" max="2" width="12.875" style="3" customWidth="1"/>
    <col min="3" max="3" width="11.875" style="3" customWidth="1"/>
    <col min="4" max="4" width="23.375" style="2" customWidth="1"/>
    <col min="5" max="6" width="15.75" style="2" customWidth="1"/>
    <col min="7" max="7" width="15.125" style="3" bestFit="1" customWidth="1"/>
    <col min="8" max="8" width="11.25" style="3" hidden="1" customWidth="1"/>
    <col min="9" max="9" width="15.75" style="10" customWidth="1"/>
    <col min="10" max="11" width="15.75" style="388" hidden="1" customWidth="1" outlineLevel="1"/>
    <col min="12" max="12" width="17.375" style="10" bestFit="1" customWidth="1" collapsed="1"/>
    <col min="13" max="13" width="15.75" style="2" customWidth="1"/>
    <col min="14" max="15" width="15.75" style="2" hidden="1" customWidth="1" outlineLevel="1"/>
    <col min="16" max="16" width="15.75" style="2" customWidth="1" collapsed="1"/>
    <col min="17" max="17" width="17" style="2" customWidth="1"/>
    <col min="18" max="18" width="10.375" style="10" customWidth="1"/>
    <col min="19" max="19" width="15.75" style="10" customWidth="1"/>
    <col min="20" max="20" width="9.875" style="388" customWidth="1"/>
    <col min="21" max="21" width="15.75" style="10" customWidth="1"/>
    <col min="22" max="22" width="18.75" style="10" customWidth="1"/>
    <col min="23" max="23" width="15.75" style="10" customWidth="1"/>
    <col min="24" max="24" width="30.875" style="10" customWidth="1"/>
    <col min="25" max="25" width="15.625" style="10" customWidth="1"/>
    <col min="26" max="26" width="9" style="10"/>
    <col min="27" max="27" width="10.625" style="10" bestFit="1" customWidth="1"/>
    <col min="28" max="16384" width="9" style="10"/>
  </cols>
  <sheetData>
    <row r="1" spans="1:25" ht="15.75" customHeight="1">
      <c r="A1" s="4"/>
      <c r="B1" s="4"/>
      <c r="C1" s="4"/>
      <c r="D1" s="7"/>
      <c r="E1" s="7"/>
      <c r="F1" s="7"/>
      <c r="G1" s="4"/>
      <c r="H1" s="4"/>
      <c r="I1" s="5"/>
      <c r="J1" s="5"/>
      <c r="K1" s="5"/>
      <c r="L1" s="5"/>
      <c r="M1" s="7"/>
      <c r="N1" s="7"/>
      <c r="O1" s="7"/>
      <c r="P1" s="7"/>
      <c r="Q1" s="7"/>
      <c r="R1" s="6"/>
      <c r="S1" s="6"/>
      <c r="T1" s="6"/>
      <c r="U1" s="5"/>
      <c r="V1" s="5"/>
      <c r="W1" s="5"/>
      <c r="X1" s="5"/>
      <c r="Y1" s="5"/>
    </row>
    <row r="2" spans="1:25" ht="30.75" customHeight="1">
      <c r="A2" s="78" t="s">
        <v>469</v>
      </c>
      <c r="B2" s="78" t="s">
        <v>388</v>
      </c>
      <c r="C2" s="78" t="s">
        <v>389</v>
      </c>
      <c r="D2" s="79" t="s">
        <v>391</v>
      </c>
      <c r="E2" s="1895" t="s">
        <v>452</v>
      </c>
      <c r="F2" s="1895" t="s">
        <v>742</v>
      </c>
      <c r="G2" s="78" t="s">
        <v>14</v>
      </c>
      <c r="H2" s="78" t="s">
        <v>13</v>
      </c>
      <c r="I2" s="78" t="s">
        <v>0</v>
      </c>
      <c r="J2" s="78" t="s">
        <v>249</v>
      </c>
      <c r="K2" s="78" t="s">
        <v>260</v>
      </c>
      <c r="L2" s="79" t="s">
        <v>741</v>
      </c>
      <c r="M2" s="79" t="s">
        <v>2</v>
      </c>
      <c r="N2" s="79" t="s">
        <v>80</v>
      </c>
      <c r="O2" s="79" t="s">
        <v>81</v>
      </c>
      <c r="P2" s="8" t="s">
        <v>9</v>
      </c>
      <c r="Q2" s="67" t="s">
        <v>78</v>
      </c>
      <c r="R2" s="68" t="s">
        <v>385</v>
      </c>
      <c r="S2" s="69" t="s">
        <v>77</v>
      </c>
      <c r="T2" s="69" t="s">
        <v>743</v>
      </c>
      <c r="U2" s="70" t="s">
        <v>7</v>
      </c>
      <c r="V2" s="9" t="s">
        <v>8</v>
      </c>
      <c r="W2" s="78" t="s">
        <v>3</v>
      </c>
      <c r="X2" s="78" t="s">
        <v>10</v>
      </c>
      <c r="Y2" s="80" t="s">
        <v>82</v>
      </c>
    </row>
    <row r="3" spans="1:25" s="388" customFormat="1">
      <c r="A3" s="280">
        <v>46153</v>
      </c>
      <c r="B3" s="280"/>
      <c r="C3" s="280"/>
      <c r="D3" s="284" t="s">
        <v>264</v>
      </c>
      <c r="E3" s="284" t="s">
        <v>454</v>
      </c>
      <c r="F3" s="284" t="s">
        <v>17</v>
      </c>
      <c r="G3" s="280" t="s">
        <v>239</v>
      </c>
      <c r="H3" s="280"/>
      <c r="I3" s="281" t="s">
        <v>235</v>
      </c>
      <c r="J3" s="281"/>
      <c r="K3" s="281"/>
      <c r="L3" s="282" t="s">
        <v>361</v>
      </c>
      <c r="M3" s="284" t="s">
        <v>286</v>
      </c>
      <c r="N3" s="283">
        <v>20920</v>
      </c>
      <c r="O3" s="283">
        <v>33270</v>
      </c>
      <c r="P3" s="285">
        <f t="shared" ref="P3" si="0">O3-N3</f>
        <v>12350</v>
      </c>
      <c r="Q3" s="283"/>
      <c r="R3" s="283"/>
      <c r="S3" s="283">
        <f>P3</f>
        <v>12350</v>
      </c>
      <c r="T3" s="283"/>
      <c r="U3" s="286">
        <v>170</v>
      </c>
      <c r="V3" s="286">
        <f t="shared" ref="V3:V7" si="1">-U3*S3</f>
        <v>-2099500</v>
      </c>
      <c r="W3" s="287" t="s">
        <v>5</v>
      </c>
      <c r="X3" s="581" t="s">
        <v>404</v>
      </c>
      <c r="Y3" s="2006"/>
    </row>
    <row r="4" spans="1:25" s="388" customFormat="1">
      <c r="A4" s="909">
        <v>46162</v>
      </c>
      <c r="B4" s="909">
        <v>46162</v>
      </c>
      <c r="C4" s="909" t="s">
        <v>405</v>
      </c>
      <c r="D4" s="909" t="s">
        <v>264</v>
      </c>
      <c r="E4" s="909" t="s">
        <v>17</v>
      </c>
      <c r="F4" s="1877" t="s">
        <v>83</v>
      </c>
      <c r="G4" s="909" t="s">
        <v>17</v>
      </c>
      <c r="H4" s="909" t="s">
        <v>89</v>
      </c>
      <c r="I4" s="909" t="s">
        <v>202</v>
      </c>
      <c r="J4" s="909"/>
      <c r="K4" s="909"/>
      <c r="L4" s="83" t="s">
        <v>83</v>
      </c>
      <c r="M4" s="914" t="s">
        <v>285</v>
      </c>
      <c r="N4" s="1307">
        <v>20930</v>
      </c>
      <c r="O4" s="1307">
        <v>31240</v>
      </c>
      <c r="P4" s="1309">
        <f>O4-N4-3490</f>
        <v>6820</v>
      </c>
      <c r="Q4" s="914"/>
      <c r="R4" s="914"/>
      <c r="S4" s="914">
        <f>P4</f>
        <v>6820</v>
      </c>
      <c r="T4" s="1882"/>
      <c r="U4" s="916">
        <v>170</v>
      </c>
      <c r="V4" s="916">
        <f t="shared" si="1"/>
        <v>-1159400</v>
      </c>
      <c r="W4" s="912" t="s">
        <v>5</v>
      </c>
      <c r="X4" s="205" t="s">
        <v>540</v>
      </c>
      <c r="Y4" s="2006"/>
    </row>
    <row r="5" spans="1:25" s="388" customFormat="1">
      <c r="A5" s="1030">
        <v>46162</v>
      </c>
      <c r="B5" s="1030">
        <v>46162</v>
      </c>
      <c r="C5" s="1029"/>
      <c r="D5" s="1015" t="s">
        <v>314</v>
      </c>
      <c r="E5" s="1029" t="s">
        <v>17</v>
      </c>
      <c r="F5" s="1876"/>
      <c r="G5" s="1029" t="s">
        <v>17</v>
      </c>
      <c r="H5" s="1029" t="s">
        <v>89</v>
      </c>
      <c r="I5" s="1030" t="s">
        <v>202</v>
      </c>
      <c r="J5" s="1030"/>
      <c r="K5" s="1030"/>
      <c r="L5" s="84" t="s">
        <v>83</v>
      </c>
      <c r="M5" s="1027" t="s">
        <v>285</v>
      </c>
      <c r="N5" s="1306"/>
      <c r="O5" s="1306"/>
      <c r="P5" s="1310">
        <v>3490</v>
      </c>
      <c r="Q5" s="1025"/>
      <c r="R5" s="1025"/>
      <c r="S5" s="1025">
        <f>P5</f>
        <v>3490</v>
      </c>
      <c r="T5" s="1867"/>
      <c r="U5" s="1026">
        <v>170</v>
      </c>
      <c r="V5" s="1311">
        <f t="shared" si="1"/>
        <v>-593300</v>
      </c>
      <c r="W5" s="1023" t="s">
        <v>5</v>
      </c>
      <c r="X5" s="1047" t="s">
        <v>539</v>
      </c>
      <c r="Y5" s="2006"/>
    </row>
    <row r="6" spans="1:25" s="388" customFormat="1">
      <c r="A6" s="1048">
        <v>46164</v>
      </c>
      <c r="B6" s="1048">
        <v>46164</v>
      </c>
      <c r="C6" s="1048" t="s">
        <v>399</v>
      </c>
      <c r="D6" s="1049" t="s">
        <v>264</v>
      </c>
      <c r="E6" s="1048" t="s">
        <v>453</v>
      </c>
      <c r="F6" s="1048" t="s">
        <v>17</v>
      </c>
      <c r="G6" s="1048" t="s">
        <v>440</v>
      </c>
      <c r="H6" s="1048" t="s">
        <v>239</v>
      </c>
      <c r="I6" s="1048" t="s">
        <v>235</v>
      </c>
      <c r="J6" s="1048" t="s">
        <v>257</v>
      </c>
      <c r="K6" s="1048" t="s">
        <v>402</v>
      </c>
      <c r="L6" s="1050" t="s">
        <v>361</v>
      </c>
      <c r="M6" s="337" t="s">
        <v>286</v>
      </c>
      <c r="N6" s="1051">
        <v>20690</v>
      </c>
      <c r="O6" s="1051">
        <v>37660</v>
      </c>
      <c r="P6" s="337">
        <f>O6-N6</f>
        <v>16970</v>
      </c>
      <c r="Q6" s="337">
        <v>16970</v>
      </c>
      <c r="R6" s="337"/>
      <c r="S6" s="337">
        <v>16970</v>
      </c>
      <c r="T6" s="337"/>
      <c r="U6" s="1052">
        <v>170</v>
      </c>
      <c r="V6" s="286">
        <f t="shared" si="1"/>
        <v>-2884900</v>
      </c>
      <c r="W6" s="338" t="s">
        <v>5</v>
      </c>
      <c r="X6" s="1053" t="s">
        <v>589</v>
      </c>
      <c r="Y6" s="2006"/>
    </row>
    <row r="7" spans="1:25" s="388" customFormat="1">
      <c r="A7" s="87">
        <v>46184</v>
      </c>
      <c r="B7" s="87">
        <v>46184</v>
      </c>
      <c r="C7" s="87" t="s">
        <v>405</v>
      </c>
      <c r="D7" s="87" t="s">
        <v>34</v>
      </c>
      <c r="E7" s="87" t="s">
        <v>17</v>
      </c>
      <c r="F7" s="87"/>
      <c r="G7" s="87" t="s">
        <v>17</v>
      </c>
      <c r="H7" s="87" t="s">
        <v>89</v>
      </c>
      <c r="I7" s="87" t="s">
        <v>86</v>
      </c>
      <c r="J7" s="87"/>
      <c r="K7" s="87"/>
      <c r="L7" s="88" t="s">
        <v>83</v>
      </c>
      <c r="M7" s="89" t="s">
        <v>285</v>
      </c>
      <c r="N7" s="90">
        <v>21490</v>
      </c>
      <c r="O7" s="90">
        <v>35130</v>
      </c>
      <c r="P7" s="91">
        <f>O7-N7</f>
        <v>13640</v>
      </c>
      <c r="Q7" s="89"/>
      <c r="R7" s="89"/>
      <c r="S7" s="89">
        <f>P7</f>
        <v>13640</v>
      </c>
      <c r="T7" s="89"/>
      <c r="U7" s="92">
        <v>170</v>
      </c>
      <c r="V7" s="92">
        <f t="shared" si="1"/>
        <v>-2318800</v>
      </c>
      <c r="W7" s="508" t="s">
        <v>5</v>
      </c>
      <c r="X7" s="614"/>
      <c r="Y7" s="1422"/>
    </row>
    <row r="8" spans="1:25" s="388" customFormat="1">
      <c r="A8" s="1881"/>
      <c r="B8" s="1881"/>
      <c r="C8" s="1881"/>
      <c r="D8" s="1881"/>
      <c r="E8" s="1881"/>
      <c r="F8" s="1881"/>
      <c r="G8" s="1881"/>
      <c r="H8" s="1881"/>
      <c r="I8" s="1881"/>
      <c r="J8" s="1881"/>
      <c r="K8" s="1881"/>
      <c r="L8" s="481"/>
      <c r="M8" s="1883"/>
      <c r="N8" s="1858"/>
      <c r="O8" s="1858"/>
      <c r="P8" s="157"/>
      <c r="Q8" s="1883"/>
      <c r="R8" s="1883"/>
      <c r="S8" s="1883"/>
      <c r="T8" s="1883"/>
      <c r="U8" s="1864"/>
      <c r="V8" s="1864"/>
      <c r="W8" s="1854"/>
      <c r="X8" s="154"/>
      <c r="Y8" s="1422"/>
    </row>
    <row r="9" spans="1:25" ht="21.95" customHeight="1">
      <c r="A9" s="116"/>
      <c r="B9" s="324"/>
      <c r="C9" s="324"/>
      <c r="D9" s="375"/>
      <c r="E9" s="507"/>
      <c r="F9" s="1858"/>
      <c r="G9" s="267"/>
      <c r="H9" s="324"/>
      <c r="I9" s="100"/>
      <c r="J9" s="100"/>
      <c r="K9" s="100"/>
      <c r="L9" s="100"/>
      <c r="M9" s="117"/>
      <c r="N9" s="117"/>
      <c r="O9" s="52"/>
      <c r="P9" s="53"/>
      <c r="Q9" s="117"/>
      <c r="R9" s="52"/>
      <c r="S9" s="52"/>
      <c r="T9" s="1883"/>
      <c r="U9" s="52"/>
      <c r="V9" s="117"/>
      <c r="W9" s="95"/>
      <c r="X9" s="233"/>
      <c r="Y9" s="223"/>
    </row>
    <row r="10" spans="1:25" ht="30" customHeight="1">
      <c r="A10" s="72"/>
      <c r="B10" s="72"/>
      <c r="C10" s="72"/>
      <c r="D10" s="75"/>
      <c r="E10" s="75"/>
      <c r="F10" s="75"/>
      <c r="G10" s="72"/>
      <c r="H10" s="72"/>
      <c r="I10" s="73"/>
      <c r="J10" s="73"/>
      <c r="K10" s="73"/>
      <c r="L10" s="74"/>
      <c r="M10" s="75"/>
      <c r="N10" s="75"/>
      <c r="O10" s="75"/>
      <c r="P10" s="11">
        <f>SUBTOTAL(9,P3:P9)</f>
        <v>53270</v>
      </c>
      <c r="Q10" s="76"/>
      <c r="R10" s="77"/>
      <c r="S10" s="76"/>
      <c r="T10" s="76"/>
      <c r="U10" s="77"/>
      <c r="V10" s="66">
        <f>SUBTOTAL(9,V3:V9)</f>
        <v>-9055900</v>
      </c>
      <c r="W10" s="74"/>
      <c r="X10" s="74"/>
      <c r="Y10" s="224"/>
    </row>
    <row r="11" spans="1:25" ht="21.95" customHeight="1">
      <c r="A11" s="4"/>
      <c r="B11" s="4"/>
      <c r="C11" s="4"/>
      <c r="D11" s="7"/>
      <c r="E11" s="7"/>
      <c r="F11" s="7"/>
      <c r="G11" s="4"/>
      <c r="H11" s="4"/>
      <c r="I11" s="5"/>
      <c r="J11" s="5"/>
      <c r="K11" s="5"/>
      <c r="L11" s="5"/>
      <c r="M11" s="7"/>
      <c r="N11" s="7"/>
      <c r="O11" s="7"/>
      <c r="P11" s="7"/>
      <c r="Q11" s="7"/>
      <c r="R11" s="6"/>
      <c r="S11" s="6"/>
      <c r="T11" s="6"/>
      <c r="U11" s="5"/>
      <c r="V11" s="5"/>
      <c r="W11" s="5"/>
      <c r="X11" s="5"/>
    </row>
    <row r="12" spans="1:25" ht="21.95" customHeight="1">
      <c r="A12" s="4"/>
      <c r="B12" s="4"/>
      <c r="C12" s="4"/>
      <c r="D12" s="7"/>
      <c r="E12" s="7"/>
      <c r="F12" s="7"/>
      <c r="G12" s="4"/>
      <c r="H12" s="4"/>
      <c r="I12" s="5"/>
      <c r="J12" s="5"/>
      <c r="K12" s="5"/>
      <c r="L12" s="5"/>
      <c r="M12" s="7"/>
      <c r="N12" s="7"/>
      <c r="O12" s="7"/>
      <c r="P12" s="7"/>
      <c r="Q12" s="7"/>
      <c r="R12" s="5"/>
      <c r="S12" s="5"/>
      <c r="T12" s="5"/>
      <c r="U12" s="5"/>
      <c r="V12" s="5"/>
      <c r="W12" s="5"/>
      <c r="X12" s="5"/>
    </row>
    <row r="13" spans="1:25" ht="21.95" customHeight="1">
      <c r="A13" s="4"/>
      <c r="B13" s="4"/>
      <c r="C13" s="4"/>
      <c r="D13" s="7"/>
      <c r="E13" s="7"/>
      <c r="F13" s="7"/>
      <c r="G13" s="4"/>
      <c r="H13" s="4"/>
      <c r="I13" s="5"/>
      <c r="J13" s="5"/>
      <c r="K13" s="5"/>
      <c r="L13" s="5"/>
      <c r="M13" s="7"/>
      <c r="N13" s="7"/>
      <c r="O13" s="7"/>
      <c r="P13" s="7"/>
      <c r="Q13" s="7"/>
      <c r="R13" s="5"/>
      <c r="S13" s="5"/>
      <c r="T13" s="5"/>
      <c r="U13" s="5"/>
      <c r="V13" s="5"/>
      <c r="W13" s="5"/>
      <c r="X13" s="5"/>
    </row>
    <row r="14" spans="1:25" ht="21.95" customHeight="1">
      <c r="A14" s="4"/>
      <c r="B14" s="4"/>
      <c r="C14" s="4"/>
      <c r="D14" s="7"/>
      <c r="E14" s="7"/>
      <c r="F14" s="7"/>
      <c r="G14" s="4"/>
      <c r="H14" s="4"/>
      <c r="I14" s="5"/>
      <c r="J14" s="5"/>
      <c r="K14" s="5"/>
      <c r="L14" s="5"/>
      <c r="M14" s="7"/>
      <c r="N14" s="7"/>
      <c r="O14" s="7"/>
      <c r="P14" s="7"/>
      <c r="Q14" s="7"/>
      <c r="R14" s="7"/>
      <c r="S14" s="5"/>
      <c r="T14" s="5"/>
      <c r="U14" s="7"/>
      <c r="V14" s="7"/>
      <c r="W14" s="5"/>
      <c r="X14" s="5"/>
    </row>
    <row r="15" spans="1:25" ht="21.95" customHeight="1">
      <c r="A15" s="4"/>
      <c r="B15" s="4"/>
      <c r="C15" s="4"/>
      <c r="D15" s="7"/>
      <c r="E15" s="7"/>
      <c r="F15" s="7"/>
      <c r="G15" s="4"/>
      <c r="H15" s="4"/>
      <c r="I15" s="5"/>
      <c r="J15" s="5"/>
      <c r="K15" s="5"/>
      <c r="L15" s="5"/>
      <c r="M15" s="7"/>
      <c r="N15" s="7"/>
      <c r="O15" s="7"/>
      <c r="P15" s="7"/>
      <c r="Q15" s="7"/>
      <c r="R15" s="7"/>
      <c r="S15" s="5"/>
      <c r="T15" s="5"/>
      <c r="U15" s="5"/>
      <c r="V15" s="5"/>
      <c r="W15" s="5"/>
      <c r="X15" s="5"/>
    </row>
    <row r="16" spans="1:25" ht="21.95" customHeight="1">
      <c r="A16" s="4"/>
      <c r="B16" s="4"/>
      <c r="C16" s="4"/>
      <c r="D16" s="7"/>
      <c r="E16" s="7"/>
      <c r="F16" s="7"/>
      <c r="G16" s="4"/>
      <c r="H16" s="4"/>
      <c r="I16" s="5"/>
      <c r="J16" s="5"/>
      <c r="K16" s="5"/>
      <c r="L16" s="5"/>
      <c r="M16" s="7"/>
      <c r="N16" s="7"/>
      <c r="O16" s="7"/>
      <c r="P16" s="7"/>
      <c r="Q16" s="7"/>
      <c r="R16" s="5"/>
      <c r="S16" s="5"/>
      <c r="T16" s="5"/>
      <c r="U16" s="5"/>
      <c r="V16" s="5"/>
      <c r="W16" s="5"/>
      <c r="X16" s="5"/>
    </row>
    <row r="17" spans="1:24" ht="21.95" customHeight="1">
      <c r="A17" s="4"/>
      <c r="B17" s="4"/>
      <c r="C17" s="4"/>
      <c r="D17" s="7"/>
      <c r="E17" s="7"/>
      <c r="F17" s="7"/>
      <c r="G17" s="4"/>
      <c r="H17" s="4"/>
      <c r="I17" s="5"/>
      <c r="J17" s="5"/>
      <c r="K17" s="5"/>
      <c r="L17" s="5"/>
      <c r="M17" s="7"/>
      <c r="N17" s="7"/>
      <c r="O17" s="7"/>
      <c r="P17" s="7"/>
      <c r="Q17" s="7"/>
      <c r="R17" s="5"/>
      <c r="S17" s="5"/>
      <c r="T17" s="5"/>
      <c r="U17" s="5"/>
      <c r="V17" s="7"/>
      <c r="W17" s="5"/>
      <c r="X17" s="5"/>
    </row>
    <row r="18" spans="1:24" ht="21.95" customHeight="1">
      <c r="A18" s="4"/>
      <c r="B18" s="4"/>
      <c r="C18" s="4"/>
      <c r="D18" s="7"/>
      <c r="E18" s="7"/>
      <c r="F18" s="7"/>
      <c r="G18" s="4"/>
      <c r="H18" s="4"/>
      <c r="I18" s="5"/>
      <c r="J18" s="5"/>
      <c r="K18" s="5"/>
      <c r="L18" s="5"/>
      <c r="M18" s="7"/>
      <c r="N18" s="7"/>
      <c r="O18" s="7"/>
      <c r="P18" s="7"/>
      <c r="Q18" s="7"/>
      <c r="R18" s="5"/>
      <c r="S18" s="5"/>
      <c r="T18" s="5"/>
      <c r="U18" s="5"/>
      <c r="V18" s="5"/>
      <c r="W18" s="5"/>
      <c r="X18" s="5"/>
    </row>
    <row r="19" spans="1:24" ht="21.95" customHeight="1">
      <c r="A19" s="4"/>
      <c r="B19" s="4"/>
      <c r="C19" s="4"/>
      <c r="D19" s="7"/>
      <c r="E19" s="7"/>
      <c r="F19" s="7"/>
      <c r="G19" s="4"/>
      <c r="H19" s="4"/>
      <c r="I19" s="5"/>
      <c r="J19" s="5"/>
      <c r="K19" s="5"/>
      <c r="L19" s="5"/>
      <c r="M19" s="7"/>
      <c r="N19" s="7"/>
      <c r="O19" s="7"/>
      <c r="P19" s="7"/>
      <c r="Q19" s="7"/>
      <c r="R19" s="5"/>
      <c r="S19" s="5"/>
      <c r="T19" s="5"/>
      <c r="U19" s="5"/>
      <c r="V19" s="5"/>
      <c r="W19" s="5"/>
      <c r="X19" s="5"/>
    </row>
    <row r="20" spans="1:24" ht="21.95" customHeight="1">
      <c r="A20" s="4"/>
      <c r="B20" s="4"/>
      <c r="C20" s="4"/>
      <c r="D20" s="7"/>
      <c r="E20" s="7"/>
      <c r="F20" s="7"/>
      <c r="G20" s="4"/>
      <c r="H20" s="4"/>
      <c r="I20" s="5"/>
      <c r="J20" s="5"/>
      <c r="K20" s="5"/>
      <c r="L20" s="5"/>
      <c r="M20" s="7"/>
      <c r="N20" s="7"/>
      <c r="O20" s="7"/>
      <c r="P20" s="7"/>
      <c r="Q20" s="7"/>
      <c r="R20" s="5"/>
      <c r="S20" s="5"/>
      <c r="T20" s="5"/>
      <c r="U20" s="5"/>
      <c r="V20" s="5"/>
      <c r="W20" s="5"/>
      <c r="X20" s="5"/>
    </row>
    <row r="21" spans="1:24" ht="21.95" customHeight="1">
      <c r="A21" s="4"/>
      <c r="B21" s="4"/>
      <c r="C21" s="4"/>
      <c r="D21" s="7"/>
      <c r="E21" s="7"/>
      <c r="F21" s="7"/>
      <c r="G21" s="4"/>
      <c r="H21" s="4"/>
      <c r="I21" s="5"/>
      <c r="J21" s="5"/>
      <c r="K21" s="5"/>
      <c r="L21" s="5"/>
      <c r="M21" s="7"/>
      <c r="N21" s="7"/>
      <c r="O21" s="7"/>
      <c r="P21" s="7"/>
      <c r="Q21" s="7"/>
      <c r="R21" s="5"/>
      <c r="S21" s="5"/>
      <c r="T21" s="5"/>
      <c r="U21" s="5"/>
      <c r="V21" s="5"/>
      <c r="W21" s="5"/>
      <c r="X21" s="5"/>
    </row>
    <row r="22" spans="1:24" ht="21.95" customHeight="1">
      <c r="A22" s="4"/>
      <c r="B22" s="4"/>
      <c r="C22" s="4"/>
      <c r="D22" s="7"/>
      <c r="E22" s="7"/>
      <c r="F22" s="7"/>
      <c r="G22" s="4"/>
      <c r="H22" s="4"/>
      <c r="I22" s="5"/>
      <c r="J22" s="5"/>
      <c r="K22" s="5"/>
      <c r="L22" s="5"/>
      <c r="M22" s="7"/>
      <c r="N22" s="7"/>
      <c r="O22" s="7"/>
      <c r="P22" s="7"/>
      <c r="Q22" s="7"/>
      <c r="R22" s="5"/>
      <c r="S22" s="5"/>
      <c r="T22" s="5"/>
      <c r="U22" s="5"/>
      <c r="V22" s="5"/>
      <c r="W22" s="5"/>
      <c r="X22" s="5"/>
    </row>
    <row r="23" spans="1:24" ht="21.95" customHeight="1">
      <c r="A23" s="4"/>
      <c r="B23" s="4"/>
      <c r="C23" s="4"/>
      <c r="D23" s="7"/>
      <c r="E23" s="7"/>
      <c r="F23" s="7"/>
      <c r="G23" s="4"/>
      <c r="H23" s="4"/>
      <c r="I23" s="5"/>
      <c r="J23" s="5"/>
      <c r="K23" s="5"/>
      <c r="L23" s="5"/>
      <c r="M23" s="7"/>
      <c r="N23" s="7"/>
      <c r="O23" s="7"/>
      <c r="P23" s="7"/>
      <c r="Q23" s="7"/>
      <c r="R23" s="5"/>
      <c r="S23" s="5"/>
      <c r="T23" s="5"/>
      <c r="U23" s="5"/>
      <c r="V23" s="5"/>
      <c r="W23" s="5"/>
      <c r="X23" s="5"/>
    </row>
    <row r="24" spans="1:24" ht="21.95" customHeight="1">
      <c r="A24" s="4"/>
      <c r="B24" s="4"/>
      <c r="C24" s="4"/>
      <c r="D24" s="7"/>
      <c r="E24" s="7"/>
      <c r="F24" s="7"/>
      <c r="G24" s="4"/>
      <c r="H24" s="4"/>
      <c r="I24" s="5"/>
      <c r="J24" s="5"/>
      <c r="K24" s="5"/>
      <c r="L24" s="5"/>
      <c r="M24" s="7"/>
      <c r="N24" s="7"/>
      <c r="O24" s="7"/>
      <c r="P24" s="7"/>
      <c r="Q24" s="7"/>
      <c r="R24" s="5"/>
      <c r="S24" s="5"/>
      <c r="T24" s="5"/>
      <c r="U24" s="5"/>
      <c r="V24" s="5"/>
      <c r="W24" s="5"/>
      <c r="X24" s="5"/>
    </row>
    <row r="25" spans="1:24" ht="21.95" customHeight="1">
      <c r="A25" s="4"/>
      <c r="B25" s="4"/>
      <c r="C25" s="4"/>
      <c r="D25" s="7"/>
      <c r="E25" s="7"/>
      <c r="F25" s="7"/>
      <c r="G25" s="4"/>
      <c r="H25" s="4"/>
      <c r="I25" s="5"/>
      <c r="J25" s="5"/>
      <c r="K25" s="5"/>
      <c r="L25" s="5"/>
      <c r="M25" s="7"/>
      <c r="N25" s="7"/>
      <c r="O25" s="7"/>
      <c r="P25" s="7"/>
      <c r="Q25" s="7"/>
      <c r="R25" s="5"/>
      <c r="S25" s="5"/>
      <c r="T25" s="5"/>
      <c r="U25" s="5"/>
      <c r="V25" s="5"/>
      <c r="W25" s="5"/>
      <c r="X25" s="5"/>
    </row>
    <row r="26" spans="1:24" ht="21.95" customHeight="1">
      <c r="A26" s="4"/>
      <c r="B26" s="4"/>
      <c r="C26" s="4"/>
      <c r="D26" s="7"/>
      <c r="E26" s="7"/>
      <c r="F26" s="7"/>
      <c r="G26" s="4"/>
      <c r="H26" s="4"/>
      <c r="I26" s="5"/>
      <c r="J26" s="5"/>
      <c r="K26" s="5"/>
      <c r="L26" s="5"/>
      <c r="M26" s="7"/>
      <c r="N26" s="7"/>
      <c r="O26" s="7"/>
      <c r="P26" s="7"/>
      <c r="Q26" s="7"/>
      <c r="R26" s="5"/>
      <c r="S26" s="5"/>
      <c r="T26" s="5"/>
      <c r="U26" s="5"/>
      <c r="V26" s="5"/>
      <c r="W26" s="5"/>
      <c r="X26" s="5"/>
    </row>
    <row r="27" spans="1:24" ht="21.95" customHeight="1">
      <c r="A27" s="4"/>
      <c r="B27" s="4"/>
      <c r="C27" s="4"/>
      <c r="D27" s="7"/>
      <c r="E27" s="7"/>
      <c r="F27" s="7"/>
      <c r="G27" s="4"/>
      <c r="H27" s="4"/>
      <c r="I27" s="5"/>
      <c r="J27" s="5"/>
      <c r="K27" s="5"/>
      <c r="L27" s="5"/>
      <c r="M27" s="7"/>
      <c r="N27" s="7"/>
      <c r="O27" s="7"/>
      <c r="P27" s="7"/>
      <c r="Q27" s="7"/>
      <c r="R27" s="5"/>
      <c r="S27" s="5"/>
      <c r="T27" s="5"/>
      <c r="U27" s="5"/>
      <c r="V27" s="5"/>
      <c r="W27" s="5"/>
      <c r="X27" s="5"/>
    </row>
    <row r="28" spans="1:24" ht="21.95" customHeight="1">
      <c r="A28" s="4"/>
      <c r="B28" s="4"/>
      <c r="C28" s="4"/>
      <c r="D28" s="7"/>
      <c r="E28" s="7"/>
      <c r="F28" s="7"/>
      <c r="G28" s="4"/>
      <c r="H28" s="4"/>
      <c r="I28" s="5"/>
      <c r="J28" s="5"/>
      <c r="K28" s="5"/>
      <c r="L28" s="5"/>
      <c r="M28" s="7"/>
      <c r="N28" s="7"/>
      <c r="O28" s="7"/>
      <c r="P28" s="7"/>
      <c r="Q28" s="7"/>
      <c r="R28" s="5"/>
      <c r="S28" s="5"/>
      <c r="T28" s="5"/>
      <c r="U28" s="5"/>
      <c r="V28" s="5"/>
      <c r="W28" s="5"/>
      <c r="X28" s="5"/>
    </row>
    <row r="29" spans="1:24" ht="21.95" customHeight="1">
      <c r="A29" s="4"/>
      <c r="B29" s="4"/>
      <c r="C29" s="4"/>
      <c r="D29" s="7"/>
      <c r="E29" s="7"/>
      <c r="F29" s="7"/>
      <c r="G29" s="4"/>
      <c r="H29" s="4"/>
      <c r="I29" s="5"/>
      <c r="J29" s="5"/>
      <c r="K29" s="5"/>
      <c r="L29" s="5"/>
      <c r="M29" s="7"/>
      <c r="N29" s="7"/>
      <c r="O29" s="7"/>
      <c r="P29" s="7"/>
      <c r="Q29" s="7"/>
      <c r="R29" s="5"/>
      <c r="S29" s="5"/>
      <c r="T29" s="5"/>
      <c r="U29" s="5"/>
      <c r="V29" s="5"/>
      <c r="W29" s="5"/>
      <c r="X29" s="5"/>
    </row>
    <row r="30" spans="1:24" ht="21.95" customHeight="1">
      <c r="A30" s="4"/>
      <c r="B30" s="4"/>
      <c r="C30" s="4"/>
      <c r="D30" s="7"/>
      <c r="E30" s="7"/>
      <c r="F30" s="7"/>
      <c r="G30" s="4"/>
      <c r="H30" s="4"/>
      <c r="I30" s="5"/>
      <c r="J30" s="5"/>
      <c r="K30" s="5"/>
      <c r="L30" s="5"/>
      <c r="M30" s="7"/>
      <c r="N30" s="7"/>
      <c r="O30" s="7"/>
      <c r="P30" s="7"/>
      <c r="Q30" s="7"/>
      <c r="R30" s="5"/>
      <c r="S30" s="5"/>
      <c r="T30" s="5"/>
      <c r="U30" s="5"/>
      <c r="V30" s="5"/>
      <c r="W30" s="5"/>
      <c r="X30" s="5"/>
    </row>
    <row r="31" spans="1:24" ht="21.95" customHeight="1">
      <c r="A31" s="4"/>
      <c r="B31" s="4"/>
      <c r="C31" s="4"/>
      <c r="D31" s="7"/>
      <c r="E31" s="7"/>
      <c r="F31" s="7"/>
      <c r="G31" s="4"/>
      <c r="H31" s="4"/>
      <c r="I31" s="5"/>
      <c r="J31" s="5"/>
      <c r="K31" s="5"/>
      <c r="L31" s="5"/>
      <c r="M31" s="7"/>
      <c r="N31" s="7"/>
      <c r="O31" s="7"/>
      <c r="P31" s="7"/>
      <c r="Q31" s="7"/>
      <c r="R31" s="5"/>
      <c r="S31" s="5"/>
      <c r="T31" s="5"/>
      <c r="U31" s="5"/>
      <c r="V31" s="5"/>
      <c r="W31" s="5"/>
      <c r="X31" s="5"/>
    </row>
    <row r="32" spans="1:24" ht="21.95" customHeight="1">
      <c r="A32" s="4"/>
      <c r="B32" s="4"/>
      <c r="C32" s="4"/>
      <c r="D32" s="7"/>
      <c r="E32" s="7"/>
      <c r="F32" s="7"/>
      <c r="G32" s="4"/>
      <c r="H32" s="4"/>
      <c r="I32" s="5"/>
      <c r="J32" s="5"/>
      <c r="K32" s="5"/>
      <c r="L32" s="5"/>
      <c r="M32" s="7"/>
      <c r="N32" s="7"/>
      <c r="O32" s="7"/>
      <c r="P32" s="7"/>
      <c r="Q32" s="7"/>
      <c r="R32" s="5"/>
      <c r="S32" s="5"/>
      <c r="T32" s="5"/>
      <c r="U32" s="5"/>
      <c r="V32" s="5"/>
      <c r="W32" s="5"/>
      <c r="X32" s="5"/>
    </row>
    <row r="33" spans="1:24" ht="21.95" customHeight="1">
      <c r="A33" s="4"/>
      <c r="B33" s="4"/>
      <c r="C33" s="4"/>
      <c r="D33" s="7"/>
      <c r="E33" s="7"/>
      <c r="F33" s="7"/>
      <c r="G33" s="4"/>
      <c r="H33" s="4"/>
      <c r="I33" s="5"/>
      <c r="J33" s="5"/>
      <c r="K33" s="5"/>
      <c r="L33" s="5"/>
      <c r="M33" s="7"/>
      <c r="N33" s="7"/>
      <c r="O33" s="7"/>
      <c r="P33" s="7"/>
      <c r="Q33" s="7"/>
      <c r="R33" s="5"/>
      <c r="S33" s="5"/>
      <c r="T33" s="5"/>
      <c r="U33" s="5"/>
      <c r="V33" s="5"/>
      <c r="W33" s="5"/>
      <c r="X33" s="5"/>
    </row>
    <row r="34" spans="1:24" ht="21.95" customHeight="1">
      <c r="A34" s="4"/>
      <c r="B34" s="4"/>
      <c r="C34" s="4"/>
      <c r="D34" s="81"/>
      <c r="E34" s="81"/>
      <c r="F34" s="81"/>
      <c r="G34" s="4"/>
      <c r="H34" s="4"/>
      <c r="I34" s="5"/>
      <c r="J34" s="5"/>
      <c r="K34" s="5"/>
      <c r="L34" s="5"/>
      <c r="M34" s="7"/>
      <c r="N34" s="7"/>
      <c r="O34" s="7"/>
      <c r="P34" s="7"/>
      <c r="Q34" s="7"/>
      <c r="R34" s="5"/>
      <c r="S34" s="5"/>
      <c r="T34" s="5"/>
      <c r="U34" s="5"/>
      <c r="V34" s="5"/>
      <c r="W34" s="5"/>
      <c r="X34" s="5"/>
    </row>
    <row r="35" spans="1:24" ht="21.95" customHeight="1">
      <c r="A35" s="4"/>
      <c r="B35" s="4"/>
      <c r="C35" s="4"/>
      <c r="D35" s="7"/>
      <c r="E35" s="7"/>
      <c r="F35" s="7"/>
      <c r="G35" s="4"/>
      <c r="H35" s="4"/>
      <c r="I35" s="5"/>
      <c r="J35" s="5"/>
      <c r="K35" s="5"/>
      <c r="L35" s="5"/>
      <c r="M35" s="7"/>
      <c r="N35" s="7"/>
      <c r="O35" s="7"/>
      <c r="P35" s="7"/>
      <c r="Q35" s="7"/>
      <c r="R35" s="5"/>
      <c r="S35" s="5"/>
      <c r="T35" s="5"/>
      <c r="U35" s="5"/>
      <c r="V35" s="5"/>
      <c r="W35" s="5"/>
      <c r="X35" s="5"/>
    </row>
    <row r="36" spans="1:24" ht="21.95" customHeight="1">
      <c r="A36" s="4"/>
      <c r="B36" s="4"/>
      <c r="C36" s="4"/>
      <c r="D36" s="7"/>
      <c r="E36" s="7"/>
      <c r="F36" s="7"/>
      <c r="G36" s="4"/>
      <c r="H36" s="4"/>
      <c r="I36" s="5"/>
      <c r="J36" s="5"/>
      <c r="K36" s="5"/>
      <c r="L36" s="5"/>
      <c r="M36" s="7"/>
      <c r="N36" s="7"/>
      <c r="O36" s="7"/>
      <c r="P36" s="7"/>
      <c r="Q36" s="7"/>
      <c r="R36" s="5"/>
      <c r="S36" s="5"/>
      <c r="T36" s="5"/>
      <c r="U36" s="5"/>
      <c r="V36" s="5"/>
      <c r="W36" s="5"/>
      <c r="X36" s="5"/>
    </row>
    <row r="37" spans="1:24" ht="21.95" customHeight="1">
      <c r="A37" s="4"/>
      <c r="B37" s="4"/>
      <c r="C37" s="4"/>
      <c r="D37" s="7"/>
      <c r="E37" s="7"/>
      <c r="F37" s="7"/>
      <c r="G37" s="4"/>
      <c r="H37" s="4"/>
      <c r="I37" s="5"/>
      <c r="J37" s="5"/>
      <c r="K37" s="5"/>
      <c r="L37" s="5"/>
      <c r="M37" s="7"/>
      <c r="N37" s="7"/>
      <c r="O37" s="7"/>
      <c r="P37" s="7"/>
      <c r="Q37" s="7"/>
      <c r="R37" s="5"/>
      <c r="S37" s="5"/>
      <c r="T37" s="5"/>
      <c r="U37" s="5"/>
      <c r="V37" s="5"/>
      <c r="W37" s="5"/>
      <c r="X37" s="5"/>
    </row>
    <row r="38" spans="1:24" ht="21.95" customHeight="1">
      <c r="A38" s="4"/>
      <c r="B38" s="4"/>
      <c r="C38" s="4"/>
      <c r="D38" s="7"/>
      <c r="E38" s="7"/>
      <c r="F38" s="7"/>
      <c r="G38" s="4"/>
      <c r="H38" s="4"/>
      <c r="I38" s="5"/>
      <c r="J38" s="5"/>
      <c r="K38" s="5"/>
      <c r="L38" s="5"/>
      <c r="M38" s="7"/>
      <c r="N38" s="7"/>
      <c r="O38" s="7"/>
      <c r="P38" s="7"/>
      <c r="Q38" s="7"/>
      <c r="R38" s="5"/>
      <c r="S38" s="5"/>
      <c r="T38" s="5"/>
      <c r="U38" s="5"/>
      <c r="V38" s="5"/>
      <c r="W38" s="5"/>
      <c r="X38" s="5"/>
    </row>
    <row r="39" spans="1:24">
      <c r="A39" s="4"/>
      <c r="B39" s="4"/>
      <c r="C39" s="4"/>
      <c r="D39" s="7"/>
      <c r="E39" s="7"/>
      <c r="F39" s="7"/>
      <c r="G39" s="4"/>
      <c r="H39" s="4"/>
      <c r="I39" s="5"/>
      <c r="J39" s="5"/>
      <c r="K39" s="5"/>
      <c r="L39" s="5"/>
      <c r="M39" s="7"/>
      <c r="N39" s="7"/>
      <c r="O39" s="7"/>
      <c r="P39" s="7"/>
      <c r="Q39" s="7"/>
      <c r="R39" s="5"/>
      <c r="S39" s="5"/>
      <c r="T39" s="5"/>
      <c r="U39" s="5"/>
      <c r="V39" s="5"/>
      <c r="W39" s="5"/>
      <c r="X39" s="5"/>
    </row>
    <row r="40" spans="1:24">
      <c r="A40" s="4"/>
      <c r="B40" s="4"/>
      <c r="C40" s="4"/>
      <c r="D40" s="7"/>
      <c r="E40" s="7"/>
      <c r="F40" s="7"/>
      <c r="G40" s="4"/>
      <c r="H40" s="4"/>
      <c r="I40" s="5"/>
      <c r="J40" s="5"/>
      <c r="K40" s="5"/>
      <c r="L40" s="5"/>
      <c r="M40" s="7"/>
      <c r="N40" s="7"/>
      <c r="O40" s="7"/>
      <c r="P40" s="7"/>
      <c r="Q40" s="7"/>
      <c r="R40" s="5"/>
      <c r="S40" s="5"/>
      <c r="T40" s="5"/>
      <c r="U40" s="5"/>
      <c r="V40" s="5"/>
      <c r="W40" s="5"/>
      <c r="X40" s="5"/>
    </row>
    <row r="41" spans="1:24">
      <c r="A41" s="4"/>
      <c r="B41" s="4"/>
      <c r="C41" s="4"/>
      <c r="D41" s="7"/>
      <c r="E41" s="7"/>
      <c r="F41" s="7"/>
      <c r="G41" s="4"/>
      <c r="H41" s="4"/>
      <c r="I41" s="5"/>
      <c r="J41" s="5"/>
      <c r="K41" s="5"/>
      <c r="L41" s="5"/>
      <c r="M41" s="7"/>
      <c r="N41" s="7"/>
      <c r="O41" s="7"/>
      <c r="P41" s="7"/>
      <c r="Q41" s="7"/>
      <c r="R41" s="5"/>
      <c r="S41" s="5"/>
      <c r="T41" s="5"/>
      <c r="U41" s="5"/>
      <c r="V41" s="5"/>
      <c r="W41" s="5"/>
      <c r="X41" s="5"/>
    </row>
    <row r="42" spans="1:24">
      <c r="A42" s="4"/>
      <c r="B42" s="4"/>
      <c r="C42" s="4"/>
      <c r="D42" s="7"/>
      <c r="E42" s="7"/>
      <c r="F42" s="7"/>
      <c r="G42" s="4"/>
      <c r="H42" s="4"/>
      <c r="I42" s="5"/>
      <c r="J42" s="5"/>
      <c r="K42" s="5"/>
      <c r="L42" s="5"/>
      <c r="M42" s="7"/>
      <c r="N42" s="7"/>
      <c r="O42" s="7"/>
      <c r="P42" s="7"/>
      <c r="Q42" s="7"/>
      <c r="R42" s="5"/>
      <c r="S42" s="5"/>
      <c r="T42" s="5"/>
      <c r="U42" s="5"/>
      <c r="V42" s="5"/>
      <c r="W42" s="5"/>
      <c r="X42" s="5"/>
    </row>
    <row r="43" spans="1:24">
      <c r="A43" s="4"/>
      <c r="B43" s="4"/>
      <c r="C43" s="4"/>
      <c r="D43" s="7"/>
      <c r="E43" s="7"/>
      <c r="F43" s="7"/>
      <c r="G43" s="4"/>
      <c r="H43" s="4"/>
      <c r="I43" s="5"/>
      <c r="J43" s="5"/>
      <c r="K43" s="5"/>
      <c r="L43" s="5"/>
      <c r="M43" s="7"/>
      <c r="N43" s="7"/>
      <c r="O43" s="7"/>
      <c r="P43" s="7"/>
      <c r="Q43" s="7"/>
      <c r="R43" s="5"/>
      <c r="S43" s="5"/>
      <c r="T43" s="5"/>
      <c r="U43" s="5"/>
      <c r="V43" s="5"/>
      <c r="W43" s="5"/>
      <c r="X43" s="5"/>
    </row>
    <row r="44" spans="1:24">
      <c r="A44" s="4"/>
      <c r="B44" s="4"/>
      <c r="C44" s="4"/>
      <c r="D44" s="7"/>
      <c r="E44" s="7"/>
      <c r="F44" s="7"/>
      <c r="G44" s="4"/>
      <c r="H44" s="4"/>
      <c r="I44" s="5"/>
      <c r="J44" s="5"/>
      <c r="K44" s="5"/>
      <c r="L44" s="5"/>
      <c r="M44" s="7"/>
      <c r="N44" s="7"/>
      <c r="O44" s="7"/>
      <c r="P44" s="7"/>
      <c r="Q44" s="7"/>
      <c r="R44" s="5"/>
      <c r="S44" s="5"/>
      <c r="T44" s="5"/>
      <c r="U44" s="5"/>
      <c r="V44" s="5"/>
      <c r="W44" s="5"/>
      <c r="X44" s="5"/>
    </row>
    <row r="45" spans="1:24">
      <c r="A45" s="4"/>
      <c r="B45" s="4"/>
      <c r="C45" s="4"/>
      <c r="D45" s="7"/>
      <c r="E45" s="7"/>
      <c r="F45" s="7"/>
      <c r="G45" s="4"/>
      <c r="H45" s="4"/>
      <c r="I45" s="5"/>
      <c r="J45" s="5"/>
      <c r="K45" s="5"/>
      <c r="L45" s="5"/>
      <c r="M45" s="7"/>
      <c r="N45" s="7"/>
      <c r="O45" s="7"/>
      <c r="P45" s="7"/>
      <c r="Q45" s="7"/>
      <c r="R45" s="5"/>
      <c r="S45" s="5"/>
      <c r="T45" s="5"/>
      <c r="U45" s="5"/>
      <c r="V45" s="5"/>
      <c r="W45" s="5"/>
      <c r="X45" s="5"/>
    </row>
    <row r="46" spans="1:24">
      <c r="A46" s="4"/>
      <c r="B46" s="4"/>
      <c r="C46" s="4"/>
      <c r="D46" s="7"/>
      <c r="E46" s="7"/>
      <c r="F46" s="7"/>
      <c r="G46" s="4"/>
      <c r="H46" s="4"/>
      <c r="I46" s="5"/>
      <c r="J46" s="5"/>
      <c r="K46" s="5"/>
      <c r="L46" s="5"/>
      <c r="M46" s="7"/>
      <c r="N46" s="7"/>
      <c r="O46" s="7"/>
      <c r="P46" s="7"/>
      <c r="Q46" s="7"/>
      <c r="R46" s="5"/>
      <c r="S46" s="5"/>
      <c r="T46" s="5"/>
      <c r="U46" s="5"/>
      <c r="V46" s="5"/>
      <c r="W46" s="5"/>
      <c r="X46" s="5"/>
    </row>
    <row r="47" spans="1:24">
      <c r="A47" s="4"/>
      <c r="B47" s="4"/>
      <c r="C47" s="4"/>
      <c r="D47" s="7"/>
      <c r="E47" s="7"/>
      <c r="F47" s="7"/>
      <c r="G47" s="4"/>
      <c r="H47" s="4"/>
      <c r="I47" s="5"/>
      <c r="J47" s="5"/>
      <c r="K47" s="5"/>
      <c r="L47" s="5"/>
      <c r="M47" s="7"/>
      <c r="N47" s="7"/>
      <c r="O47" s="7"/>
      <c r="P47" s="7"/>
      <c r="Q47" s="7"/>
      <c r="R47" s="5"/>
      <c r="S47" s="5"/>
      <c r="T47" s="5"/>
      <c r="U47" s="5"/>
      <c r="V47" s="5"/>
      <c r="W47" s="5"/>
      <c r="X47" s="5"/>
    </row>
    <row r="48" spans="1:24">
      <c r="A48" s="4"/>
      <c r="B48" s="4"/>
      <c r="C48" s="4"/>
      <c r="D48" s="7"/>
      <c r="E48" s="7"/>
      <c r="F48" s="7"/>
      <c r="G48" s="4"/>
      <c r="H48" s="4"/>
      <c r="I48" s="5"/>
      <c r="J48" s="5"/>
      <c r="K48" s="5"/>
      <c r="L48" s="5"/>
      <c r="M48" s="7"/>
      <c r="N48" s="7"/>
      <c r="O48" s="7"/>
      <c r="P48" s="7"/>
      <c r="Q48" s="7"/>
      <c r="R48" s="5"/>
      <c r="S48" s="5"/>
      <c r="T48" s="5"/>
      <c r="U48" s="5"/>
      <c r="V48" s="5"/>
      <c r="W48" s="5"/>
      <c r="X48" s="5"/>
    </row>
    <row r="49" spans="1:24">
      <c r="A49" s="4"/>
      <c r="B49" s="4"/>
      <c r="C49" s="4"/>
      <c r="D49" s="7"/>
      <c r="E49" s="7"/>
      <c r="F49" s="7"/>
      <c r="G49" s="4"/>
      <c r="H49" s="4"/>
      <c r="I49" s="5"/>
      <c r="J49" s="5"/>
      <c r="K49" s="5"/>
      <c r="L49" s="5"/>
      <c r="M49" s="7"/>
      <c r="N49" s="7"/>
      <c r="O49" s="7"/>
      <c r="P49" s="7"/>
      <c r="Q49" s="7"/>
      <c r="R49" s="5"/>
      <c r="S49" s="5"/>
      <c r="T49" s="5"/>
      <c r="U49" s="5"/>
      <c r="V49" s="5"/>
      <c r="W49" s="5"/>
      <c r="X49" s="5"/>
    </row>
    <row r="50" spans="1:24">
      <c r="A50" s="4"/>
      <c r="B50" s="4"/>
      <c r="C50" s="4"/>
      <c r="D50" s="7"/>
      <c r="E50" s="7"/>
      <c r="F50" s="7"/>
      <c r="G50" s="4"/>
      <c r="H50" s="4"/>
      <c r="I50" s="5"/>
      <c r="J50" s="5"/>
      <c r="K50" s="5"/>
      <c r="L50" s="5"/>
      <c r="M50" s="7"/>
      <c r="N50" s="7"/>
      <c r="O50" s="7"/>
      <c r="P50" s="7"/>
      <c r="Q50" s="7"/>
      <c r="R50" s="5"/>
      <c r="S50" s="5"/>
      <c r="T50" s="5"/>
      <c r="U50" s="5"/>
      <c r="V50" s="5"/>
      <c r="W50" s="5"/>
      <c r="X50" s="5"/>
    </row>
    <row r="51" spans="1:24">
      <c r="A51" s="4"/>
      <c r="B51" s="4"/>
      <c r="C51" s="4"/>
      <c r="D51" s="7"/>
      <c r="E51" s="7"/>
      <c r="F51" s="7"/>
      <c r="G51" s="4"/>
      <c r="H51" s="4"/>
      <c r="I51" s="5"/>
      <c r="J51" s="5"/>
      <c r="K51" s="5"/>
      <c r="L51" s="5"/>
      <c r="M51" s="7"/>
      <c r="N51" s="7"/>
      <c r="O51" s="7"/>
      <c r="P51" s="7"/>
      <c r="Q51" s="7"/>
      <c r="R51" s="5"/>
      <c r="S51" s="5"/>
      <c r="T51" s="5"/>
      <c r="U51" s="5"/>
      <c r="V51" s="5"/>
      <c r="W51" s="5"/>
      <c r="X51" s="5"/>
    </row>
    <row r="52" spans="1:24">
      <c r="A52" s="4"/>
      <c r="B52" s="4"/>
      <c r="C52" s="4"/>
      <c r="D52" s="7"/>
      <c r="E52" s="7"/>
      <c r="F52" s="7"/>
      <c r="G52" s="4"/>
      <c r="H52" s="4"/>
      <c r="I52" s="5"/>
      <c r="J52" s="5"/>
      <c r="K52" s="5"/>
      <c r="L52" s="5"/>
      <c r="M52" s="7"/>
      <c r="N52" s="7"/>
      <c r="O52" s="7"/>
      <c r="P52" s="7"/>
      <c r="Q52" s="7"/>
      <c r="R52" s="5"/>
      <c r="S52" s="5"/>
      <c r="T52" s="5"/>
      <c r="U52" s="5"/>
      <c r="V52" s="5"/>
      <c r="W52" s="5"/>
      <c r="X52" s="5"/>
    </row>
    <row r="53" spans="1:24">
      <c r="A53" s="4"/>
      <c r="B53" s="4"/>
      <c r="C53" s="4"/>
      <c r="D53" s="7"/>
      <c r="E53" s="7"/>
      <c r="F53" s="7"/>
      <c r="G53" s="4"/>
      <c r="H53" s="4"/>
      <c r="I53" s="5"/>
      <c r="J53" s="5"/>
      <c r="K53" s="5"/>
      <c r="L53" s="5"/>
      <c r="M53" s="7"/>
      <c r="N53" s="7"/>
      <c r="O53" s="7"/>
      <c r="P53" s="7"/>
      <c r="Q53" s="7"/>
      <c r="R53" s="5"/>
      <c r="S53" s="5"/>
      <c r="T53" s="5"/>
      <c r="U53" s="5"/>
      <c r="V53" s="5"/>
      <c r="W53" s="5"/>
      <c r="X53" s="5"/>
    </row>
    <row r="54" spans="1:24">
      <c r="A54" s="4"/>
      <c r="B54" s="4"/>
      <c r="C54" s="4"/>
      <c r="D54" s="7"/>
      <c r="E54" s="7"/>
      <c r="F54" s="7"/>
      <c r="G54" s="4"/>
      <c r="H54" s="4"/>
      <c r="I54" s="5"/>
      <c r="J54" s="5"/>
      <c r="K54" s="5"/>
      <c r="L54" s="5"/>
      <c r="M54" s="7"/>
      <c r="N54" s="7"/>
      <c r="O54" s="7"/>
      <c r="P54" s="7"/>
      <c r="Q54" s="7"/>
      <c r="R54" s="5"/>
      <c r="S54" s="5"/>
      <c r="T54" s="5"/>
      <c r="U54" s="5"/>
      <c r="V54" s="5"/>
      <c r="W54" s="5"/>
      <c r="X54" s="5"/>
    </row>
    <row r="55" spans="1:24">
      <c r="A55" s="4"/>
      <c r="B55" s="4"/>
      <c r="C55" s="4"/>
      <c r="D55" s="7"/>
      <c r="E55" s="7"/>
      <c r="F55" s="7"/>
      <c r="G55" s="4"/>
      <c r="H55" s="4"/>
      <c r="I55" s="5"/>
      <c r="J55" s="5"/>
      <c r="K55" s="5"/>
      <c r="L55" s="5"/>
      <c r="M55" s="7"/>
      <c r="N55" s="7"/>
      <c r="O55" s="7"/>
      <c r="P55" s="7"/>
      <c r="Q55" s="7"/>
      <c r="R55" s="5"/>
      <c r="S55" s="5"/>
      <c r="T55" s="5"/>
      <c r="U55" s="5"/>
      <c r="V55" s="5"/>
      <c r="W55" s="5"/>
      <c r="X55" s="5"/>
    </row>
    <row r="56" spans="1:24">
      <c r="A56" s="4"/>
      <c r="B56" s="4"/>
      <c r="C56" s="4"/>
      <c r="D56" s="7"/>
      <c r="E56" s="7"/>
      <c r="F56" s="7"/>
      <c r="G56" s="4"/>
      <c r="H56" s="4"/>
      <c r="I56" s="5"/>
      <c r="J56" s="5"/>
      <c r="K56" s="5"/>
      <c r="L56" s="5"/>
      <c r="M56" s="7"/>
      <c r="N56" s="7"/>
      <c r="O56" s="7"/>
      <c r="P56" s="7"/>
      <c r="Q56" s="7"/>
      <c r="R56" s="5"/>
      <c r="S56" s="5"/>
      <c r="T56" s="5"/>
      <c r="U56" s="5"/>
      <c r="V56" s="5"/>
      <c r="W56" s="5"/>
      <c r="X56" s="5"/>
    </row>
    <row r="57" spans="1:24">
      <c r="A57" s="4"/>
      <c r="B57" s="4"/>
      <c r="C57" s="4"/>
      <c r="D57" s="7"/>
      <c r="E57" s="7"/>
      <c r="F57" s="7"/>
      <c r="G57" s="4"/>
      <c r="H57" s="4"/>
      <c r="I57" s="5"/>
      <c r="J57" s="5"/>
      <c r="K57" s="5"/>
      <c r="L57" s="5"/>
      <c r="M57" s="7"/>
      <c r="N57" s="7"/>
      <c r="O57" s="7"/>
      <c r="P57" s="7"/>
      <c r="Q57" s="7"/>
      <c r="R57" s="5"/>
      <c r="S57" s="5"/>
      <c r="T57" s="5"/>
      <c r="U57" s="5"/>
      <c r="V57" s="5"/>
      <c r="W57" s="5"/>
      <c r="X57" s="5"/>
    </row>
    <row r="58" spans="1:24">
      <c r="A58" s="4"/>
      <c r="B58" s="4"/>
      <c r="C58" s="4"/>
      <c r="D58" s="7"/>
      <c r="E58" s="7"/>
      <c r="F58" s="7"/>
      <c r="G58" s="4"/>
      <c r="H58" s="4"/>
      <c r="I58" s="5"/>
      <c r="J58" s="5"/>
      <c r="K58" s="5"/>
      <c r="L58" s="5"/>
      <c r="M58" s="7"/>
      <c r="N58" s="7"/>
      <c r="O58" s="7"/>
      <c r="P58" s="7"/>
      <c r="Q58" s="7"/>
      <c r="R58" s="5"/>
      <c r="S58" s="5"/>
      <c r="T58" s="5"/>
      <c r="U58" s="5"/>
      <c r="V58" s="5"/>
      <c r="W58" s="5"/>
      <c r="X58" s="5"/>
    </row>
  </sheetData>
  <autoFilter ref="A2:X7" xr:uid="{B495C380-3747-43B0-B226-858EE8B124DE}"/>
  <mergeCells count="1">
    <mergeCell ref="Y3:Y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7F140-B8C2-435D-A99C-8DC03375BB7E}">
  <sheetPr>
    <pageSetUpPr fitToPage="1"/>
  </sheetPr>
  <dimension ref="A1:Y87"/>
  <sheetViews>
    <sheetView zoomScale="80" zoomScaleNormal="80" workbookViewId="0">
      <pane ySplit="2" topLeftCell="A19" activePane="bottomLeft" state="frozen"/>
      <selection activeCell="J30" sqref="J30"/>
      <selection pane="bottomLeft" activeCell="E16" sqref="E16"/>
    </sheetView>
  </sheetViews>
  <sheetFormatPr defaultRowHeight="16.5" outlineLevelCol="1"/>
  <cols>
    <col min="1" max="1" width="16.375" style="3" customWidth="1"/>
    <col min="2" max="2" width="15.125" style="3" bestFit="1" customWidth="1"/>
    <col min="3" max="3" width="9.125" style="3" customWidth="1"/>
    <col min="4" max="4" width="21.25" style="2" customWidth="1"/>
    <col min="5" max="6" width="14.75" style="2" customWidth="1"/>
    <col min="7" max="7" width="8.75" style="3" customWidth="1"/>
    <col min="8" max="8" width="16.375" style="3" customWidth="1"/>
    <col min="9" max="9" width="15.75" style="10" customWidth="1"/>
    <col min="10" max="11" width="15.75" style="10" hidden="1" customWidth="1" outlineLevel="1"/>
    <col min="12" max="12" width="14.25" style="10" customWidth="1" collapsed="1"/>
    <col min="13" max="13" width="14.75" style="2" customWidth="1"/>
    <col min="14" max="15" width="15.75" style="2" hidden="1" customWidth="1" outlineLevel="1"/>
    <col min="16" max="16" width="15.75" style="2" customWidth="1" collapsed="1"/>
    <col min="17" max="17" width="17" style="2" customWidth="1"/>
    <col min="18" max="18" width="12.5" style="10" customWidth="1"/>
    <col min="19" max="19" width="15.75" style="10" customWidth="1"/>
    <col min="20" max="20" width="15.75" style="388" customWidth="1"/>
    <col min="21" max="21" width="15.75" style="10" customWidth="1"/>
    <col min="22" max="22" width="18.75" style="10" customWidth="1"/>
    <col min="23" max="23" width="15.75" style="10" customWidth="1"/>
    <col min="24" max="24" width="30.875" style="10" customWidth="1"/>
    <col min="25" max="25" width="15.625" style="10" customWidth="1"/>
    <col min="26" max="26" width="9" style="10"/>
    <col min="27" max="27" width="10.625" style="10" bestFit="1" customWidth="1"/>
    <col min="28" max="16384" width="9" style="10"/>
  </cols>
  <sheetData>
    <row r="1" spans="1:25" ht="15.75" customHeight="1">
      <c r="A1" s="4"/>
      <c r="B1" s="4"/>
      <c r="C1" s="4"/>
      <c r="D1" s="7"/>
      <c r="E1" s="7"/>
      <c r="F1" s="7"/>
      <c r="G1" s="4"/>
      <c r="H1" s="4"/>
      <c r="I1" s="5"/>
      <c r="J1" s="5"/>
      <c r="K1" s="5"/>
      <c r="L1" s="5"/>
      <c r="M1" s="7"/>
      <c r="N1" s="7"/>
      <c r="O1" s="7"/>
      <c r="P1" s="7"/>
      <c r="Q1" s="7"/>
      <c r="R1" s="6"/>
      <c r="S1" s="6"/>
      <c r="T1" s="6"/>
      <c r="U1" s="5"/>
      <c r="V1" s="5"/>
      <c r="W1" s="5"/>
      <c r="X1" s="5"/>
      <c r="Y1" s="5"/>
    </row>
    <row r="2" spans="1:25" ht="30.75" customHeight="1">
      <c r="A2" s="78" t="s">
        <v>469</v>
      </c>
      <c r="B2" s="78" t="s">
        <v>388</v>
      </c>
      <c r="C2" s="78" t="s">
        <v>389</v>
      </c>
      <c r="D2" s="79" t="s">
        <v>390</v>
      </c>
      <c r="E2" s="79" t="s">
        <v>452</v>
      </c>
      <c r="F2" s="79" t="s">
        <v>742</v>
      </c>
      <c r="G2" s="78" t="s">
        <v>14</v>
      </c>
      <c r="H2" s="78" t="s">
        <v>13</v>
      </c>
      <c r="I2" s="78" t="s">
        <v>0</v>
      </c>
      <c r="J2" s="78" t="s">
        <v>249</v>
      </c>
      <c r="K2" s="78" t="s">
        <v>260</v>
      </c>
      <c r="L2" s="79" t="s">
        <v>1</v>
      </c>
      <c r="M2" s="79" t="s">
        <v>2</v>
      </c>
      <c r="N2" s="79" t="s">
        <v>80</v>
      </c>
      <c r="O2" s="79" t="s">
        <v>81</v>
      </c>
      <c r="P2" s="8" t="s">
        <v>9</v>
      </c>
      <c r="Q2" s="67" t="s">
        <v>78</v>
      </c>
      <c r="R2" s="68" t="s">
        <v>385</v>
      </c>
      <c r="S2" s="69" t="s">
        <v>77</v>
      </c>
      <c r="T2" s="69" t="s">
        <v>743</v>
      </c>
      <c r="U2" s="70" t="s">
        <v>7</v>
      </c>
      <c r="V2" s="9" t="s">
        <v>8</v>
      </c>
      <c r="W2" s="78" t="s">
        <v>3</v>
      </c>
      <c r="X2" s="78" t="s">
        <v>10</v>
      </c>
      <c r="Y2" s="80" t="s">
        <v>82</v>
      </c>
    </row>
    <row r="3" spans="1:25" ht="21.95" customHeight="1">
      <c r="A3" s="382">
        <v>46146</v>
      </c>
      <c r="B3" s="666"/>
      <c r="C3" s="666"/>
      <c r="D3" s="309" t="s">
        <v>264</v>
      </c>
      <c r="E3" s="309" t="s">
        <v>454</v>
      </c>
      <c r="F3" s="1735" t="s">
        <v>17</v>
      </c>
      <c r="G3" s="382" t="s">
        <v>6</v>
      </c>
      <c r="H3" s="382" t="s">
        <v>89</v>
      </c>
      <c r="I3" s="382" t="s">
        <v>206</v>
      </c>
      <c r="J3" s="382" t="s">
        <v>265</v>
      </c>
      <c r="K3" s="382" t="s">
        <v>278</v>
      </c>
      <c r="L3" s="380" t="s">
        <v>186</v>
      </c>
      <c r="M3" s="377" t="s">
        <v>191</v>
      </c>
      <c r="N3" s="375">
        <v>21020</v>
      </c>
      <c r="O3" s="375">
        <v>24620</v>
      </c>
      <c r="P3" s="157">
        <f t="shared" ref="P3:P4" si="0">O3-N3</f>
        <v>3600</v>
      </c>
      <c r="Q3" s="377">
        <v>4410</v>
      </c>
      <c r="R3" s="665">
        <f t="shared" ref="R3:R12" si="1">P3-Q3</f>
        <v>-810</v>
      </c>
      <c r="S3" s="377">
        <f>P3</f>
        <v>3600</v>
      </c>
      <c r="T3" s="1745">
        <v>50</v>
      </c>
      <c r="U3" s="1736">
        <v>50000</v>
      </c>
      <c r="V3" s="376">
        <v>-2500000</v>
      </c>
      <c r="W3" s="378" t="s">
        <v>5</v>
      </c>
      <c r="X3" s="383"/>
      <c r="Y3" s="82"/>
    </row>
    <row r="4" spans="1:25" ht="21.95" customHeight="1">
      <c r="A4" s="382">
        <v>46146</v>
      </c>
      <c r="B4" s="666">
        <v>46147</v>
      </c>
      <c r="C4" s="666"/>
      <c r="D4" s="309" t="s">
        <v>264</v>
      </c>
      <c r="E4" s="309" t="s">
        <v>454</v>
      </c>
      <c r="F4" s="1735" t="s">
        <v>17</v>
      </c>
      <c r="G4" s="382" t="s">
        <v>6</v>
      </c>
      <c r="H4" s="382" t="s">
        <v>89</v>
      </c>
      <c r="I4" s="382" t="s">
        <v>206</v>
      </c>
      <c r="J4" s="382" t="s">
        <v>265</v>
      </c>
      <c r="K4" s="382" t="s">
        <v>278</v>
      </c>
      <c r="L4" s="380" t="s">
        <v>186</v>
      </c>
      <c r="M4" s="377" t="s">
        <v>191</v>
      </c>
      <c r="N4" s="375">
        <v>20100</v>
      </c>
      <c r="O4" s="375">
        <v>25540</v>
      </c>
      <c r="P4" s="157">
        <f t="shared" si="0"/>
        <v>5440</v>
      </c>
      <c r="Q4" s="377">
        <v>4690</v>
      </c>
      <c r="R4" s="665">
        <f t="shared" si="1"/>
        <v>750</v>
      </c>
      <c r="S4" s="377">
        <v>4690</v>
      </c>
      <c r="T4" s="1745">
        <v>50</v>
      </c>
      <c r="U4" s="1736">
        <v>50000</v>
      </c>
      <c r="V4" s="376">
        <v>-2500000</v>
      </c>
      <c r="W4" s="378" t="s">
        <v>5</v>
      </c>
      <c r="X4" s="383"/>
      <c r="Y4" s="82"/>
    </row>
    <row r="5" spans="1:25" s="388" customFormat="1" ht="21.95" customHeight="1">
      <c r="A5" s="666">
        <v>46148</v>
      </c>
      <c r="B5" s="666">
        <v>46148</v>
      </c>
      <c r="C5" s="666" t="s">
        <v>405</v>
      </c>
      <c r="D5" s="309" t="s">
        <v>264</v>
      </c>
      <c r="E5" s="309" t="s">
        <v>454</v>
      </c>
      <c r="F5" s="1735" t="s">
        <v>17</v>
      </c>
      <c r="G5" s="666" t="s">
        <v>6</v>
      </c>
      <c r="H5" s="666" t="s">
        <v>239</v>
      </c>
      <c r="I5" s="666" t="s">
        <v>235</v>
      </c>
      <c r="J5" s="666" t="s">
        <v>289</v>
      </c>
      <c r="K5" s="666" t="s">
        <v>290</v>
      </c>
      <c r="L5" s="481" t="s">
        <v>276</v>
      </c>
      <c r="M5" s="665" t="s">
        <v>277</v>
      </c>
      <c r="N5" s="628">
        <v>20140</v>
      </c>
      <c r="O5" s="628">
        <v>24280</v>
      </c>
      <c r="P5" s="157">
        <v>4140</v>
      </c>
      <c r="Q5" s="1828">
        <v>4210</v>
      </c>
      <c r="R5" s="665">
        <f t="shared" si="1"/>
        <v>-70</v>
      </c>
      <c r="S5" s="665">
        <v>4210</v>
      </c>
      <c r="T5" s="1745">
        <v>50</v>
      </c>
      <c r="U5" s="1736">
        <v>50000</v>
      </c>
      <c r="V5" s="641">
        <v>-2500000</v>
      </c>
      <c r="W5" s="644" t="s">
        <v>5</v>
      </c>
      <c r="X5" s="510"/>
      <c r="Y5" s="82"/>
    </row>
    <row r="6" spans="1:25" s="388" customFormat="1" ht="21.95" customHeight="1">
      <c r="A6" s="654">
        <v>46149</v>
      </c>
      <c r="B6" s="654">
        <v>46150</v>
      </c>
      <c r="C6" s="654" t="s">
        <v>399</v>
      </c>
      <c r="D6" s="654" t="s">
        <v>264</v>
      </c>
      <c r="E6" s="654" t="s">
        <v>453</v>
      </c>
      <c r="F6" s="1735" t="s">
        <v>17</v>
      </c>
      <c r="G6" s="654" t="s">
        <v>440</v>
      </c>
      <c r="H6" s="657" t="s">
        <v>239</v>
      </c>
      <c r="I6" s="657" t="s">
        <v>235</v>
      </c>
      <c r="J6" s="657" t="s">
        <v>289</v>
      </c>
      <c r="K6" s="657" t="s">
        <v>290</v>
      </c>
      <c r="L6" s="633" t="s">
        <v>276</v>
      </c>
      <c r="M6" s="655" t="s">
        <v>277</v>
      </c>
      <c r="N6" s="627">
        <v>20100</v>
      </c>
      <c r="O6" s="627">
        <v>24650</v>
      </c>
      <c r="P6" s="461">
        <v>4550</v>
      </c>
      <c r="Q6" s="655">
        <v>4550</v>
      </c>
      <c r="R6" s="665">
        <f t="shared" si="1"/>
        <v>0</v>
      </c>
      <c r="S6" s="655">
        <v>4550</v>
      </c>
      <c r="T6" s="1744">
        <v>50</v>
      </c>
      <c r="U6" s="656">
        <v>50000</v>
      </c>
      <c r="V6" s="1736">
        <v>-2500000</v>
      </c>
      <c r="W6" s="635" t="s">
        <v>5</v>
      </c>
      <c r="X6" s="725" t="s">
        <v>407</v>
      </c>
      <c r="Y6" s="620"/>
    </row>
    <row r="7" spans="1:25" s="388" customFormat="1" ht="21.95" customHeight="1">
      <c r="A7" s="230">
        <v>46154</v>
      </c>
      <c r="B7" s="230">
        <v>46154</v>
      </c>
      <c r="C7" s="230" t="s">
        <v>399</v>
      </c>
      <c r="D7" s="230" t="s">
        <v>314</v>
      </c>
      <c r="E7" s="230" t="s">
        <v>210</v>
      </c>
      <c r="F7" s="230"/>
      <c r="G7" s="230" t="s">
        <v>440</v>
      </c>
      <c r="H7" s="230" t="s">
        <v>239</v>
      </c>
      <c r="I7" s="230" t="s">
        <v>235</v>
      </c>
      <c r="J7" s="230" t="s">
        <v>257</v>
      </c>
      <c r="K7" s="230" t="s">
        <v>402</v>
      </c>
      <c r="L7" s="433" t="s">
        <v>276</v>
      </c>
      <c r="M7" s="89" t="s">
        <v>755</v>
      </c>
      <c r="N7" s="90">
        <v>20120</v>
      </c>
      <c r="O7" s="90">
        <v>28340</v>
      </c>
      <c r="P7" s="91">
        <v>8220</v>
      </c>
      <c r="Q7" s="89">
        <v>8220</v>
      </c>
      <c r="R7" s="665">
        <f t="shared" si="1"/>
        <v>0</v>
      </c>
      <c r="S7" s="89">
        <v>8220</v>
      </c>
      <c r="T7" s="89">
        <v>50</v>
      </c>
      <c r="U7" s="92">
        <v>30000</v>
      </c>
      <c r="V7" s="92">
        <f t="shared" ref="V7:V12" si="2">-U7*T7</f>
        <v>-1500000</v>
      </c>
      <c r="W7" s="645" t="s">
        <v>5</v>
      </c>
      <c r="X7" s="726" t="s">
        <v>449</v>
      </c>
      <c r="Y7" s="620"/>
    </row>
    <row r="8" spans="1:25" s="388" customFormat="1" ht="21.95" customHeight="1">
      <c r="A8" s="230">
        <v>46154</v>
      </c>
      <c r="B8" s="230">
        <v>46154</v>
      </c>
      <c r="C8" s="230" t="s">
        <v>405</v>
      </c>
      <c r="D8" s="230" t="s">
        <v>314</v>
      </c>
      <c r="E8" s="230" t="s">
        <v>455</v>
      </c>
      <c r="F8" s="230"/>
      <c r="G8" s="230" t="s">
        <v>440</v>
      </c>
      <c r="H8" s="230" t="s">
        <v>263</v>
      </c>
      <c r="I8" s="230" t="s">
        <v>172</v>
      </c>
      <c r="J8" s="230" t="s">
        <v>291</v>
      </c>
      <c r="K8" s="230" t="s">
        <v>292</v>
      </c>
      <c r="L8" s="433" t="s">
        <v>276</v>
      </c>
      <c r="M8" s="89" t="s">
        <v>448</v>
      </c>
      <c r="N8" s="90">
        <v>14080</v>
      </c>
      <c r="O8" s="90">
        <v>19510</v>
      </c>
      <c r="P8" s="91">
        <v>5430</v>
      </c>
      <c r="Q8" s="89">
        <v>5430</v>
      </c>
      <c r="R8" s="665">
        <f t="shared" si="1"/>
        <v>0</v>
      </c>
      <c r="S8" s="89">
        <v>5430</v>
      </c>
      <c r="T8" s="89">
        <v>35</v>
      </c>
      <c r="U8" s="92">
        <v>30000</v>
      </c>
      <c r="V8" s="92">
        <f t="shared" si="2"/>
        <v>-1050000</v>
      </c>
      <c r="W8" s="645" t="s">
        <v>5</v>
      </c>
      <c r="X8" s="726" t="s">
        <v>450</v>
      </c>
      <c r="Y8" s="620"/>
    </row>
    <row r="9" spans="1:25" s="388" customFormat="1" ht="21.95" customHeight="1">
      <c r="A9" s="230">
        <v>46155</v>
      </c>
      <c r="B9" s="230">
        <v>46155</v>
      </c>
      <c r="C9" s="230" t="s">
        <v>399</v>
      </c>
      <c r="D9" s="230" t="s">
        <v>314</v>
      </c>
      <c r="E9" s="230" t="s">
        <v>455</v>
      </c>
      <c r="F9" s="230"/>
      <c r="G9" s="230" t="s">
        <v>440</v>
      </c>
      <c r="H9" s="230" t="s">
        <v>239</v>
      </c>
      <c r="I9" s="230" t="s">
        <v>235</v>
      </c>
      <c r="J9" s="230" t="s">
        <v>257</v>
      </c>
      <c r="K9" s="230" t="s">
        <v>402</v>
      </c>
      <c r="L9" s="433" t="s">
        <v>276</v>
      </c>
      <c r="M9" s="89" t="s">
        <v>448</v>
      </c>
      <c r="N9" s="90">
        <v>20160</v>
      </c>
      <c r="O9" s="90">
        <v>27600</v>
      </c>
      <c r="P9" s="91">
        <v>7440</v>
      </c>
      <c r="Q9" s="89">
        <v>7440</v>
      </c>
      <c r="R9" s="665">
        <f t="shared" si="1"/>
        <v>0</v>
      </c>
      <c r="S9" s="89">
        <v>7440</v>
      </c>
      <c r="T9" s="89">
        <v>50</v>
      </c>
      <c r="U9" s="92">
        <v>30000</v>
      </c>
      <c r="V9" s="92">
        <f t="shared" si="2"/>
        <v>-1500000</v>
      </c>
      <c r="W9" s="645" t="s">
        <v>5</v>
      </c>
      <c r="X9" s="726"/>
      <c r="Y9" s="620"/>
    </row>
    <row r="10" spans="1:25" s="388" customFormat="1" ht="21.95" customHeight="1">
      <c r="A10" s="230">
        <v>46155</v>
      </c>
      <c r="B10" s="230">
        <v>46155</v>
      </c>
      <c r="C10" s="230" t="s">
        <v>405</v>
      </c>
      <c r="D10" s="230" t="s">
        <v>314</v>
      </c>
      <c r="E10" s="230" t="s">
        <v>455</v>
      </c>
      <c r="F10" s="230"/>
      <c r="G10" s="230" t="s">
        <v>440</v>
      </c>
      <c r="H10" s="230" t="s">
        <v>263</v>
      </c>
      <c r="I10" s="230" t="s">
        <v>53</v>
      </c>
      <c r="J10" s="230" t="s">
        <v>291</v>
      </c>
      <c r="K10" s="230" t="s">
        <v>292</v>
      </c>
      <c r="L10" s="433" t="s">
        <v>276</v>
      </c>
      <c r="M10" s="89" t="s">
        <v>448</v>
      </c>
      <c r="N10" s="90">
        <v>14080</v>
      </c>
      <c r="O10" s="90">
        <v>18400</v>
      </c>
      <c r="P10" s="91">
        <v>4320</v>
      </c>
      <c r="Q10" s="89">
        <v>4320</v>
      </c>
      <c r="R10" s="665">
        <f t="shared" si="1"/>
        <v>0</v>
      </c>
      <c r="S10" s="89">
        <v>4320</v>
      </c>
      <c r="T10" s="89">
        <v>35</v>
      </c>
      <c r="U10" s="92">
        <v>30000</v>
      </c>
      <c r="V10" s="92">
        <f t="shared" si="2"/>
        <v>-1050000</v>
      </c>
      <c r="W10" s="645" t="s">
        <v>5</v>
      </c>
      <c r="X10" s="726"/>
      <c r="Y10" s="620"/>
    </row>
    <row r="11" spans="1:25" s="388" customFormat="1" ht="21.95" customHeight="1">
      <c r="A11" s="87">
        <v>46156</v>
      </c>
      <c r="B11" s="87">
        <v>46156</v>
      </c>
      <c r="C11" s="87" t="s">
        <v>405</v>
      </c>
      <c r="D11" s="87" t="s">
        <v>314</v>
      </c>
      <c r="E11" s="87" t="s">
        <v>455</v>
      </c>
      <c r="F11" s="87"/>
      <c r="G11" s="87" t="s">
        <v>440</v>
      </c>
      <c r="H11" s="87" t="s">
        <v>239</v>
      </c>
      <c r="I11" s="87" t="s">
        <v>235</v>
      </c>
      <c r="J11" s="87" t="s">
        <v>257</v>
      </c>
      <c r="K11" s="87" t="s">
        <v>402</v>
      </c>
      <c r="L11" s="88" t="s">
        <v>276</v>
      </c>
      <c r="M11" s="89" t="s">
        <v>448</v>
      </c>
      <c r="N11" s="90">
        <v>20160</v>
      </c>
      <c r="O11" s="90">
        <v>27440</v>
      </c>
      <c r="P11" s="91">
        <v>7280</v>
      </c>
      <c r="Q11" s="89">
        <v>7280</v>
      </c>
      <c r="R11" s="665">
        <f t="shared" si="1"/>
        <v>0</v>
      </c>
      <c r="S11" s="89">
        <v>7280</v>
      </c>
      <c r="T11" s="89">
        <v>35</v>
      </c>
      <c r="U11" s="92">
        <v>30000</v>
      </c>
      <c r="V11" s="92">
        <f t="shared" si="2"/>
        <v>-1050000</v>
      </c>
      <c r="W11" s="508" t="s">
        <v>5</v>
      </c>
      <c r="X11" s="614"/>
      <c r="Y11" s="620"/>
    </row>
    <row r="12" spans="1:25" s="388" customFormat="1" ht="21.95" customHeight="1">
      <c r="A12" s="87">
        <v>46156</v>
      </c>
      <c r="B12" s="87">
        <v>46156</v>
      </c>
      <c r="C12" s="87" t="s">
        <v>405</v>
      </c>
      <c r="D12" s="87" t="s">
        <v>314</v>
      </c>
      <c r="E12" s="87" t="s">
        <v>455</v>
      </c>
      <c r="F12" s="87"/>
      <c r="G12" s="87" t="s">
        <v>440</v>
      </c>
      <c r="H12" s="87" t="s">
        <v>263</v>
      </c>
      <c r="I12" s="87" t="s">
        <v>53</v>
      </c>
      <c r="J12" s="87" t="s">
        <v>291</v>
      </c>
      <c r="K12" s="87" t="s">
        <v>292</v>
      </c>
      <c r="L12" s="88" t="s">
        <v>276</v>
      </c>
      <c r="M12" s="89" t="s">
        <v>448</v>
      </c>
      <c r="N12" s="90">
        <v>13990</v>
      </c>
      <c r="O12" s="90">
        <v>18560</v>
      </c>
      <c r="P12" s="91">
        <v>4570</v>
      </c>
      <c r="Q12" s="89">
        <v>4570</v>
      </c>
      <c r="R12" s="665">
        <f t="shared" si="1"/>
        <v>0</v>
      </c>
      <c r="S12" s="89">
        <v>4570</v>
      </c>
      <c r="T12" s="89">
        <v>50</v>
      </c>
      <c r="U12" s="92">
        <v>30000</v>
      </c>
      <c r="V12" s="92">
        <f t="shared" si="2"/>
        <v>-1500000</v>
      </c>
      <c r="W12" s="508" t="s">
        <v>5</v>
      </c>
      <c r="X12" s="614"/>
      <c r="Y12" s="620"/>
    </row>
    <row r="13" spans="1:25" s="388" customFormat="1" ht="21.95" customHeight="1">
      <c r="A13" s="87">
        <v>46156</v>
      </c>
      <c r="B13" s="87">
        <v>46157</v>
      </c>
      <c r="C13" s="87" t="s">
        <v>405</v>
      </c>
      <c r="D13" s="87" t="s">
        <v>314</v>
      </c>
      <c r="E13" s="87" t="s">
        <v>455</v>
      </c>
      <c r="F13" s="87"/>
      <c r="G13" s="87" t="s">
        <v>440</v>
      </c>
      <c r="H13" s="87" t="s">
        <v>239</v>
      </c>
      <c r="I13" s="87" t="s">
        <v>235</v>
      </c>
      <c r="J13" s="87" t="s">
        <v>257</v>
      </c>
      <c r="K13" s="87" t="s">
        <v>402</v>
      </c>
      <c r="L13" s="88" t="s">
        <v>276</v>
      </c>
      <c r="M13" s="89" t="s">
        <v>191</v>
      </c>
      <c r="N13" s="90">
        <v>20050</v>
      </c>
      <c r="O13" s="90">
        <v>25280</v>
      </c>
      <c r="P13" s="91">
        <f>O13-N13</f>
        <v>5230</v>
      </c>
      <c r="Q13" s="89">
        <v>5200</v>
      </c>
      <c r="R13" s="89">
        <f t="shared" ref="R13:R18" si="3">Q13-P13</f>
        <v>-30</v>
      </c>
      <c r="S13" s="89">
        <f>Q13</f>
        <v>5200</v>
      </c>
      <c r="T13" s="89"/>
      <c r="U13" s="92"/>
      <c r="V13" s="92">
        <v>-4500000</v>
      </c>
      <c r="W13" s="508" t="s">
        <v>5</v>
      </c>
      <c r="X13" s="614"/>
      <c r="Y13" s="620"/>
    </row>
    <row r="14" spans="1:25" s="388" customFormat="1" ht="21.95" customHeight="1">
      <c r="A14" s="87">
        <v>46156</v>
      </c>
      <c r="B14" s="87">
        <v>46157</v>
      </c>
      <c r="C14" s="87" t="s">
        <v>405</v>
      </c>
      <c r="D14" s="87" t="s">
        <v>314</v>
      </c>
      <c r="E14" s="87" t="s">
        <v>455</v>
      </c>
      <c r="F14" s="87"/>
      <c r="G14" s="87" t="s">
        <v>440</v>
      </c>
      <c r="H14" s="87" t="s">
        <v>263</v>
      </c>
      <c r="I14" s="87" t="s">
        <v>53</v>
      </c>
      <c r="J14" s="87" t="s">
        <v>291</v>
      </c>
      <c r="K14" s="87" t="s">
        <v>292</v>
      </c>
      <c r="L14" s="88" t="s">
        <v>276</v>
      </c>
      <c r="M14" s="89" t="s">
        <v>191</v>
      </c>
      <c r="N14" s="90">
        <v>14040</v>
      </c>
      <c r="O14" s="90">
        <v>16590</v>
      </c>
      <c r="P14" s="91">
        <f t="shared" ref="P14:P18" si="4">O14-N14</f>
        <v>2550</v>
      </c>
      <c r="Q14" s="89">
        <v>2550</v>
      </c>
      <c r="R14" s="89">
        <f t="shared" si="3"/>
        <v>0</v>
      </c>
      <c r="S14" s="89">
        <f>Q14</f>
        <v>2550</v>
      </c>
      <c r="T14" s="89"/>
      <c r="U14" s="92"/>
      <c r="V14" s="92">
        <v>-4000000</v>
      </c>
      <c r="W14" s="508" t="s">
        <v>5</v>
      </c>
      <c r="X14" s="614"/>
      <c r="Y14" s="620"/>
    </row>
    <row r="15" spans="1:25" s="388" customFormat="1" ht="21.95" customHeight="1">
      <c r="A15" s="707">
        <v>46157</v>
      </c>
      <c r="B15" s="707">
        <v>46157</v>
      </c>
      <c r="C15" s="87" t="s">
        <v>405</v>
      </c>
      <c r="D15" s="87" t="s">
        <v>314</v>
      </c>
      <c r="E15" s="87" t="s">
        <v>455</v>
      </c>
      <c r="F15" s="87"/>
      <c r="G15" s="87" t="s">
        <v>440</v>
      </c>
      <c r="H15" s="87" t="s">
        <v>239</v>
      </c>
      <c r="I15" s="87" t="s">
        <v>235</v>
      </c>
      <c r="J15" s="87" t="s">
        <v>257</v>
      </c>
      <c r="K15" s="87" t="s">
        <v>402</v>
      </c>
      <c r="L15" s="88" t="s">
        <v>276</v>
      </c>
      <c r="M15" s="89" t="s">
        <v>191</v>
      </c>
      <c r="N15" s="686">
        <v>19980</v>
      </c>
      <c r="O15" s="686">
        <v>28040</v>
      </c>
      <c r="P15" s="91">
        <f t="shared" si="4"/>
        <v>8060</v>
      </c>
      <c r="Q15" s="706">
        <v>7990</v>
      </c>
      <c r="R15" s="89">
        <f t="shared" si="3"/>
        <v>-70</v>
      </c>
      <c r="S15" s="89">
        <f t="shared" ref="S15:S16" si="5">Q15</f>
        <v>7990</v>
      </c>
      <c r="T15" s="1745"/>
      <c r="U15" s="692"/>
      <c r="V15" s="92">
        <v>-4500000</v>
      </c>
      <c r="W15" s="508" t="s">
        <v>5</v>
      </c>
      <c r="X15" s="154"/>
      <c r="Y15" s="620"/>
    </row>
    <row r="16" spans="1:25" s="388" customFormat="1" ht="21.95" customHeight="1">
      <c r="A16" s="707">
        <v>46157</v>
      </c>
      <c r="B16" s="707">
        <v>46157</v>
      </c>
      <c r="C16" s="87" t="s">
        <v>405</v>
      </c>
      <c r="D16" s="87" t="s">
        <v>314</v>
      </c>
      <c r="E16" s="87" t="s">
        <v>455</v>
      </c>
      <c r="F16" s="87"/>
      <c r="G16" s="87" t="s">
        <v>440</v>
      </c>
      <c r="H16" s="87" t="s">
        <v>263</v>
      </c>
      <c r="I16" s="87" t="s">
        <v>53</v>
      </c>
      <c r="J16" s="87" t="s">
        <v>291</v>
      </c>
      <c r="K16" s="87" t="s">
        <v>292</v>
      </c>
      <c r="L16" s="88" t="s">
        <v>276</v>
      </c>
      <c r="M16" s="89" t="s">
        <v>191</v>
      </c>
      <c r="N16" s="686">
        <v>13980</v>
      </c>
      <c r="O16" s="686">
        <v>17380</v>
      </c>
      <c r="P16" s="91">
        <f t="shared" si="4"/>
        <v>3400</v>
      </c>
      <c r="Q16" s="706">
        <v>3390</v>
      </c>
      <c r="R16" s="89">
        <f t="shared" si="3"/>
        <v>-10</v>
      </c>
      <c r="S16" s="89">
        <f t="shared" si="5"/>
        <v>3390</v>
      </c>
      <c r="T16" s="1745"/>
      <c r="U16" s="692"/>
      <c r="V16" s="92">
        <v>-4000000</v>
      </c>
      <c r="W16" s="508" t="s">
        <v>5</v>
      </c>
      <c r="X16" s="154"/>
      <c r="Y16" s="620"/>
    </row>
    <row r="17" spans="1:25" s="388" customFormat="1" ht="21.95" customHeight="1">
      <c r="A17" s="756">
        <v>46158</v>
      </c>
      <c r="B17" s="756">
        <v>46158</v>
      </c>
      <c r="C17" s="756" t="s">
        <v>405</v>
      </c>
      <c r="D17" s="756" t="s">
        <v>314</v>
      </c>
      <c r="E17" s="756" t="s">
        <v>455</v>
      </c>
      <c r="F17" s="1746"/>
      <c r="G17" s="756" t="s">
        <v>440</v>
      </c>
      <c r="H17" s="756" t="s">
        <v>239</v>
      </c>
      <c r="I17" s="756" t="s">
        <v>235</v>
      </c>
      <c r="J17" s="756" t="s">
        <v>257</v>
      </c>
      <c r="K17" s="756" t="s">
        <v>402</v>
      </c>
      <c r="L17" s="501" t="s">
        <v>276</v>
      </c>
      <c r="M17" s="751" t="s">
        <v>191</v>
      </c>
      <c r="N17" s="749">
        <v>20150</v>
      </c>
      <c r="O17" s="749">
        <v>24440</v>
      </c>
      <c r="P17" s="23">
        <f t="shared" si="4"/>
        <v>4290</v>
      </c>
      <c r="Q17" s="751">
        <v>4270</v>
      </c>
      <c r="R17" s="751">
        <f t="shared" si="3"/>
        <v>-20</v>
      </c>
      <c r="S17" s="753">
        <f>Q17</f>
        <v>4270</v>
      </c>
      <c r="T17" s="1741"/>
      <c r="U17" s="753"/>
      <c r="V17" s="753">
        <v>-4500000</v>
      </c>
      <c r="W17" s="758" t="s">
        <v>5</v>
      </c>
      <c r="X17" s="178"/>
      <c r="Y17" s="684"/>
    </row>
    <row r="18" spans="1:25" s="388" customFormat="1" ht="21.95" customHeight="1">
      <c r="A18" s="760">
        <v>46158</v>
      </c>
      <c r="B18" s="760">
        <v>46158</v>
      </c>
      <c r="C18" s="760" t="s">
        <v>405</v>
      </c>
      <c r="D18" s="760" t="s">
        <v>314</v>
      </c>
      <c r="E18" s="760" t="s">
        <v>455</v>
      </c>
      <c r="F18" s="1748"/>
      <c r="G18" s="760" t="s">
        <v>440</v>
      </c>
      <c r="H18" s="760" t="s">
        <v>263</v>
      </c>
      <c r="I18" s="760" t="s">
        <v>53</v>
      </c>
      <c r="J18" s="760" t="s">
        <v>291</v>
      </c>
      <c r="K18" s="760" t="s">
        <v>292</v>
      </c>
      <c r="L18" s="502" t="s">
        <v>276</v>
      </c>
      <c r="M18" s="752" t="s">
        <v>191</v>
      </c>
      <c r="N18" s="748">
        <v>14000</v>
      </c>
      <c r="O18" s="748">
        <v>16620</v>
      </c>
      <c r="P18" s="28">
        <f t="shared" si="4"/>
        <v>2620</v>
      </c>
      <c r="Q18" s="752">
        <v>2620</v>
      </c>
      <c r="R18" s="752">
        <f t="shared" si="3"/>
        <v>0</v>
      </c>
      <c r="S18" s="754">
        <f>Q18</f>
        <v>2620</v>
      </c>
      <c r="T18" s="1742"/>
      <c r="U18" s="754"/>
      <c r="V18" s="754">
        <v>-4000000</v>
      </c>
      <c r="W18" s="759" t="s">
        <v>5</v>
      </c>
      <c r="X18" s="180"/>
      <c r="Y18" s="684"/>
    </row>
    <row r="19" spans="1:25" s="388" customFormat="1" ht="21.95" customHeight="1">
      <c r="A19" s="87">
        <v>46160</v>
      </c>
      <c r="B19" s="87">
        <v>46160</v>
      </c>
      <c r="C19" s="87" t="s">
        <v>405</v>
      </c>
      <c r="D19" s="87" t="s">
        <v>314</v>
      </c>
      <c r="E19" s="87" t="s">
        <v>455</v>
      </c>
      <c r="F19" s="87"/>
      <c r="G19" s="87" t="s">
        <v>440</v>
      </c>
      <c r="H19" s="87" t="s">
        <v>239</v>
      </c>
      <c r="I19" s="87" t="s">
        <v>235</v>
      </c>
      <c r="J19" s="87" t="s">
        <v>257</v>
      </c>
      <c r="K19" s="87" t="s">
        <v>402</v>
      </c>
      <c r="L19" s="88" t="s">
        <v>276</v>
      </c>
      <c r="M19" s="89" t="s">
        <v>191</v>
      </c>
      <c r="N19" s="90">
        <v>20050</v>
      </c>
      <c r="O19" s="90">
        <v>24630</v>
      </c>
      <c r="P19" s="91">
        <f>O19-N19</f>
        <v>4580</v>
      </c>
      <c r="Q19" s="89">
        <v>4550</v>
      </c>
      <c r="R19" s="89"/>
      <c r="S19" s="89">
        <f>Q19</f>
        <v>4550</v>
      </c>
      <c r="T19" s="89"/>
      <c r="U19" s="92"/>
      <c r="V19" s="92">
        <v>-4500000</v>
      </c>
      <c r="W19" s="508" t="s">
        <v>5</v>
      </c>
      <c r="X19" s="139"/>
      <c r="Y19" s="620"/>
    </row>
    <row r="20" spans="1:25" s="388" customFormat="1" ht="21.95" customHeight="1">
      <c r="A20" s="1290">
        <v>46178</v>
      </c>
      <c r="B20" s="1290">
        <v>46178</v>
      </c>
      <c r="C20" s="1290" t="s">
        <v>405</v>
      </c>
      <c r="D20" s="1290" t="s">
        <v>314</v>
      </c>
      <c r="E20" s="1290" t="s">
        <v>455</v>
      </c>
      <c r="F20" s="1751"/>
      <c r="G20" s="1290" t="s">
        <v>6</v>
      </c>
      <c r="H20" s="1290" t="s">
        <v>239</v>
      </c>
      <c r="I20" s="1290" t="s">
        <v>235</v>
      </c>
      <c r="J20" s="1290" t="s">
        <v>281</v>
      </c>
      <c r="K20" s="1290" t="s">
        <v>282</v>
      </c>
      <c r="L20" s="88" t="s">
        <v>276</v>
      </c>
      <c r="M20" s="89" t="s">
        <v>448</v>
      </c>
      <c r="N20" s="1280">
        <v>20830</v>
      </c>
      <c r="O20" s="1280">
        <v>29180</v>
      </c>
      <c r="P20" s="91">
        <f t="shared" ref="P20:P25" si="6">O20-N20</f>
        <v>8350</v>
      </c>
      <c r="Q20" s="89">
        <v>8320</v>
      </c>
      <c r="R20" s="1286"/>
      <c r="S20" s="1286">
        <f t="shared" ref="S20:S25" si="7">Q20</f>
        <v>8320</v>
      </c>
      <c r="T20" s="1745">
        <v>50</v>
      </c>
      <c r="U20" s="1283">
        <v>30000</v>
      </c>
      <c r="V20" s="92">
        <f t="shared" ref="V20:V31" si="8">-U20*T20</f>
        <v>-1500000</v>
      </c>
      <c r="W20" s="508" t="s">
        <v>5</v>
      </c>
      <c r="X20" s="510"/>
      <c r="Y20" s="1278"/>
    </row>
    <row r="21" spans="1:25" s="388" customFormat="1" ht="21.95" customHeight="1">
      <c r="A21" s="1290">
        <v>46178</v>
      </c>
      <c r="B21" s="1290">
        <v>46178</v>
      </c>
      <c r="C21" s="1290" t="s">
        <v>405</v>
      </c>
      <c r="D21" s="1290" t="s">
        <v>314</v>
      </c>
      <c r="E21" s="1290" t="s">
        <v>455</v>
      </c>
      <c r="F21" s="1751"/>
      <c r="G21" s="1290" t="s">
        <v>6</v>
      </c>
      <c r="H21" s="1290" t="s">
        <v>46</v>
      </c>
      <c r="I21" s="1290" t="s">
        <v>334</v>
      </c>
      <c r="J21" s="1290" t="s">
        <v>492</v>
      </c>
      <c r="K21" s="1290" t="s">
        <v>493</v>
      </c>
      <c r="L21" s="88" t="s">
        <v>276</v>
      </c>
      <c r="M21" s="89" t="s">
        <v>448</v>
      </c>
      <c r="N21" s="1280">
        <v>21400</v>
      </c>
      <c r="O21" s="1280">
        <v>27030</v>
      </c>
      <c r="P21" s="91">
        <f t="shared" si="6"/>
        <v>5630</v>
      </c>
      <c r="Q21" s="89">
        <v>5670</v>
      </c>
      <c r="R21" s="1286"/>
      <c r="S21" s="1286">
        <f t="shared" si="7"/>
        <v>5670</v>
      </c>
      <c r="T21" s="1745">
        <v>50</v>
      </c>
      <c r="U21" s="1283">
        <v>30000</v>
      </c>
      <c r="V21" s="92">
        <f t="shared" si="8"/>
        <v>-1500000</v>
      </c>
      <c r="W21" s="508" t="s">
        <v>5</v>
      </c>
      <c r="X21" s="510"/>
      <c r="Y21" s="1278"/>
    </row>
    <row r="22" spans="1:25" s="388" customFormat="1" ht="21.95" customHeight="1">
      <c r="A22" s="1383">
        <v>46182</v>
      </c>
      <c r="B22" s="1383">
        <v>46182</v>
      </c>
      <c r="C22" s="1383" t="s">
        <v>405</v>
      </c>
      <c r="D22" s="1383" t="s">
        <v>314</v>
      </c>
      <c r="E22" s="1383" t="s">
        <v>455</v>
      </c>
      <c r="F22" s="1751"/>
      <c r="G22" s="1383" t="s">
        <v>6</v>
      </c>
      <c r="H22" s="1383" t="s">
        <v>239</v>
      </c>
      <c r="I22" s="1383" t="s">
        <v>206</v>
      </c>
      <c r="J22" s="1383"/>
      <c r="K22" s="1383"/>
      <c r="L22" s="88" t="s">
        <v>276</v>
      </c>
      <c r="M22" s="89" t="s">
        <v>448</v>
      </c>
      <c r="N22" s="1377">
        <v>20100</v>
      </c>
      <c r="O22" s="1377">
        <v>29960</v>
      </c>
      <c r="P22" s="157">
        <f t="shared" si="6"/>
        <v>9860</v>
      </c>
      <c r="Q22" s="1381">
        <v>9850</v>
      </c>
      <c r="R22" s="1381"/>
      <c r="S22" s="1381">
        <f t="shared" si="7"/>
        <v>9850</v>
      </c>
      <c r="T22" s="1745">
        <v>50</v>
      </c>
      <c r="U22" s="1378">
        <v>30000</v>
      </c>
      <c r="V22" s="92">
        <f t="shared" si="8"/>
        <v>-1500000</v>
      </c>
      <c r="W22" s="508" t="s">
        <v>5</v>
      </c>
      <c r="X22" s="510"/>
      <c r="Y22" s="1376"/>
    </row>
    <row r="23" spans="1:25" s="388" customFormat="1" ht="21.95" customHeight="1">
      <c r="A23" s="1383">
        <v>46182</v>
      </c>
      <c r="B23" s="1383">
        <v>46182</v>
      </c>
      <c r="C23" s="1383" t="s">
        <v>405</v>
      </c>
      <c r="D23" s="1383" t="s">
        <v>314</v>
      </c>
      <c r="E23" s="1383" t="s">
        <v>455</v>
      </c>
      <c r="F23" s="1751"/>
      <c r="G23" s="1383" t="s">
        <v>6</v>
      </c>
      <c r="H23" s="1383" t="s">
        <v>46</v>
      </c>
      <c r="I23" s="1383" t="s">
        <v>312</v>
      </c>
      <c r="J23" s="1383"/>
      <c r="K23" s="1383"/>
      <c r="L23" s="88" t="s">
        <v>276</v>
      </c>
      <c r="M23" s="89" t="s">
        <v>448</v>
      </c>
      <c r="N23" s="1377">
        <v>21290</v>
      </c>
      <c r="O23" s="1377">
        <v>25610</v>
      </c>
      <c r="P23" s="157">
        <f t="shared" si="6"/>
        <v>4320</v>
      </c>
      <c r="Q23" s="1381">
        <v>4350</v>
      </c>
      <c r="R23" s="1381"/>
      <c r="S23" s="1381">
        <f t="shared" si="7"/>
        <v>4350</v>
      </c>
      <c r="T23" s="1745">
        <v>50</v>
      </c>
      <c r="U23" s="1378">
        <v>30000</v>
      </c>
      <c r="V23" s="92">
        <f t="shared" si="8"/>
        <v>-1500000</v>
      </c>
      <c r="W23" s="508" t="s">
        <v>5</v>
      </c>
      <c r="X23" s="510"/>
      <c r="Y23" s="1376"/>
    </row>
    <row r="24" spans="1:25" s="388" customFormat="1" ht="21.95" customHeight="1">
      <c r="A24" s="1403">
        <v>46183</v>
      </c>
      <c r="B24" s="1403">
        <v>46183</v>
      </c>
      <c r="C24" s="1403" t="s">
        <v>405</v>
      </c>
      <c r="D24" s="1403" t="s">
        <v>314</v>
      </c>
      <c r="E24" s="1403" t="s">
        <v>455</v>
      </c>
      <c r="F24" s="1751"/>
      <c r="G24" s="1403" t="s">
        <v>6</v>
      </c>
      <c r="H24" s="1403" t="s">
        <v>239</v>
      </c>
      <c r="I24" s="1403" t="s">
        <v>235</v>
      </c>
      <c r="J24" s="1403" t="s">
        <v>281</v>
      </c>
      <c r="K24" s="1403" t="s">
        <v>282</v>
      </c>
      <c r="L24" s="88" t="s">
        <v>276</v>
      </c>
      <c r="M24" s="481" t="s">
        <v>448</v>
      </c>
      <c r="N24" s="1392">
        <v>20710</v>
      </c>
      <c r="O24" s="1392">
        <v>29170</v>
      </c>
      <c r="P24" s="157">
        <f t="shared" si="6"/>
        <v>8460</v>
      </c>
      <c r="Q24" s="1404">
        <v>8450</v>
      </c>
      <c r="R24" s="1404"/>
      <c r="S24" s="1404">
        <f t="shared" si="7"/>
        <v>8450</v>
      </c>
      <c r="T24" s="1745">
        <v>50</v>
      </c>
      <c r="U24" s="1395">
        <v>30000</v>
      </c>
      <c r="V24" s="92">
        <f t="shared" si="8"/>
        <v>-1500000</v>
      </c>
      <c r="W24" s="508" t="s">
        <v>5</v>
      </c>
      <c r="X24" s="510"/>
      <c r="Y24" s="1388"/>
    </row>
    <row r="25" spans="1:25" s="388" customFormat="1" ht="21.95" customHeight="1">
      <c r="A25" s="1480">
        <v>46183</v>
      </c>
      <c r="B25" s="1480">
        <v>46183</v>
      </c>
      <c r="C25" s="1480" t="s">
        <v>405</v>
      </c>
      <c r="D25" s="1480" t="s">
        <v>314</v>
      </c>
      <c r="E25" s="1480" t="s">
        <v>455</v>
      </c>
      <c r="F25" s="1750"/>
      <c r="G25" s="1480" t="s">
        <v>6</v>
      </c>
      <c r="H25" s="1480" t="s">
        <v>263</v>
      </c>
      <c r="I25" s="1480" t="s">
        <v>172</v>
      </c>
      <c r="J25" s="1480" t="s">
        <v>291</v>
      </c>
      <c r="K25" s="1480" t="s">
        <v>292</v>
      </c>
      <c r="L25" s="331" t="s">
        <v>276</v>
      </c>
      <c r="M25" s="84" t="s">
        <v>448</v>
      </c>
      <c r="N25" s="1471">
        <v>14030</v>
      </c>
      <c r="O25" s="1471">
        <v>18140</v>
      </c>
      <c r="P25" s="58">
        <f t="shared" si="6"/>
        <v>4110</v>
      </c>
      <c r="Q25" s="1478">
        <v>4100</v>
      </c>
      <c r="R25" s="89"/>
      <c r="S25" s="1478">
        <f t="shared" si="7"/>
        <v>4100</v>
      </c>
      <c r="T25" s="1743">
        <v>35</v>
      </c>
      <c r="U25" s="1472">
        <v>30000</v>
      </c>
      <c r="V25" s="92">
        <f t="shared" si="8"/>
        <v>-1050000</v>
      </c>
      <c r="W25" s="1473" t="s">
        <v>5</v>
      </c>
      <c r="X25" s="147"/>
      <c r="Y25" s="1388"/>
    </row>
    <row r="26" spans="1:25" s="388" customFormat="1" ht="21.95" customHeight="1">
      <c r="A26" s="87">
        <v>46185</v>
      </c>
      <c r="B26" s="87">
        <v>46185</v>
      </c>
      <c r="C26" s="87" t="s">
        <v>405</v>
      </c>
      <c r="D26" s="87" t="s">
        <v>314</v>
      </c>
      <c r="E26" s="87" t="s">
        <v>455</v>
      </c>
      <c r="F26" s="87"/>
      <c r="G26" s="87" t="s">
        <v>440</v>
      </c>
      <c r="H26" s="87" t="s">
        <v>239</v>
      </c>
      <c r="I26" s="87" t="s">
        <v>235</v>
      </c>
      <c r="J26" s="87" t="s">
        <v>281</v>
      </c>
      <c r="K26" s="87" t="s">
        <v>282</v>
      </c>
      <c r="L26" s="88" t="s">
        <v>276</v>
      </c>
      <c r="M26" s="89" t="s">
        <v>448</v>
      </c>
      <c r="N26" s="90">
        <v>20770</v>
      </c>
      <c r="O26" s="90">
        <v>30040</v>
      </c>
      <c r="P26" s="91">
        <f>O26-N26</f>
        <v>9270</v>
      </c>
      <c r="Q26" s="89">
        <v>9270</v>
      </c>
      <c r="S26" s="89">
        <f t="shared" ref="S26:S31" si="9">Q26</f>
        <v>9270</v>
      </c>
      <c r="T26" s="89">
        <v>50</v>
      </c>
      <c r="U26" s="92">
        <v>30000</v>
      </c>
      <c r="V26" s="92">
        <f t="shared" si="8"/>
        <v>-1500000</v>
      </c>
      <c r="W26" s="508" t="s">
        <v>5</v>
      </c>
      <c r="X26" s="614"/>
      <c r="Y26" s="1470"/>
    </row>
    <row r="27" spans="1:25" s="388" customFormat="1" ht="21.95" customHeight="1">
      <c r="A27" s="87">
        <v>46185</v>
      </c>
      <c r="B27" s="87">
        <v>46185</v>
      </c>
      <c r="C27" s="87" t="s">
        <v>405</v>
      </c>
      <c r="D27" s="87" t="s">
        <v>314</v>
      </c>
      <c r="E27" s="87" t="s">
        <v>455</v>
      </c>
      <c r="F27" s="87"/>
      <c r="G27" s="87" t="s">
        <v>440</v>
      </c>
      <c r="H27" s="87" t="s">
        <v>263</v>
      </c>
      <c r="I27" s="87" t="s">
        <v>334</v>
      </c>
      <c r="J27" s="87" t="s">
        <v>291</v>
      </c>
      <c r="K27" s="87" t="s">
        <v>292</v>
      </c>
      <c r="L27" s="88" t="s">
        <v>276</v>
      </c>
      <c r="M27" s="89" t="s">
        <v>448</v>
      </c>
      <c r="N27" s="90">
        <v>21100</v>
      </c>
      <c r="O27" s="90">
        <v>26550</v>
      </c>
      <c r="P27" s="91">
        <f>O27-N27</f>
        <v>5450</v>
      </c>
      <c r="Q27" s="89">
        <v>5460</v>
      </c>
      <c r="R27" s="89"/>
      <c r="S27" s="89">
        <f t="shared" si="9"/>
        <v>5460</v>
      </c>
      <c r="T27" s="89">
        <v>50</v>
      </c>
      <c r="U27" s="92">
        <v>30000</v>
      </c>
      <c r="V27" s="92">
        <f t="shared" si="8"/>
        <v>-1500000</v>
      </c>
      <c r="W27" s="508" t="s">
        <v>5</v>
      </c>
      <c r="X27" s="614"/>
      <c r="Y27" s="1470"/>
    </row>
    <row r="28" spans="1:25" s="388" customFormat="1" ht="21.95" customHeight="1">
      <c r="A28" s="1534">
        <v>46188</v>
      </c>
      <c r="B28" s="1534">
        <v>46188</v>
      </c>
      <c r="C28" s="87" t="s">
        <v>405</v>
      </c>
      <c r="D28" s="87" t="s">
        <v>314</v>
      </c>
      <c r="E28" s="87" t="s">
        <v>455</v>
      </c>
      <c r="F28" s="87"/>
      <c r="G28" s="87" t="s">
        <v>440</v>
      </c>
      <c r="H28" s="87" t="s">
        <v>239</v>
      </c>
      <c r="I28" s="87" t="s">
        <v>235</v>
      </c>
      <c r="J28" s="87" t="s">
        <v>281</v>
      </c>
      <c r="K28" s="87" t="s">
        <v>282</v>
      </c>
      <c r="L28" s="88" t="s">
        <v>276</v>
      </c>
      <c r="M28" s="89" t="s">
        <v>448</v>
      </c>
      <c r="N28" s="1520">
        <v>20090</v>
      </c>
      <c r="O28" s="1520">
        <v>29860</v>
      </c>
      <c r="P28" s="91">
        <f t="shared" ref="P28:P36" si="10">O28-N28</f>
        <v>9770</v>
      </c>
      <c r="Q28" s="1535">
        <v>9780</v>
      </c>
      <c r="R28" s="1535"/>
      <c r="S28" s="1535">
        <f t="shared" si="9"/>
        <v>9780</v>
      </c>
      <c r="T28" s="1745">
        <v>50</v>
      </c>
      <c r="U28" s="92">
        <v>30000</v>
      </c>
      <c r="V28" s="92">
        <f t="shared" si="8"/>
        <v>-1500000</v>
      </c>
      <c r="W28" s="508" t="s">
        <v>5</v>
      </c>
      <c r="X28" s="154"/>
      <c r="Y28" s="1499"/>
    </row>
    <row r="29" spans="1:25" s="388" customFormat="1" ht="21.95" customHeight="1">
      <c r="A29" s="1534">
        <v>46188</v>
      </c>
      <c r="B29" s="1534">
        <v>46188</v>
      </c>
      <c r="C29" s="87" t="s">
        <v>405</v>
      </c>
      <c r="D29" s="87" t="s">
        <v>314</v>
      </c>
      <c r="E29" s="87" t="s">
        <v>455</v>
      </c>
      <c r="F29" s="87"/>
      <c r="G29" s="87" t="s">
        <v>440</v>
      </c>
      <c r="H29" s="87" t="s">
        <v>263</v>
      </c>
      <c r="I29" s="87" t="s">
        <v>334</v>
      </c>
      <c r="J29" s="87" t="s">
        <v>291</v>
      </c>
      <c r="K29" s="87" t="s">
        <v>292</v>
      </c>
      <c r="L29" s="88" t="s">
        <v>276</v>
      </c>
      <c r="M29" s="89" t="s">
        <v>448</v>
      </c>
      <c r="N29" s="1520">
        <v>21130</v>
      </c>
      <c r="O29" s="1520">
        <v>26000</v>
      </c>
      <c r="P29" s="91">
        <f t="shared" si="10"/>
        <v>4870</v>
      </c>
      <c r="Q29" s="1535">
        <v>4870</v>
      </c>
      <c r="R29" s="1535"/>
      <c r="S29" s="1535">
        <f t="shared" si="9"/>
        <v>4870</v>
      </c>
      <c r="T29" s="1745">
        <v>50</v>
      </c>
      <c r="U29" s="1525">
        <v>30000</v>
      </c>
      <c r="V29" s="92">
        <f t="shared" si="8"/>
        <v>-1500000</v>
      </c>
      <c r="W29" s="508" t="s">
        <v>5</v>
      </c>
      <c r="X29" s="154"/>
      <c r="Y29" s="1499"/>
    </row>
    <row r="30" spans="1:25" s="388" customFormat="1" ht="21.95" customHeight="1">
      <c r="A30" s="1569">
        <v>46189</v>
      </c>
      <c r="B30" s="1569">
        <v>46189</v>
      </c>
      <c r="C30" s="87" t="s">
        <v>405</v>
      </c>
      <c r="D30" s="87" t="s">
        <v>314</v>
      </c>
      <c r="E30" s="87" t="s">
        <v>455</v>
      </c>
      <c r="F30" s="87"/>
      <c r="G30" s="87" t="s">
        <v>440</v>
      </c>
      <c r="H30" s="87" t="s">
        <v>239</v>
      </c>
      <c r="I30" s="87" t="s">
        <v>235</v>
      </c>
      <c r="J30" s="87" t="s">
        <v>281</v>
      </c>
      <c r="K30" s="87" t="s">
        <v>282</v>
      </c>
      <c r="L30" s="88" t="s">
        <v>276</v>
      </c>
      <c r="M30" s="89" t="s">
        <v>448</v>
      </c>
      <c r="N30" s="1557">
        <v>20780</v>
      </c>
      <c r="O30" s="1557">
        <v>29800</v>
      </c>
      <c r="P30" s="91">
        <f t="shared" si="10"/>
        <v>9020</v>
      </c>
      <c r="Q30" s="1570">
        <v>9010</v>
      </c>
      <c r="R30" s="1570"/>
      <c r="S30" s="1570">
        <f t="shared" si="9"/>
        <v>9010</v>
      </c>
      <c r="T30" s="1745">
        <v>50</v>
      </c>
      <c r="U30" s="1562">
        <v>30000</v>
      </c>
      <c r="V30" s="92">
        <f t="shared" si="8"/>
        <v>-1500000</v>
      </c>
      <c r="W30" s="1555" t="s">
        <v>190</v>
      </c>
      <c r="X30" s="614" t="s">
        <v>722</v>
      </c>
      <c r="Y30" s="1515"/>
    </row>
    <row r="31" spans="1:25" s="388" customFormat="1" ht="21.95" customHeight="1">
      <c r="A31" s="1569">
        <v>46189</v>
      </c>
      <c r="B31" s="1569">
        <v>46189</v>
      </c>
      <c r="C31" s="87" t="s">
        <v>405</v>
      </c>
      <c r="D31" s="87" t="s">
        <v>314</v>
      </c>
      <c r="E31" s="87" t="s">
        <v>455</v>
      </c>
      <c r="F31" s="87"/>
      <c r="G31" s="87" t="s">
        <v>440</v>
      </c>
      <c r="H31" s="87" t="s">
        <v>263</v>
      </c>
      <c r="I31" s="87" t="s">
        <v>334</v>
      </c>
      <c r="J31" s="87" t="s">
        <v>291</v>
      </c>
      <c r="K31" s="87" t="s">
        <v>292</v>
      </c>
      <c r="L31" s="88" t="s">
        <v>276</v>
      </c>
      <c r="M31" s="89" t="s">
        <v>448</v>
      </c>
      <c r="N31" s="1557">
        <v>21020</v>
      </c>
      <c r="O31" s="1557">
        <v>26880</v>
      </c>
      <c r="P31" s="91">
        <f t="shared" si="10"/>
        <v>5860</v>
      </c>
      <c r="Q31" s="1570">
        <v>5860</v>
      </c>
      <c r="R31" s="1570"/>
      <c r="S31" s="1570">
        <f t="shared" si="9"/>
        <v>5860</v>
      </c>
      <c r="T31" s="1745">
        <v>50</v>
      </c>
      <c r="U31" s="1562">
        <v>30000</v>
      </c>
      <c r="V31" s="92">
        <f t="shared" si="8"/>
        <v>-1500000</v>
      </c>
      <c r="W31" s="1555" t="s">
        <v>190</v>
      </c>
      <c r="X31" s="614" t="s">
        <v>722</v>
      </c>
      <c r="Y31" s="1515"/>
    </row>
    <row r="32" spans="1:25" s="388" customFormat="1" ht="21.95" customHeight="1">
      <c r="A32" s="1568">
        <v>46189</v>
      </c>
      <c r="B32" s="1568">
        <v>46190</v>
      </c>
      <c r="C32" s="1568" t="s">
        <v>451</v>
      </c>
      <c r="D32" s="1568" t="s">
        <v>315</v>
      </c>
      <c r="E32" s="1568"/>
      <c r="F32" s="1750"/>
      <c r="G32" s="1568" t="s">
        <v>17</v>
      </c>
      <c r="H32" s="1568" t="s">
        <v>46</v>
      </c>
      <c r="I32" s="1568" t="s">
        <v>33</v>
      </c>
      <c r="J32" s="1568" t="s">
        <v>291</v>
      </c>
      <c r="K32" s="1568" t="s">
        <v>292</v>
      </c>
      <c r="L32" s="84" t="s">
        <v>276</v>
      </c>
      <c r="M32" s="1563" t="s">
        <v>191</v>
      </c>
      <c r="N32" s="1556">
        <v>13530</v>
      </c>
      <c r="O32" s="1556">
        <v>15530</v>
      </c>
      <c r="P32" s="58">
        <f t="shared" si="10"/>
        <v>2000</v>
      </c>
      <c r="Q32" s="1563">
        <v>2000</v>
      </c>
      <c r="R32" s="1563"/>
      <c r="S32" s="1563">
        <v>2000</v>
      </c>
      <c r="T32" s="1743"/>
      <c r="U32" s="1561"/>
      <c r="V32" s="1561">
        <v>0</v>
      </c>
      <c r="W32" s="1554" t="s">
        <v>18</v>
      </c>
      <c r="X32" s="1016" t="s">
        <v>711</v>
      </c>
      <c r="Y32" s="1550"/>
    </row>
    <row r="33" spans="1:25" s="388" customFormat="1" ht="21.95" customHeight="1">
      <c r="A33" s="87">
        <v>46191</v>
      </c>
      <c r="B33" s="87">
        <v>46191</v>
      </c>
      <c r="C33" s="87" t="s">
        <v>405</v>
      </c>
      <c r="D33" s="87" t="s">
        <v>314</v>
      </c>
      <c r="E33" s="87" t="s">
        <v>455</v>
      </c>
      <c r="F33" s="87"/>
      <c r="G33" s="87" t="s">
        <v>440</v>
      </c>
      <c r="H33" s="87" t="s">
        <v>239</v>
      </c>
      <c r="I33" s="87" t="s">
        <v>235</v>
      </c>
      <c r="J33" s="87" t="s">
        <v>281</v>
      </c>
      <c r="K33" s="87" t="s">
        <v>282</v>
      </c>
      <c r="L33" s="88" t="s">
        <v>276</v>
      </c>
      <c r="M33" s="89" t="s">
        <v>448</v>
      </c>
      <c r="N33" s="90">
        <v>20110</v>
      </c>
      <c r="O33" s="90">
        <v>30030</v>
      </c>
      <c r="P33" s="91">
        <f t="shared" si="10"/>
        <v>9920</v>
      </c>
      <c r="Q33" s="89">
        <v>9920</v>
      </c>
      <c r="R33" s="89"/>
      <c r="S33" s="89">
        <f>Q33</f>
        <v>9920</v>
      </c>
      <c r="T33" s="89">
        <v>50</v>
      </c>
      <c r="U33" s="92">
        <v>30000</v>
      </c>
      <c r="V33" s="92">
        <f>-U33*T33</f>
        <v>-1500000</v>
      </c>
      <c r="W33" s="508" t="s">
        <v>190</v>
      </c>
      <c r="X33" s="614" t="s">
        <v>722</v>
      </c>
      <c r="Y33" s="1551"/>
    </row>
    <row r="34" spans="1:25" s="388" customFormat="1" ht="21.95" customHeight="1">
      <c r="A34" s="87">
        <v>46191</v>
      </c>
      <c r="B34" s="87">
        <v>46191</v>
      </c>
      <c r="C34" s="87" t="s">
        <v>405</v>
      </c>
      <c r="D34" s="87" t="s">
        <v>314</v>
      </c>
      <c r="E34" s="87" t="s">
        <v>455</v>
      </c>
      <c r="F34" s="87"/>
      <c r="G34" s="87" t="s">
        <v>440</v>
      </c>
      <c r="H34" s="87" t="s">
        <v>263</v>
      </c>
      <c r="I34" s="87" t="s">
        <v>334</v>
      </c>
      <c r="J34" s="87" t="s">
        <v>291</v>
      </c>
      <c r="K34" s="87" t="s">
        <v>292</v>
      </c>
      <c r="L34" s="88" t="s">
        <v>276</v>
      </c>
      <c r="M34" s="89" t="s">
        <v>448</v>
      </c>
      <c r="N34" s="90">
        <v>21360</v>
      </c>
      <c r="O34" s="90">
        <v>25550</v>
      </c>
      <c r="P34" s="91">
        <f t="shared" si="10"/>
        <v>4190</v>
      </c>
      <c r="Q34" s="89">
        <v>4210</v>
      </c>
      <c r="R34" s="89"/>
      <c r="S34" s="89">
        <f>Q34</f>
        <v>4210</v>
      </c>
      <c r="T34" s="89">
        <v>50</v>
      </c>
      <c r="U34" s="92">
        <v>30000</v>
      </c>
      <c r="V34" s="92">
        <f>-U34*T34</f>
        <v>-1500000</v>
      </c>
      <c r="W34" s="508" t="s">
        <v>190</v>
      </c>
      <c r="X34" s="614" t="s">
        <v>722</v>
      </c>
      <c r="Y34" s="1551"/>
    </row>
    <row r="35" spans="1:25" s="388" customFormat="1" ht="21.95" customHeight="1">
      <c r="A35" s="1607">
        <v>46192</v>
      </c>
      <c r="B35" s="1607">
        <v>46192</v>
      </c>
      <c r="C35" s="1607" t="s">
        <v>405</v>
      </c>
      <c r="D35" s="1607" t="s">
        <v>314</v>
      </c>
      <c r="E35" s="1607" t="s">
        <v>455</v>
      </c>
      <c r="F35" s="1746"/>
      <c r="G35" s="1607" t="s">
        <v>440</v>
      </c>
      <c r="H35" s="1607" t="s">
        <v>239</v>
      </c>
      <c r="I35" s="1607" t="s">
        <v>235</v>
      </c>
      <c r="J35" s="1607" t="s">
        <v>281</v>
      </c>
      <c r="K35" s="1607" t="s">
        <v>282</v>
      </c>
      <c r="L35" s="501" t="s">
        <v>276</v>
      </c>
      <c r="M35" s="1599" t="s">
        <v>448</v>
      </c>
      <c r="N35" s="1597">
        <v>20770</v>
      </c>
      <c r="O35" s="1597">
        <v>31410</v>
      </c>
      <c r="P35" s="462">
        <f t="shared" si="10"/>
        <v>10640</v>
      </c>
      <c r="Q35" s="1609">
        <v>10640</v>
      </c>
      <c r="R35" s="1609"/>
      <c r="S35" s="1609">
        <f>Q35</f>
        <v>10640</v>
      </c>
      <c r="T35" s="1749">
        <v>50</v>
      </c>
      <c r="U35" s="1612">
        <v>30000</v>
      </c>
      <c r="V35" s="92">
        <f>-U35*T35</f>
        <v>-1500000</v>
      </c>
      <c r="W35" s="1591" t="s">
        <v>190</v>
      </c>
      <c r="X35" s="205"/>
      <c r="Y35" s="1576"/>
    </row>
    <row r="36" spans="1:25" s="388" customFormat="1" ht="21.95" customHeight="1">
      <c r="A36" s="1608">
        <v>46192</v>
      </c>
      <c r="B36" s="1608">
        <v>46192</v>
      </c>
      <c r="C36" s="1608" t="s">
        <v>405</v>
      </c>
      <c r="D36" s="1608" t="s">
        <v>314</v>
      </c>
      <c r="E36" s="1608" t="s">
        <v>455</v>
      </c>
      <c r="F36" s="1748"/>
      <c r="G36" s="1608" t="s">
        <v>440</v>
      </c>
      <c r="H36" s="1608" t="s">
        <v>263</v>
      </c>
      <c r="I36" s="1608" t="s">
        <v>334</v>
      </c>
      <c r="J36" s="1608" t="s">
        <v>291</v>
      </c>
      <c r="K36" s="1608" t="s">
        <v>292</v>
      </c>
      <c r="L36" s="502" t="s">
        <v>276</v>
      </c>
      <c r="M36" s="1603" t="s">
        <v>448</v>
      </c>
      <c r="N36" s="1596">
        <v>21010</v>
      </c>
      <c r="O36" s="1596">
        <v>27080</v>
      </c>
      <c r="P36" s="28">
        <f t="shared" si="10"/>
        <v>6070</v>
      </c>
      <c r="Q36" s="1603">
        <v>6090</v>
      </c>
      <c r="R36" s="1603"/>
      <c r="S36" s="1603">
        <f>Q36</f>
        <v>6090</v>
      </c>
      <c r="T36" s="1740">
        <v>50</v>
      </c>
      <c r="U36" s="1604">
        <v>30000</v>
      </c>
      <c r="V36" s="92">
        <f>-U36*T36</f>
        <v>-1500000</v>
      </c>
      <c r="W36" s="1590" t="s">
        <v>190</v>
      </c>
      <c r="X36" s="180"/>
      <c r="Y36" s="1576"/>
    </row>
    <row r="37" spans="1:25" s="388" customFormat="1" ht="21.95" customHeight="1">
      <c r="A37" s="1808">
        <v>46202</v>
      </c>
      <c r="B37" s="1808">
        <v>46202</v>
      </c>
      <c r="C37" s="1808" t="s">
        <v>405</v>
      </c>
      <c r="D37" s="1808" t="s">
        <v>315</v>
      </c>
      <c r="E37" s="1808" t="s">
        <v>210</v>
      </c>
      <c r="F37" s="1808"/>
      <c r="G37" s="1808" t="s">
        <v>6</v>
      </c>
      <c r="H37" s="1808" t="s">
        <v>46</v>
      </c>
      <c r="I37" s="1842" t="s">
        <v>312</v>
      </c>
      <c r="J37" s="481"/>
      <c r="K37" s="1809"/>
      <c r="L37" s="481" t="s">
        <v>186</v>
      </c>
      <c r="M37" s="1809" t="s">
        <v>755</v>
      </c>
      <c r="N37" s="1798">
        <v>21180</v>
      </c>
      <c r="O37" s="1798">
        <v>26260</v>
      </c>
      <c r="P37" s="157">
        <f>O37-N37</f>
        <v>5080</v>
      </c>
      <c r="Q37" s="1809">
        <v>5120</v>
      </c>
      <c r="R37" s="1809"/>
      <c r="S37" s="1809">
        <f>Q37</f>
        <v>5120</v>
      </c>
      <c r="T37" s="1809">
        <v>50</v>
      </c>
      <c r="U37" s="1802">
        <v>30000</v>
      </c>
      <c r="V37" s="92">
        <f>-U37*T37</f>
        <v>-1500000</v>
      </c>
      <c r="W37" s="1797" t="s">
        <v>5</v>
      </c>
      <c r="X37" s="154"/>
      <c r="Y37" s="1753"/>
    </row>
    <row r="38" spans="1:25" ht="21.95" customHeight="1">
      <c r="A38" s="175"/>
      <c r="B38" s="649"/>
      <c r="C38" s="649"/>
      <c r="D38" s="375"/>
      <c r="E38" s="628"/>
      <c r="F38" s="1735"/>
      <c r="G38" s="306"/>
      <c r="H38" s="306"/>
      <c r="I38" s="100"/>
      <c r="J38" s="100"/>
      <c r="K38" s="100"/>
      <c r="L38" s="100"/>
      <c r="M38" s="176"/>
      <c r="N38" s="176"/>
      <c r="O38" s="177"/>
      <c r="P38" s="53"/>
      <c r="Q38" s="176"/>
      <c r="R38" s="177"/>
      <c r="S38" s="177"/>
      <c r="T38" s="1745"/>
      <c r="U38" s="177"/>
      <c r="V38" s="176"/>
      <c r="W38" s="95"/>
      <c r="X38" s="96"/>
      <c r="Y38" s="41"/>
    </row>
    <row r="39" spans="1:25" ht="30" customHeight="1">
      <c r="A39" s="72"/>
      <c r="B39" s="72"/>
      <c r="C39" s="72"/>
      <c r="D39" s="75"/>
      <c r="E39" s="75"/>
      <c r="F39" s="75"/>
      <c r="G39" s="72"/>
      <c r="H39" s="72"/>
      <c r="I39" s="73"/>
      <c r="J39" s="73"/>
      <c r="K39" s="73"/>
      <c r="L39" s="74"/>
      <c r="M39" s="75"/>
      <c r="N39" s="75"/>
      <c r="O39" s="75"/>
      <c r="P39" s="11">
        <f>SUBTOTAL(9,P3:P38)</f>
        <v>208590</v>
      </c>
      <c r="Q39" s="76"/>
      <c r="R39" s="77"/>
      <c r="S39" s="76"/>
      <c r="T39" s="76"/>
      <c r="U39" s="77"/>
      <c r="V39" s="66">
        <f>SUBTOTAL(9,V3:V38)</f>
        <v>-72700000</v>
      </c>
      <c r="W39" s="74"/>
      <c r="X39" s="74"/>
    </row>
    <row r="40" spans="1:25" ht="21.95" customHeight="1">
      <c r="A40" s="4"/>
      <c r="B40" s="4"/>
      <c r="C40" s="4"/>
      <c r="D40" s="7"/>
      <c r="E40" s="7"/>
      <c r="F40" s="7"/>
      <c r="G40" s="4"/>
      <c r="H40" s="4"/>
      <c r="I40" s="5"/>
      <c r="J40" s="5"/>
      <c r="K40" s="5"/>
      <c r="L40" s="5"/>
      <c r="M40" s="7"/>
      <c r="N40" s="7"/>
      <c r="O40" s="7"/>
      <c r="P40" s="7"/>
      <c r="Q40" s="7"/>
      <c r="R40" s="6"/>
      <c r="S40" s="6"/>
      <c r="T40" s="6"/>
      <c r="U40" s="5"/>
      <c r="V40" s="5"/>
      <c r="W40" s="5"/>
      <c r="X40" s="5"/>
    </row>
    <row r="41" spans="1:25" ht="21.95" customHeight="1">
      <c r="A41" s="4"/>
      <c r="B41" s="4"/>
      <c r="C41" s="4"/>
      <c r="D41" s="7"/>
      <c r="E41" s="7"/>
      <c r="F41" s="7"/>
      <c r="G41" s="4"/>
      <c r="H41" s="4"/>
      <c r="I41" s="5"/>
      <c r="J41" s="5"/>
      <c r="K41" s="5"/>
      <c r="L41" s="5"/>
      <c r="M41" s="7"/>
      <c r="N41" s="7"/>
      <c r="O41" s="7"/>
      <c r="P41" s="7"/>
      <c r="Q41" s="7"/>
      <c r="R41" s="5"/>
      <c r="S41" s="5"/>
      <c r="T41" s="5"/>
      <c r="U41" s="5"/>
      <c r="V41" s="5"/>
      <c r="W41" s="5"/>
      <c r="X41" s="5"/>
    </row>
    <row r="42" spans="1:25" ht="21.95" customHeight="1">
      <c r="A42" s="4"/>
      <c r="B42" s="4"/>
      <c r="C42" s="4"/>
      <c r="D42" s="7"/>
      <c r="E42" s="7"/>
      <c r="F42" s="7"/>
      <c r="G42" s="4"/>
      <c r="H42" s="4"/>
      <c r="I42" s="5"/>
      <c r="J42" s="5"/>
      <c r="K42" s="5"/>
      <c r="L42" s="5"/>
      <c r="M42" s="7"/>
      <c r="N42" s="7"/>
      <c r="O42" s="7"/>
      <c r="P42" s="7"/>
      <c r="Q42" s="7"/>
      <c r="R42" s="5"/>
      <c r="S42" s="5"/>
      <c r="T42" s="5"/>
      <c r="U42" s="5"/>
      <c r="V42" s="5"/>
      <c r="W42" s="5"/>
      <c r="X42" s="5"/>
    </row>
    <row r="43" spans="1:25" ht="21.95" customHeight="1">
      <c r="A43" s="4"/>
      <c r="B43" s="4"/>
      <c r="C43" s="4"/>
      <c r="D43" s="7"/>
      <c r="E43" s="7"/>
      <c r="F43" s="7"/>
      <c r="G43" s="4"/>
      <c r="H43" s="4"/>
      <c r="I43" s="5"/>
      <c r="J43" s="5"/>
      <c r="K43" s="5"/>
      <c r="L43" s="5"/>
      <c r="M43" s="7"/>
      <c r="N43" s="7"/>
      <c r="O43" s="7"/>
      <c r="P43" s="7"/>
      <c r="Q43" s="7"/>
      <c r="R43" s="7"/>
      <c r="S43" s="5"/>
      <c r="T43" s="5"/>
      <c r="U43" s="7"/>
      <c r="V43" s="7"/>
      <c r="W43" s="5"/>
      <c r="X43" s="5"/>
    </row>
    <row r="44" spans="1:25" ht="21.95" customHeight="1">
      <c r="A44" s="4"/>
      <c r="B44" s="4"/>
      <c r="C44" s="4"/>
      <c r="D44" s="7"/>
      <c r="E44" s="7"/>
      <c r="F44" s="7"/>
      <c r="G44" s="4"/>
      <c r="H44" s="4"/>
      <c r="I44" s="5"/>
      <c r="J44" s="5"/>
      <c r="K44" s="5"/>
      <c r="L44" s="5"/>
      <c r="M44" s="7"/>
      <c r="N44" s="7"/>
      <c r="O44" s="7"/>
      <c r="P44" s="7"/>
      <c r="Q44" s="7"/>
      <c r="R44" s="7"/>
      <c r="S44" s="5"/>
      <c r="T44" s="5"/>
      <c r="U44" s="5"/>
      <c r="V44" s="5"/>
      <c r="W44" s="5"/>
      <c r="X44" s="5"/>
    </row>
    <row r="45" spans="1:25" ht="21.95" customHeight="1">
      <c r="A45" s="4"/>
      <c r="B45" s="4"/>
      <c r="C45" s="4"/>
      <c r="D45" s="7"/>
      <c r="E45" s="7"/>
      <c r="F45" s="7"/>
      <c r="G45" s="4"/>
      <c r="H45" s="4"/>
      <c r="I45" s="5"/>
      <c r="J45" s="5"/>
      <c r="K45" s="5"/>
      <c r="L45" s="5"/>
      <c r="M45" s="7"/>
      <c r="N45" s="7"/>
      <c r="O45" s="7"/>
      <c r="P45" s="7"/>
      <c r="Q45" s="7"/>
      <c r="R45" s="5"/>
      <c r="S45" s="5"/>
      <c r="T45" s="5"/>
      <c r="U45" s="5"/>
      <c r="V45" s="5"/>
      <c r="W45" s="5"/>
      <c r="X45" s="5"/>
    </row>
    <row r="46" spans="1:25" ht="21.95" customHeight="1">
      <c r="A46" s="4"/>
      <c r="B46" s="4"/>
      <c r="C46" s="4"/>
      <c r="D46" s="7"/>
      <c r="E46" s="7"/>
      <c r="F46" s="7"/>
      <c r="G46" s="4"/>
      <c r="H46" s="4"/>
      <c r="I46" s="5"/>
      <c r="J46" s="5"/>
      <c r="K46" s="5"/>
      <c r="L46" s="5"/>
      <c r="M46" s="7"/>
      <c r="N46" s="7"/>
      <c r="O46" s="7"/>
      <c r="P46" s="7"/>
      <c r="Q46" s="7"/>
      <c r="R46" s="5"/>
      <c r="S46" s="5"/>
      <c r="T46" s="5"/>
      <c r="U46" s="5"/>
      <c r="V46" s="7"/>
      <c r="W46" s="5"/>
      <c r="X46" s="5"/>
    </row>
    <row r="47" spans="1:25" ht="21.95" customHeight="1">
      <c r="A47" s="4"/>
      <c r="B47" s="4"/>
      <c r="C47" s="4"/>
      <c r="D47" s="7"/>
      <c r="E47" s="7"/>
      <c r="F47" s="7"/>
      <c r="G47" s="4"/>
      <c r="H47" s="4"/>
      <c r="I47" s="5"/>
      <c r="J47" s="5"/>
      <c r="K47" s="5"/>
      <c r="L47" s="5"/>
      <c r="M47" s="7"/>
      <c r="N47" s="7"/>
      <c r="O47" s="7"/>
      <c r="P47" s="7"/>
      <c r="Q47" s="7"/>
      <c r="R47" s="5"/>
      <c r="S47" s="5"/>
      <c r="T47" s="5"/>
      <c r="U47" s="5"/>
      <c r="V47" s="5"/>
      <c r="W47" s="5"/>
      <c r="X47" s="5"/>
    </row>
    <row r="48" spans="1:25" ht="21.95" customHeight="1">
      <c r="A48" s="4"/>
      <c r="B48" s="4"/>
      <c r="C48" s="4"/>
      <c r="D48" s="7"/>
      <c r="E48" s="7"/>
      <c r="F48" s="7"/>
      <c r="G48" s="4"/>
      <c r="H48" s="4"/>
      <c r="I48" s="5"/>
      <c r="J48" s="5"/>
      <c r="K48" s="5"/>
      <c r="L48" s="5"/>
      <c r="M48" s="7"/>
      <c r="N48" s="7"/>
      <c r="O48" s="7"/>
      <c r="P48" s="7"/>
      <c r="Q48" s="7"/>
      <c r="R48" s="5"/>
      <c r="S48" s="5"/>
      <c r="T48" s="5"/>
      <c r="U48" s="5"/>
      <c r="V48" s="5"/>
      <c r="W48" s="5"/>
      <c r="X48" s="5"/>
    </row>
    <row r="49" spans="1:24" ht="21.95" customHeight="1">
      <c r="A49" s="4"/>
      <c r="B49" s="4"/>
      <c r="C49" s="4"/>
      <c r="D49" s="7"/>
      <c r="E49" s="7"/>
      <c r="F49" s="7"/>
      <c r="G49" s="4"/>
      <c r="H49" s="4"/>
      <c r="I49" s="5"/>
      <c r="J49" s="5"/>
      <c r="K49" s="5"/>
      <c r="L49" s="5"/>
      <c r="M49" s="7"/>
      <c r="N49" s="7"/>
      <c r="O49" s="7"/>
      <c r="P49" s="7"/>
      <c r="Q49" s="7"/>
      <c r="R49" s="5"/>
      <c r="S49" s="5"/>
      <c r="T49" s="5"/>
      <c r="U49" s="5"/>
      <c r="V49" s="5"/>
      <c r="W49" s="5"/>
      <c r="X49" s="5"/>
    </row>
    <row r="50" spans="1:24" ht="21.95" customHeight="1">
      <c r="A50" s="4"/>
      <c r="B50" s="4"/>
      <c r="C50" s="4"/>
      <c r="D50" s="7"/>
      <c r="E50" s="7"/>
      <c r="F50" s="7"/>
      <c r="G50" s="4"/>
      <c r="H50" s="4"/>
      <c r="I50" s="5"/>
      <c r="J50" s="5"/>
      <c r="K50" s="5"/>
      <c r="L50" s="5"/>
      <c r="M50" s="7"/>
      <c r="N50" s="7"/>
      <c r="O50" s="7"/>
      <c r="P50" s="7"/>
      <c r="Q50" s="7"/>
      <c r="R50" s="5"/>
      <c r="S50" s="5"/>
      <c r="T50" s="5"/>
      <c r="U50" s="5"/>
      <c r="V50" s="5"/>
      <c r="W50" s="5"/>
      <c r="X50" s="5"/>
    </row>
    <row r="51" spans="1:24" ht="21.95" customHeight="1">
      <c r="A51" s="4"/>
      <c r="B51" s="4"/>
      <c r="C51" s="4"/>
      <c r="D51" s="7"/>
      <c r="E51" s="7"/>
      <c r="F51" s="7"/>
      <c r="G51" s="4"/>
      <c r="H51" s="4"/>
      <c r="I51" s="5"/>
      <c r="J51" s="5"/>
      <c r="K51" s="5"/>
      <c r="L51" s="5"/>
      <c r="M51" s="7"/>
      <c r="N51" s="7"/>
      <c r="O51" s="7"/>
      <c r="P51" s="7"/>
      <c r="Q51" s="7"/>
      <c r="R51" s="5"/>
      <c r="S51" s="5"/>
      <c r="T51" s="5"/>
      <c r="U51" s="5"/>
      <c r="V51" s="5"/>
      <c r="W51" s="5"/>
      <c r="X51" s="5"/>
    </row>
    <row r="52" spans="1:24" ht="21.95" customHeight="1">
      <c r="A52" s="4"/>
      <c r="B52" s="4"/>
      <c r="C52" s="4"/>
      <c r="D52" s="7"/>
      <c r="E52" s="7"/>
      <c r="F52" s="7"/>
      <c r="G52" s="4"/>
      <c r="H52" s="4"/>
      <c r="I52" s="5"/>
      <c r="J52" s="5"/>
      <c r="K52" s="5"/>
      <c r="L52" s="5"/>
      <c r="M52" s="7"/>
      <c r="N52" s="7"/>
      <c r="O52" s="7"/>
      <c r="P52" s="7"/>
      <c r="Q52" s="7"/>
      <c r="R52" s="5"/>
      <c r="S52" s="5"/>
      <c r="T52" s="5"/>
      <c r="U52" s="5"/>
      <c r="V52" s="5"/>
      <c r="W52" s="5"/>
      <c r="X52" s="5"/>
    </row>
    <row r="53" spans="1:24" ht="21.95" customHeight="1">
      <c r="A53" s="4"/>
      <c r="B53" s="4"/>
      <c r="C53" s="4"/>
      <c r="D53" s="7"/>
      <c r="E53" s="7"/>
      <c r="F53" s="7"/>
      <c r="G53" s="4"/>
      <c r="H53" s="4"/>
      <c r="I53" s="5"/>
      <c r="J53" s="5"/>
      <c r="K53" s="5"/>
      <c r="L53" s="5"/>
      <c r="M53" s="7"/>
      <c r="N53" s="7"/>
      <c r="O53" s="7"/>
      <c r="P53" s="7"/>
      <c r="Q53" s="7"/>
      <c r="R53" s="5"/>
      <c r="S53" s="5"/>
      <c r="T53" s="5"/>
      <c r="U53" s="5"/>
      <c r="V53" s="5"/>
      <c r="W53" s="5"/>
      <c r="X53" s="5"/>
    </row>
    <row r="54" spans="1:24" ht="21.95" customHeight="1">
      <c r="A54" s="4"/>
      <c r="B54" s="4"/>
      <c r="C54" s="4"/>
      <c r="D54" s="7"/>
      <c r="E54" s="7"/>
      <c r="F54" s="7"/>
      <c r="G54" s="4"/>
      <c r="H54" s="4"/>
      <c r="I54" s="5"/>
      <c r="J54" s="5"/>
      <c r="K54" s="5"/>
      <c r="L54" s="5"/>
      <c r="M54" s="7"/>
      <c r="N54" s="7"/>
      <c r="O54" s="7"/>
      <c r="P54" s="7"/>
      <c r="Q54" s="7"/>
      <c r="R54" s="5"/>
      <c r="S54" s="5"/>
      <c r="T54" s="5"/>
      <c r="U54" s="5"/>
      <c r="V54" s="5"/>
      <c r="W54" s="5"/>
      <c r="X54" s="5"/>
    </row>
    <row r="55" spans="1:24" ht="21.95" customHeight="1">
      <c r="A55" s="4"/>
      <c r="B55" s="4"/>
      <c r="C55" s="4"/>
      <c r="D55" s="7"/>
      <c r="E55" s="7"/>
      <c r="F55" s="7"/>
      <c r="G55" s="4"/>
      <c r="H55" s="4"/>
      <c r="I55" s="5"/>
      <c r="J55" s="5"/>
      <c r="K55" s="5"/>
      <c r="L55" s="5"/>
      <c r="M55" s="7"/>
      <c r="N55" s="7"/>
      <c r="O55" s="7"/>
      <c r="P55" s="7"/>
      <c r="Q55" s="7"/>
      <c r="R55" s="5"/>
      <c r="S55" s="5"/>
      <c r="T55" s="5"/>
      <c r="U55" s="5"/>
      <c r="V55" s="5"/>
      <c r="W55" s="5"/>
      <c r="X55" s="5"/>
    </row>
    <row r="56" spans="1:24" ht="21.95" customHeight="1">
      <c r="A56" s="4"/>
      <c r="B56" s="4"/>
      <c r="C56" s="4"/>
      <c r="D56" s="7"/>
      <c r="E56" s="7"/>
      <c r="F56" s="7"/>
      <c r="G56" s="4"/>
      <c r="H56" s="4"/>
      <c r="I56" s="5"/>
      <c r="J56" s="5"/>
      <c r="K56" s="5"/>
      <c r="L56" s="5"/>
      <c r="M56" s="7"/>
      <c r="N56" s="7"/>
      <c r="O56" s="7"/>
      <c r="P56" s="7"/>
      <c r="Q56" s="7"/>
      <c r="R56" s="5"/>
      <c r="S56" s="5"/>
      <c r="T56" s="5"/>
      <c r="U56" s="5"/>
      <c r="V56" s="5"/>
      <c r="W56" s="5"/>
      <c r="X56" s="5"/>
    </row>
    <row r="57" spans="1:24" ht="21.95" customHeight="1">
      <c r="A57" s="4"/>
      <c r="B57" s="4"/>
      <c r="C57" s="4"/>
      <c r="D57" s="7"/>
      <c r="E57" s="7"/>
      <c r="F57" s="7"/>
      <c r="G57" s="4"/>
      <c r="H57" s="4"/>
      <c r="I57" s="5"/>
      <c r="J57" s="5"/>
      <c r="K57" s="5"/>
      <c r="L57" s="5"/>
      <c r="M57" s="7"/>
      <c r="N57" s="7"/>
      <c r="O57" s="7"/>
      <c r="P57" s="7"/>
      <c r="Q57" s="7"/>
      <c r="R57" s="5"/>
      <c r="S57" s="5"/>
      <c r="T57" s="5"/>
      <c r="U57" s="5"/>
      <c r="V57" s="5"/>
      <c r="W57" s="5"/>
      <c r="X57" s="5"/>
    </row>
    <row r="58" spans="1:24" ht="21.95" customHeight="1">
      <c r="A58" s="4"/>
      <c r="B58" s="4"/>
      <c r="C58" s="4"/>
      <c r="D58" s="7"/>
      <c r="E58" s="7"/>
      <c r="F58" s="7"/>
      <c r="G58" s="4"/>
      <c r="H58" s="4"/>
      <c r="I58" s="5"/>
      <c r="J58" s="5"/>
      <c r="K58" s="5"/>
      <c r="L58" s="5"/>
      <c r="M58" s="7"/>
      <c r="N58" s="7"/>
      <c r="O58" s="7"/>
      <c r="P58" s="7"/>
      <c r="Q58" s="7"/>
      <c r="R58" s="5"/>
      <c r="S58" s="5"/>
      <c r="T58" s="5"/>
      <c r="U58" s="5"/>
      <c r="V58" s="5"/>
      <c r="W58" s="5"/>
      <c r="X58" s="5"/>
    </row>
    <row r="59" spans="1:24" ht="21.95" customHeight="1">
      <c r="A59" s="4"/>
      <c r="B59" s="4"/>
      <c r="C59" s="4"/>
      <c r="D59" s="7"/>
      <c r="E59" s="7"/>
      <c r="F59" s="7"/>
      <c r="G59" s="4"/>
      <c r="H59" s="4"/>
      <c r="I59" s="5"/>
      <c r="J59" s="5"/>
      <c r="K59" s="5"/>
      <c r="L59" s="5"/>
      <c r="M59" s="7"/>
      <c r="N59" s="7"/>
      <c r="O59" s="7"/>
      <c r="P59" s="7"/>
      <c r="Q59" s="7"/>
      <c r="R59" s="5"/>
      <c r="S59" s="5"/>
      <c r="T59" s="5"/>
      <c r="U59" s="5"/>
      <c r="V59" s="5"/>
      <c r="W59" s="5"/>
      <c r="X59" s="5"/>
    </row>
    <row r="60" spans="1:24" ht="21.95" customHeight="1">
      <c r="A60" s="4"/>
      <c r="B60" s="4"/>
      <c r="C60" s="4"/>
      <c r="D60" s="7"/>
      <c r="E60" s="7"/>
      <c r="F60" s="7"/>
      <c r="G60" s="4"/>
      <c r="H60" s="4"/>
      <c r="I60" s="5"/>
      <c r="J60" s="5"/>
      <c r="K60" s="5"/>
      <c r="L60" s="5"/>
      <c r="M60" s="7"/>
      <c r="N60" s="7"/>
      <c r="O60" s="7"/>
      <c r="P60" s="7"/>
      <c r="Q60" s="7"/>
      <c r="R60" s="5"/>
      <c r="S60" s="5"/>
      <c r="T60" s="5"/>
      <c r="U60" s="5"/>
      <c r="V60" s="5"/>
      <c r="W60" s="5"/>
      <c r="X60" s="5"/>
    </row>
    <row r="61" spans="1:24" ht="21.95" customHeight="1">
      <c r="A61" s="4"/>
      <c r="B61" s="4"/>
      <c r="C61" s="4"/>
      <c r="D61" s="7"/>
      <c r="E61" s="7"/>
      <c r="F61" s="7"/>
      <c r="G61" s="4"/>
      <c r="H61" s="4"/>
      <c r="I61" s="5"/>
      <c r="J61" s="5"/>
      <c r="K61" s="5"/>
      <c r="L61" s="5"/>
      <c r="M61" s="7"/>
      <c r="N61" s="7"/>
      <c r="O61" s="7"/>
      <c r="P61" s="7"/>
      <c r="Q61" s="7"/>
      <c r="R61" s="5"/>
      <c r="S61" s="5"/>
      <c r="T61" s="5"/>
      <c r="U61" s="5"/>
      <c r="V61" s="5"/>
      <c r="W61" s="5"/>
      <c r="X61" s="5"/>
    </row>
    <row r="62" spans="1:24" ht="21.95" customHeight="1">
      <c r="A62" s="4"/>
      <c r="B62" s="4"/>
      <c r="C62" s="4"/>
      <c r="D62" s="7"/>
      <c r="E62" s="7"/>
      <c r="F62" s="7"/>
      <c r="G62" s="4"/>
      <c r="H62" s="4"/>
      <c r="I62" s="5"/>
      <c r="J62" s="5"/>
      <c r="K62" s="5"/>
      <c r="L62" s="5"/>
      <c r="M62" s="7"/>
      <c r="N62" s="7"/>
      <c r="O62" s="7"/>
      <c r="P62" s="7"/>
      <c r="Q62" s="7"/>
      <c r="R62" s="5"/>
      <c r="S62" s="5"/>
      <c r="T62" s="5"/>
      <c r="U62" s="5"/>
      <c r="V62" s="5"/>
      <c r="W62" s="5"/>
      <c r="X62" s="5"/>
    </row>
    <row r="63" spans="1:24" ht="21.95" customHeight="1">
      <c r="A63" s="4"/>
      <c r="B63" s="4"/>
      <c r="C63" s="4"/>
      <c r="D63" s="81"/>
      <c r="E63" s="81"/>
      <c r="F63" s="81"/>
      <c r="G63" s="4"/>
      <c r="H63" s="4"/>
      <c r="I63" s="5"/>
      <c r="J63" s="5"/>
      <c r="K63" s="5"/>
      <c r="L63" s="5"/>
      <c r="M63" s="7"/>
      <c r="N63" s="7"/>
      <c r="O63" s="7"/>
      <c r="P63" s="7"/>
      <c r="Q63" s="7"/>
      <c r="R63" s="5"/>
      <c r="S63" s="5"/>
      <c r="T63" s="5"/>
      <c r="U63" s="5"/>
      <c r="V63" s="5"/>
      <c r="W63" s="5"/>
      <c r="X63" s="5"/>
    </row>
    <row r="64" spans="1:24" ht="21.95" customHeight="1">
      <c r="A64" s="4"/>
      <c r="B64" s="4"/>
      <c r="C64" s="4"/>
      <c r="D64" s="7"/>
      <c r="E64" s="7"/>
      <c r="F64" s="7"/>
      <c r="G64" s="4"/>
      <c r="H64" s="4"/>
      <c r="I64" s="5"/>
      <c r="J64" s="5"/>
      <c r="K64" s="5"/>
      <c r="L64" s="5"/>
      <c r="M64" s="7"/>
      <c r="N64" s="7"/>
      <c r="O64" s="7"/>
      <c r="P64" s="7"/>
      <c r="Q64" s="7"/>
      <c r="R64" s="5"/>
      <c r="S64" s="5"/>
      <c r="T64" s="5"/>
      <c r="U64" s="5"/>
      <c r="V64" s="5"/>
      <c r="W64" s="5"/>
      <c r="X64" s="5"/>
    </row>
    <row r="65" spans="1:24" ht="21.95" customHeight="1">
      <c r="A65" s="4"/>
      <c r="B65" s="4"/>
      <c r="C65" s="4"/>
      <c r="D65" s="7"/>
      <c r="E65" s="7"/>
      <c r="F65" s="7"/>
      <c r="G65" s="4"/>
      <c r="H65" s="4"/>
      <c r="I65" s="5"/>
      <c r="J65" s="5"/>
      <c r="K65" s="5"/>
      <c r="L65" s="5"/>
      <c r="M65" s="7"/>
      <c r="N65" s="7"/>
      <c r="O65" s="7"/>
      <c r="P65" s="7"/>
      <c r="Q65" s="7"/>
      <c r="R65" s="5"/>
      <c r="S65" s="5"/>
      <c r="T65" s="5"/>
      <c r="U65" s="5"/>
      <c r="V65" s="5"/>
      <c r="W65" s="5"/>
      <c r="X65" s="5"/>
    </row>
    <row r="66" spans="1:24" ht="21.95" customHeight="1">
      <c r="A66" s="4"/>
      <c r="B66" s="4"/>
      <c r="C66" s="4"/>
      <c r="D66" s="7"/>
      <c r="E66" s="7"/>
      <c r="F66" s="7"/>
      <c r="G66" s="4"/>
      <c r="H66" s="4"/>
      <c r="I66" s="5"/>
      <c r="J66" s="5"/>
      <c r="K66" s="5"/>
      <c r="L66" s="5"/>
      <c r="M66" s="7"/>
      <c r="N66" s="7"/>
      <c r="O66" s="7"/>
      <c r="P66" s="7"/>
      <c r="Q66" s="7"/>
      <c r="R66" s="5"/>
      <c r="S66" s="5"/>
      <c r="T66" s="5"/>
      <c r="U66" s="5"/>
      <c r="V66" s="5"/>
      <c r="W66" s="5"/>
      <c r="X66" s="5"/>
    </row>
    <row r="67" spans="1:24" ht="21.95" customHeight="1">
      <c r="A67" s="4"/>
      <c r="B67" s="4"/>
      <c r="C67" s="4"/>
      <c r="D67" s="7"/>
      <c r="E67" s="7"/>
      <c r="F67" s="7"/>
      <c r="G67" s="4"/>
      <c r="H67" s="4"/>
      <c r="I67" s="5"/>
      <c r="J67" s="5"/>
      <c r="K67" s="5"/>
      <c r="L67" s="5"/>
      <c r="M67" s="7"/>
      <c r="N67" s="7"/>
      <c r="O67" s="7"/>
      <c r="P67" s="7"/>
      <c r="Q67" s="7"/>
      <c r="R67" s="5"/>
      <c r="S67" s="5"/>
      <c r="T67" s="5"/>
      <c r="U67" s="5"/>
      <c r="V67" s="5"/>
      <c r="W67" s="5"/>
      <c r="X67" s="5"/>
    </row>
    <row r="68" spans="1:24">
      <c r="A68" s="4"/>
      <c r="B68" s="4"/>
      <c r="C68" s="4"/>
      <c r="D68" s="7"/>
      <c r="E68" s="7"/>
      <c r="F68" s="7"/>
      <c r="G68" s="4"/>
      <c r="H68" s="4"/>
      <c r="I68" s="5"/>
      <c r="J68" s="5"/>
      <c r="K68" s="5"/>
      <c r="L68" s="5"/>
      <c r="M68" s="7"/>
      <c r="N68" s="7"/>
      <c r="O68" s="7"/>
      <c r="P68" s="7"/>
      <c r="Q68" s="7"/>
      <c r="R68" s="5"/>
      <c r="S68" s="5"/>
      <c r="T68" s="5"/>
      <c r="U68" s="5"/>
      <c r="V68" s="5"/>
      <c r="W68" s="5"/>
      <c r="X68" s="5"/>
    </row>
    <row r="69" spans="1:24">
      <c r="A69" s="4"/>
      <c r="B69" s="4"/>
      <c r="C69" s="4"/>
      <c r="D69" s="7"/>
      <c r="E69" s="7"/>
      <c r="F69" s="7"/>
      <c r="G69" s="4"/>
      <c r="H69" s="4"/>
      <c r="I69" s="5"/>
      <c r="J69" s="5"/>
      <c r="K69" s="5"/>
      <c r="L69" s="5"/>
      <c r="M69" s="7"/>
      <c r="N69" s="7"/>
      <c r="O69" s="7"/>
      <c r="P69" s="7"/>
      <c r="Q69" s="7"/>
      <c r="R69" s="5"/>
      <c r="S69" s="5"/>
      <c r="T69" s="5"/>
      <c r="U69" s="5"/>
      <c r="V69" s="5"/>
      <c r="W69" s="5"/>
      <c r="X69" s="5"/>
    </row>
    <row r="70" spans="1:24">
      <c r="A70" s="4"/>
      <c r="B70" s="4"/>
      <c r="C70" s="4"/>
      <c r="D70" s="7"/>
      <c r="E70" s="7"/>
      <c r="F70" s="7"/>
      <c r="G70" s="4"/>
      <c r="H70" s="4"/>
      <c r="I70" s="5"/>
      <c r="J70" s="5"/>
      <c r="K70" s="5"/>
      <c r="L70" s="5"/>
      <c r="M70" s="7"/>
      <c r="N70" s="7"/>
      <c r="O70" s="7"/>
      <c r="P70" s="7"/>
      <c r="Q70" s="7"/>
      <c r="R70" s="5"/>
      <c r="S70" s="5"/>
      <c r="T70" s="5"/>
      <c r="U70" s="5"/>
      <c r="V70" s="5"/>
      <c r="W70" s="5"/>
      <c r="X70" s="5"/>
    </row>
    <row r="71" spans="1:24">
      <c r="A71" s="4"/>
      <c r="B71" s="4"/>
      <c r="C71" s="4"/>
      <c r="D71" s="7"/>
      <c r="E71" s="7"/>
      <c r="F71" s="7"/>
      <c r="G71" s="4"/>
      <c r="H71" s="4"/>
      <c r="I71" s="5"/>
      <c r="J71" s="5"/>
      <c r="K71" s="5"/>
      <c r="L71" s="5"/>
      <c r="M71" s="7"/>
      <c r="N71" s="7"/>
      <c r="O71" s="7"/>
      <c r="P71" s="7"/>
      <c r="Q71" s="7"/>
      <c r="R71" s="5"/>
      <c r="S71" s="5"/>
      <c r="T71" s="5"/>
      <c r="U71" s="5"/>
      <c r="V71" s="5"/>
      <c r="W71" s="5"/>
      <c r="X71" s="5"/>
    </row>
    <row r="72" spans="1:24">
      <c r="A72" s="4"/>
      <c r="B72" s="4"/>
      <c r="C72" s="4"/>
      <c r="D72" s="7"/>
      <c r="E72" s="7"/>
      <c r="F72" s="7"/>
      <c r="G72" s="4"/>
      <c r="H72" s="4"/>
      <c r="I72" s="5"/>
      <c r="J72" s="5"/>
      <c r="K72" s="5"/>
      <c r="L72" s="5"/>
      <c r="M72" s="7"/>
      <c r="N72" s="7"/>
      <c r="O72" s="7"/>
      <c r="P72" s="7"/>
      <c r="Q72" s="7"/>
      <c r="R72" s="5"/>
      <c r="S72" s="5"/>
      <c r="T72" s="5"/>
      <c r="U72" s="5"/>
      <c r="V72" s="5"/>
      <c r="W72" s="5"/>
      <c r="X72" s="5"/>
    </row>
    <row r="73" spans="1:24">
      <c r="A73" s="4"/>
      <c r="B73" s="4"/>
      <c r="C73" s="4"/>
      <c r="D73" s="7"/>
      <c r="E73" s="7"/>
      <c r="F73" s="7"/>
      <c r="G73" s="4"/>
      <c r="H73" s="4"/>
      <c r="I73" s="5"/>
      <c r="J73" s="5"/>
      <c r="K73" s="5"/>
      <c r="L73" s="5"/>
      <c r="M73" s="7"/>
      <c r="N73" s="7"/>
      <c r="O73" s="7"/>
      <c r="P73" s="7"/>
      <c r="Q73" s="7"/>
      <c r="R73" s="5"/>
      <c r="S73" s="5"/>
      <c r="T73" s="5"/>
      <c r="U73" s="5"/>
      <c r="V73" s="5"/>
      <c r="W73" s="5"/>
      <c r="X73" s="5"/>
    </row>
    <row r="74" spans="1:24">
      <c r="A74" s="4"/>
      <c r="B74" s="4"/>
      <c r="C74" s="4"/>
      <c r="D74" s="7"/>
      <c r="E74" s="7"/>
      <c r="F74" s="7"/>
      <c r="G74" s="4"/>
      <c r="H74" s="4"/>
      <c r="I74" s="5"/>
      <c r="J74" s="5"/>
      <c r="K74" s="5"/>
      <c r="L74" s="5"/>
      <c r="M74" s="7"/>
      <c r="N74" s="7"/>
      <c r="O74" s="7"/>
      <c r="P74" s="7"/>
      <c r="Q74" s="7"/>
      <c r="R74" s="5"/>
      <c r="S74" s="5"/>
      <c r="T74" s="5"/>
      <c r="U74" s="5"/>
      <c r="V74" s="5"/>
      <c r="W74" s="5"/>
      <c r="X74" s="5"/>
    </row>
    <row r="75" spans="1:24">
      <c r="A75" s="4"/>
      <c r="B75" s="4"/>
      <c r="C75" s="4"/>
      <c r="D75" s="7"/>
      <c r="E75" s="7"/>
      <c r="F75" s="7"/>
      <c r="G75" s="4"/>
      <c r="H75" s="4"/>
      <c r="I75" s="5"/>
      <c r="J75" s="5"/>
      <c r="K75" s="5"/>
      <c r="L75" s="5"/>
      <c r="M75" s="7"/>
      <c r="N75" s="7"/>
      <c r="O75" s="7"/>
      <c r="P75" s="7"/>
      <c r="Q75" s="7"/>
      <c r="R75" s="5"/>
      <c r="S75" s="5"/>
      <c r="T75" s="5"/>
      <c r="U75" s="5"/>
      <c r="V75" s="5"/>
      <c r="W75" s="5"/>
      <c r="X75" s="5"/>
    </row>
    <row r="76" spans="1:24">
      <c r="A76" s="4"/>
      <c r="B76" s="4"/>
      <c r="C76" s="4"/>
      <c r="D76" s="7"/>
      <c r="E76" s="7"/>
      <c r="F76" s="7"/>
      <c r="G76" s="4"/>
      <c r="H76" s="4"/>
      <c r="I76" s="5"/>
      <c r="J76" s="5"/>
      <c r="K76" s="5"/>
      <c r="L76" s="5"/>
      <c r="M76" s="7"/>
      <c r="N76" s="7"/>
      <c r="O76" s="7"/>
      <c r="P76" s="7"/>
      <c r="Q76" s="7"/>
      <c r="R76" s="5"/>
      <c r="S76" s="5"/>
      <c r="T76" s="5"/>
      <c r="U76" s="5"/>
      <c r="V76" s="5"/>
      <c r="W76" s="5"/>
      <c r="X76" s="5"/>
    </row>
    <row r="77" spans="1:24">
      <c r="A77" s="4"/>
      <c r="B77" s="4"/>
      <c r="C77" s="4"/>
      <c r="D77" s="7"/>
      <c r="E77" s="7"/>
      <c r="F77" s="7"/>
      <c r="G77" s="4"/>
      <c r="H77" s="4"/>
      <c r="I77" s="5"/>
      <c r="J77" s="5"/>
      <c r="K77" s="5"/>
      <c r="L77" s="5"/>
      <c r="M77" s="7"/>
      <c r="N77" s="7"/>
      <c r="O77" s="7"/>
      <c r="P77" s="7"/>
      <c r="Q77" s="7"/>
      <c r="R77" s="5"/>
      <c r="S77" s="5"/>
      <c r="T77" s="5"/>
      <c r="U77" s="5"/>
      <c r="V77" s="5"/>
      <c r="W77" s="5"/>
      <c r="X77" s="5"/>
    </row>
    <row r="78" spans="1:24">
      <c r="A78" s="4"/>
      <c r="B78" s="4"/>
      <c r="C78" s="4"/>
      <c r="D78" s="7"/>
      <c r="E78" s="7"/>
      <c r="F78" s="7"/>
      <c r="G78" s="4"/>
      <c r="H78" s="4"/>
      <c r="I78" s="5"/>
      <c r="J78" s="5"/>
      <c r="K78" s="5"/>
      <c r="L78" s="5"/>
      <c r="M78" s="7"/>
      <c r="N78" s="7"/>
      <c r="O78" s="7"/>
      <c r="P78" s="7"/>
      <c r="Q78" s="7"/>
      <c r="R78" s="5"/>
      <c r="S78" s="5"/>
      <c r="T78" s="5"/>
      <c r="U78" s="5"/>
      <c r="V78" s="5"/>
      <c r="W78" s="5"/>
      <c r="X78" s="5"/>
    </row>
    <row r="79" spans="1:24">
      <c r="A79" s="4"/>
      <c r="B79" s="4"/>
      <c r="C79" s="4"/>
      <c r="D79" s="7"/>
      <c r="E79" s="7"/>
      <c r="F79" s="7"/>
      <c r="G79" s="4"/>
      <c r="H79" s="4"/>
      <c r="I79" s="5"/>
      <c r="J79" s="5"/>
      <c r="K79" s="5"/>
      <c r="L79" s="5"/>
      <c r="M79" s="7"/>
      <c r="N79" s="7"/>
      <c r="O79" s="7"/>
      <c r="P79" s="7"/>
      <c r="Q79" s="7"/>
      <c r="R79" s="5"/>
      <c r="S79" s="5"/>
      <c r="T79" s="5"/>
      <c r="U79" s="5"/>
      <c r="V79" s="5"/>
      <c r="W79" s="5"/>
      <c r="X79" s="5"/>
    </row>
    <row r="80" spans="1:24">
      <c r="A80" s="4"/>
      <c r="B80" s="4"/>
      <c r="C80" s="4"/>
      <c r="D80" s="7"/>
      <c r="E80" s="7"/>
      <c r="F80" s="7"/>
      <c r="G80" s="4"/>
      <c r="H80" s="4"/>
      <c r="I80" s="5"/>
      <c r="J80" s="5"/>
      <c r="K80" s="5"/>
      <c r="L80" s="5"/>
      <c r="M80" s="7"/>
      <c r="N80" s="7"/>
      <c r="O80" s="7"/>
      <c r="P80" s="7"/>
      <c r="Q80" s="7"/>
      <c r="R80" s="5"/>
      <c r="S80" s="5"/>
      <c r="T80" s="5"/>
      <c r="U80" s="5"/>
      <c r="V80" s="5"/>
      <c r="W80" s="5"/>
      <c r="X80" s="5"/>
    </row>
    <row r="81" spans="1:24">
      <c r="A81" s="4"/>
      <c r="B81" s="4"/>
      <c r="C81" s="4"/>
      <c r="D81" s="7"/>
      <c r="E81" s="7"/>
      <c r="F81" s="7"/>
      <c r="G81" s="4"/>
      <c r="H81" s="4"/>
      <c r="I81" s="5"/>
      <c r="J81" s="5"/>
      <c r="K81" s="5"/>
      <c r="L81" s="5"/>
      <c r="M81" s="7"/>
      <c r="N81" s="7"/>
      <c r="O81" s="7"/>
      <c r="P81" s="7"/>
      <c r="Q81" s="7"/>
      <c r="R81" s="5"/>
      <c r="S81" s="5"/>
      <c r="T81" s="5"/>
      <c r="U81" s="5"/>
      <c r="V81" s="5"/>
      <c r="W81" s="5"/>
      <c r="X81" s="5"/>
    </row>
    <row r="82" spans="1:24">
      <c r="A82" s="4"/>
      <c r="B82" s="4"/>
      <c r="C82" s="4"/>
      <c r="D82" s="7"/>
      <c r="E82" s="7"/>
      <c r="F82" s="7"/>
      <c r="G82" s="4"/>
      <c r="H82" s="4"/>
      <c r="I82" s="5"/>
      <c r="J82" s="5"/>
      <c r="K82" s="5"/>
      <c r="L82" s="5"/>
      <c r="M82" s="7"/>
      <c r="N82" s="7"/>
      <c r="O82" s="7"/>
      <c r="P82" s="7"/>
      <c r="Q82" s="7"/>
      <c r="R82" s="5"/>
      <c r="S82" s="5"/>
      <c r="T82" s="5"/>
      <c r="U82" s="5"/>
      <c r="V82" s="5"/>
      <c r="W82" s="5"/>
      <c r="X82" s="5"/>
    </row>
    <row r="83" spans="1:24">
      <c r="A83" s="4"/>
      <c r="B83" s="4"/>
      <c r="C83" s="4"/>
      <c r="D83" s="7"/>
      <c r="E83" s="7"/>
      <c r="F83" s="7"/>
      <c r="G83" s="4"/>
      <c r="H83" s="4"/>
      <c r="I83" s="5"/>
      <c r="J83" s="5"/>
      <c r="K83" s="5"/>
      <c r="L83" s="5"/>
      <c r="M83" s="7"/>
      <c r="N83" s="7"/>
      <c r="O83" s="7"/>
      <c r="P83" s="7"/>
      <c r="Q83" s="7"/>
      <c r="R83" s="5"/>
      <c r="S83" s="5"/>
      <c r="T83" s="5"/>
      <c r="U83" s="5"/>
      <c r="V83" s="5"/>
      <c r="W83" s="5"/>
      <c r="X83" s="5"/>
    </row>
    <row r="84" spans="1:24">
      <c r="A84" s="4"/>
      <c r="B84" s="4"/>
      <c r="C84" s="4"/>
      <c r="D84" s="7"/>
      <c r="E84" s="7"/>
      <c r="F84" s="7"/>
      <c r="G84" s="4"/>
      <c r="H84" s="4"/>
      <c r="I84" s="5"/>
      <c r="J84" s="5"/>
      <c r="K84" s="5"/>
      <c r="L84" s="5"/>
      <c r="M84" s="7"/>
      <c r="N84" s="7"/>
      <c r="O84" s="7"/>
      <c r="P84" s="7"/>
      <c r="Q84" s="7"/>
      <c r="R84" s="5"/>
      <c r="S84" s="5"/>
      <c r="T84" s="5"/>
      <c r="U84" s="5"/>
      <c r="V84" s="5"/>
      <c r="W84" s="5"/>
      <c r="X84" s="5"/>
    </row>
    <row r="85" spans="1:24">
      <c r="A85" s="4"/>
      <c r="B85" s="4"/>
      <c r="C85" s="4"/>
      <c r="D85" s="7"/>
      <c r="E85" s="7"/>
      <c r="F85" s="7"/>
      <c r="G85" s="4"/>
      <c r="H85" s="4"/>
      <c r="I85" s="5"/>
      <c r="J85" s="5"/>
      <c r="K85" s="5"/>
      <c r="L85" s="5"/>
      <c r="M85" s="7"/>
      <c r="N85" s="7"/>
      <c r="O85" s="7"/>
      <c r="P85" s="7"/>
      <c r="Q85" s="7"/>
      <c r="R85" s="5"/>
      <c r="S85" s="5"/>
      <c r="T85" s="5"/>
      <c r="U85" s="5"/>
      <c r="V85" s="5"/>
      <c r="W85" s="5"/>
      <c r="X85" s="5"/>
    </row>
    <row r="86" spans="1:24">
      <c r="A86" s="4"/>
      <c r="B86" s="4"/>
      <c r="C86" s="4"/>
      <c r="D86" s="7"/>
      <c r="E86" s="7"/>
      <c r="F86" s="7"/>
      <c r="G86" s="4"/>
      <c r="H86" s="4"/>
      <c r="I86" s="5"/>
      <c r="J86" s="5"/>
      <c r="K86" s="5"/>
      <c r="L86" s="5"/>
      <c r="M86" s="7"/>
      <c r="N86" s="7"/>
      <c r="O86" s="7"/>
      <c r="P86" s="7"/>
      <c r="Q86" s="7"/>
      <c r="R86" s="5"/>
      <c r="S86" s="5"/>
      <c r="T86" s="5"/>
      <c r="U86" s="5"/>
      <c r="V86" s="5"/>
      <c r="W86" s="5"/>
      <c r="X86" s="5"/>
    </row>
    <row r="87" spans="1:24">
      <c r="A87" s="4"/>
      <c r="B87" s="4"/>
      <c r="C87" s="4"/>
      <c r="D87" s="7"/>
      <c r="E87" s="7"/>
      <c r="F87" s="7"/>
      <c r="G87" s="4"/>
      <c r="H87" s="4"/>
      <c r="I87" s="5"/>
      <c r="J87" s="5"/>
      <c r="K87" s="5"/>
      <c r="L87" s="5"/>
      <c r="M87" s="7"/>
      <c r="N87" s="7"/>
      <c r="O87" s="7"/>
      <c r="P87" s="7"/>
      <c r="Q87" s="7"/>
      <c r="R87" s="5"/>
      <c r="S87" s="5"/>
      <c r="T87" s="5"/>
      <c r="U87" s="5"/>
      <c r="V87" s="5"/>
      <c r="W87" s="5"/>
      <c r="X87" s="5"/>
    </row>
  </sheetData>
  <autoFilter ref="A2:X37" xr:uid="{C757F140-B8C2-435D-A99C-8DC03375BB7E}"/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F640-C4A9-40F9-BF57-FBD85FC1A4D3}">
  <sheetPr>
    <pageSetUpPr fitToPage="1"/>
  </sheetPr>
  <dimension ref="A1:Y72"/>
  <sheetViews>
    <sheetView zoomScale="80" zoomScaleNormal="80" workbookViewId="0">
      <pane ySplit="2" topLeftCell="A3" activePane="bottomLeft" state="frozen"/>
      <selection activeCell="A3" sqref="A3"/>
      <selection pane="bottomLeft" activeCell="G11" sqref="G11"/>
    </sheetView>
  </sheetViews>
  <sheetFormatPr defaultRowHeight="16.5" outlineLevelCol="1"/>
  <cols>
    <col min="1" max="1" width="13" style="3" customWidth="1"/>
    <col min="2" max="2" width="12.25" style="3" customWidth="1"/>
    <col min="3" max="3" width="8.875" style="3" customWidth="1"/>
    <col min="4" max="4" width="21.25" style="2" customWidth="1"/>
    <col min="5" max="6" width="15.625" style="2" customWidth="1"/>
    <col min="7" max="7" width="16.5" style="3" bestFit="1" customWidth="1"/>
    <col min="8" max="8" width="16.375" style="3" customWidth="1"/>
    <col min="9" max="9" width="15.75" style="388" customWidth="1"/>
    <col min="10" max="11" width="15.75" style="388" hidden="1" customWidth="1" outlineLevel="1"/>
    <col min="12" max="12" width="14.25" style="388" customWidth="1" collapsed="1"/>
    <col min="13" max="13" width="14.75" style="2" customWidth="1"/>
    <col min="14" max="15" width="15.75" style="2" hidden="1" customWidth="1" outlineLevel="1"/>
    <col min="16" max="16" width="15.75" style="2" customWidth="1" collapsed="1"/>
    <col min="17" max="17" width="17" style="2" customWidth="1"/>
    <col min="18" max="18" width="9.5" style="388" customWidth="1"/>
    <col min="19" max="19" width="15.75" style="388" customWidth="1"/>
    <col min="20" max="20" width="11.375" style="388" customWidth="1"/>
    <col min="21" max="21" width="15.75" style="388" customWidth="1"/>
    <col min="22" max="22" width="18.75" style="388" customWidth="1"/>
    <col min="23" max="23" width="15.75" style="388" customWidth="1"/>
    <col min="24" max="24" width="30.875" style="388" customWidth="1"/>
    <col min="25" max="25" width="15.625" style="388" customWidth="1"/>
    <col min="26" max="26" width="9" style="388"/>
    <col min="27" max="27" width="10.625" style="388" bestFit="1" customWidth="1"/>
    <col min="28" max="16384" width="9" style="388"/>
  </cols>
  <sheetData>
    <row r="1" spans="1:25" ht="15.75" customHeight="1">
      <c r="A1" s="4"/>
      <c r="B1" s="4"/>
      <c r="C1" s="4"/>
      <c r="D1" s="7"/>
      <c r="E1" s="7"/>
      <c r="F1" s="7"/>
      <c r="G1" s="4"/>
      <c r="H1" s="4"/>
      <c r="I1" s="5"/>
      <c r="J1" s="5"/>
      <c r="K1" s="5"/>
      <c r="L1" s="5"/>
      <c r="M1" s="7"/>
      <c r="N1" s="7"/>
      <c r="O1" s="7"/>
      <c r="P1" s="7"/>
      <c r="Q1" s="7"/>
      <c r="R1" s="6"/>
      <c r="S1" s="6"/>
      <c r="T1" s="6"/>
      <c r="U1" s="5"/>
      <c r="V1" s="5"/>
      <c r="W1" s="5"/>
      <c r="X1" s="5"/>
      <c r="Y1" s="5"/>
    </row>
    <row r="2" spans="1:25" ht="30.75" customHeight="1">
      <c r="A2" s="78" t="s">
        <v>469</v>
      </c>
      <c r="B2" s="78" t="s">
        <v>388</v>
      </c>
      <c r="C2" s="78" t="s">
        <v>389</v>
      </c>
      <c r="D2" s="79" t="s">
        <v>390</v>
      </c>
      <c r="E2" s="79" t="s">
        <v>452</v>
      </c>
      <c r="F2" s="79" t="s">
        <v>742</v>
      </c>
      <c r="G2" s="78" t="s">
        <v>14</v>
      </c>
      <c r="H2" s="78" t="s">
        <v>13</v>
      </c>
      <c r="I2" s="78" t="s">
        <v>0</v>
      </c>
      <c r="J2" s="78" t="s">
        <v>249</v>
      </c>
      <c r="K2" s="78" t="s">
        <v>260</v>
      </c>
      <c r="L2" s="79" t="s">
        <v>1</v>
      </c>
      <c r="M2" s="79" t="s">
        <v>2</v>
      </c>
      <c r="N2" s="79" t="s">
        <v>80</v>
      </c>
      <c r="O2" s="79" t="s">
        <v>81</v>
      </c>
      <c r="P2" s="8" t="s">
        <v>9</v>
      </c>
      <c r="Q2" s="67" t="s">
        <v>78</v>
      </c>
      <c r="R2" s="68" t="s">
        <v>79</v>
      </c>
      <c r="S2" s="69" t="s">
        <v>77</v>
      </c>
      <c r="T2" s="69" t="s">
        <v>743</v>
      </c>
      <c r="U2" s="70" t="s">
        <v>7</v>
      </c>
      <c r="V2" s="9" t="s">
        <v>8</v>
      </c>
      <c r="W2" s="78" t="s">
        <v>3</v>
      </c>
      <c r="X2" s="78" t="s">
        <v>10</v>
      </c>
      <c r="Y2" s="80" t="s">
        <v>82</v>
      </c>
    </row>
    <row r="3" spans="1:25" ht="21.95" customHeight="1">
      <c r="A3" s="666">
        <v>46149</v>
      </c>
      <c r="B3" s="666">
        <v>46149</v>
      </c>
      <c r="C3" s="666" t="s">
        <v>399</v>
      </c>
      <c r="D3" s="309" t="s">
        <v>264</v>
      </c>
      <c r="E3" s="309" t="s">
        <v>453</v>
      </c>
      <c r="F3" s="309" t="s">
        <v>17</v>
      </c>
      <c r="G3" s="807" t="s">
        <v>6</v>
      </c>
      <c r="H3" s="666" t="s">
        <v>239</v>
      </c>
      <c r="I3" s="666" t="s">
        <v>235</v>
      </c>
      <c r="J3" s="666" t="s">
        <v>289</v>
      </c>
      <c r="K3" s="666" t="s">
        <v>290</v>
      </c>
      <c r="L3" s="481" t="s">
        <v>400</v>
      </c>
      <c r="M3" s="665" t="s">
        <v>401</v>
      </c>
      <c r="N3" s="628">
        <v>20940</v>
      </c>
      <c r="O3" s="628">
        <v>35520</v>
      </c>
      <c r="P3" s="157">
        <v>14580</v>
      </c>
      <c r="Q3" s="665">
        <v>14580</v>
      </c>
      <c r="R3" s="665"/>
      <c r="S3" s="665">
        <f t="shared" ref="S3:S15" si="0">Q3</f>
        <v>14580</v>
      </c>
      <c r="T3" s="1745">
        <v>20</v>
      </c>
      <c r="U3" s="1736">
        <v>21875</v>
      </c>
      <c r="V3" s="1736">
        <f t="shared" ref="V3:V5" si="1">-U3*T3</f>
        <v>-437500</v>
      </c>
      <c r="W3" s="786" t="s">
        <v>5</v>
      </c>
      <c r="X3" s="510"/>
      <c r="Y3" s="82"/>
    </row>
    <row r="4" spans="1:25" ht="21.95" customHeight="1">
      <c r="A4" s="875">
        <v>46160</v>
      </c>
      <c r="B4" s="875">
        <v>46160</v>
      </c>
      <c r="C4" s="875" t="s">
        <v>399</v>
      </c>
      <c r="D4" s="310" t="s">
        <v>314</v>
      </c>
      <c r="E4" s="310" t="s">
        <v>210</v>
      </c>
      <c r="F4" s="310" t="s">
        <v>17</v>
      </c>
      <c r="G4" s="875" t="s">
        <v>6</v>
      </c>
      <c r="H4" s="875" t="s">
        <v>89</v>
      </c>
      <c r="I4" s="938" t="s">
        <v>235</v>
      </c>
      <c r="J4" s="875" t="s">
        <v>257</v>
      </c>
      <c r="K4" s="875" t="s">
        <v>402</v>
      </c>
      <c r="L4" s="226" t="s">
        <v>400</v>
      </c>
      <c r="M4" s="879" t="s">
        <v>401</v>
      </c>
      <c r="N4" s="860">
        <v>20130</v>
      </c>
      <c r="O4" s="860">
        <v>44150</v>
      </c>
      <c r="P4" s="26">
        <f t="shared" ref="P4:P18" si="2">O4-N4</f>
        <v>24020</v>
      </c>
      <c r="Q4" s="879">
        <v>24020</v>
      </c>
      <c r="R4" s="879"/>
      <c r="S4" s="879">
        <f t="shared" si="0"/>
        <v>24020</v>
      </c>
      <c r="T4" s="1752">
        <v>17</v>
      </c>
      <c r="U4" s="864">
        <v>22000</v>
      </c>
      <c r="V4" s="864">
        <f t="shared" si="1"/>
        <v>-374000</v>
      </c>
      <c r="W4" s="866" t="s">
        <v>5</v>
      </c>
      <c r="X4" s="179" t="s">
        <v>536</v>
      </c>
      <c r="Y4" s="783"/>
    </row>
    <row r="5" spans="1:25" ht="21.95" customHeight="1">
      <c r="A5" s="875">
        <v>46160</v>
      </c>
      <c r="B5" s="875">
        <v>46160</v>
      </c>
      <c r="C5" s="875" t="s">
        <v>399</v>
      </c>
      <c r="D5" s="310" t="s">
        <v>314</v>
      </c>
      <c r="E5" s="310" t="s">
        <v>210</v>
      </c>
      <c r="F5" s="310" t="s">
        <v>266</v>
      </c>
      <c r="G5" s="875" t="s">
        <v>6</v>
      </c>
      <c r="H5" s="875" t="s">
        <v>74</v>
      </c>
      <c r="I5" s="938" t="s">
        <v>524</v>
      </c>
      <c r="J5" s="875" t="s">
        <v>525</v>
      </c>
      <c r="K5" s="875"/>
      <c r="L5" s="226" t="s">
        <v>400</v>
      </c>
      <c r="M5" s="879" t="s">
        <v>401</v>
      </c>
      <c r="N5" s="860">
        <v>14560</v>
      </c>
      <c r="O5" s="860">
        <v>35960</v>
      </c>
      <c r="P5" s="26">
        <f t="shared" si="2"/>
        <v>21400</v>
      </c>
      <c r="Q5" s="879">
        <v>21400</v>
      </c>
      <c r="R5" s="879"/>
      <c r="S5" s="879">
        <f t="shared" si="0"/>
        <v>21400</v>
      </c>
      <c r="T5" s="1752">
        <v>17</v>
      </c>
      <c r="U5" s="864">
        <v>22000</v>
      </c>
      <c r="V5" s="864">
        <f t="shared" si="1"/>
        <v>-374000</v>
      </c>
      <c r="W5" s="866" t="s">
        <v>5</v>
      </c>
      <c r="X5" s="179" t="s">
        <v>535</v>
      </c>
      <c r="Y5" s="783"/>
    </row>
    <row r="6" spans="1:25" ht="21.95" customHeight="1">
      <c r="A6" s="875">
        <v>46160</v>
      </c>
      <c r="B6" s="875">
        <v>46160</v>
      </c>
      <c r="C6" s="875" t="s">
        <v>399</v>
      </c>
      <c r="D6" s="310" t="s">
        <v>314</v>
      </c>
      <c r="E6" s="310" t="s">
        <v>210</v>
      </c>
      <c r="F6" s="310" t="s">
        <v>288</v>
      </c>
      <c r="G6" s="875" t="s">
        <v>6</v>
      </c>
      <c r="H6" s="875" t="s">
        <v>74</v>
      </c>
      <c r="I6" s="875" t="s">
        <v>532</v>
      </c>
      <c r="J6" s="875" t="s">
        <v>533</v>
      </c>
      <c r="K6" s="875"/>
      <c r="L6" s="226" t="s">
        <v>400</v>
      </c>
      <c r="M6" s="879" t="s">
        <v>401</v>
      </c>
      <c r="N6" s="860">
        <v>14890</v>
      </c>
      <c r="O6" s="860">
        <v>38690</v>
      </c>
      <c r="P6" s="26">
        <f t="shared" si="2"/>
        <v>23800</v>
      </c>
      <c r="Q6" s="879">
        <v>23800</v>
      </c>
      <c r="R6" s="879"/>
      <c r="S6" s="879">
        <f t="shared" si="0"/>
        <v>23800</v>
      </c>
      <c r="T6" s="1752">
        <v>17</v>
      </c>
      <c r="U6" s="864">
        <v>22000</v>
      </c>
      <c r="V6" s="1862">
        <f t="shared" ref="V6:V15" si="3">-U6*T6</f>
        <v>-374000</v>
      </c>
      <c r="W6" s="866" t="s">
        <v>5</v>
      </c>
      <c r="X6" s="179" t="s">
        <v>534</v>
      </c>
      <c r="Y6" s="783"/>
    </row>
    <row r="7" spans="1:25" ht="21.95" customHeight="1">
      <c r="A7" s="875">
        <v>46160</v>
      </c>
      <c r="B7" s="875">
        <v>46160</v>
      </c>
      <c r="C7" s="875" t="s">
        <v>399</v>
      </c>
      <c r="D7" s="310" t="s">
        <v>314</v>
      </c>
      <c r="E7" s="310" t="s">
        <v>210</v>
      </c>
      <c r="F7" s="310" t="s">
        <v>288</v>
      </c>
      <c r="G7" s="875" t="s">
        <v>6</v>
      </c>
      <c r="H7" s="875" t="s">
        <v>74</v>
      </c>
      <c r="I7" s="875" t="s">
        <v>528</v>
      </c>
      <c r="J7" s="875" t="s">
        <v>529</v>
      </c>
      <c r="K7" s="875"/>
      <c r="L7" s="226" t="s">
        <v>400</v>
      </c>
      <c r="M7" s="879" t="s">
        <v>401</v>
      </c>
      <c r="N7" s="860">
        <v>14660</v>
      </c>
      <c r="O7" s="860">
        <v>35460</v>
      </c>
      <c r="P7" s="26">
        <f t="shared" si="2"/>
        <v>20800</v>
      </c>
      <c r="Q7" s="879">
        <v>20800</v>
      </c>
      <c r="R7" s="879"/>
      <c r="S7" s="879">
        <f t="shared" si="0"/>
        <v>20800</v>
      </c>
      <c r="T7" s="1752">
        <v>17</v>
      </c>
      <c r="U7" s="864">
        <v>22000</v>
      </c>
      <c r="V7" s="1862">
        <f t="shared" si="3"/>
        <v>-374000</v>
      </c>
      <c r="W7" s="866" t="s">
        <v>5</v>
      </c>
      <c r="X7" s="179" t="s">
        <v>534</v>
      </c>
      <c r="Y7" s="783"/>
    </row>
    <row r="8" spans="1:25" ht="21.95" customHeight="1">
      <c r="A8" s="876">
        <v>46160</v>
      </c>
      <c r="B8" s="876">
        <v>46160</v>
      </c>
      <c r="C8" s="876" t="s">
        <v>399</v>
      </c>
      <c r="D8" s="311" t="s">
        <v>314</v>
      </c>
      <c r="E8" s="311" t="s">
        <v>210</v>
      </c>
      <c r="F8" s="311" t="s">
        <v>288</v>
      </c>
      <c r="G8" s="876" t="s">
        <v>6</v>
      </c>
      <c r="H8" s="876" t="s">
        <v>74</v>
      </c>
      <c r="I8" s="876" t="s">
        <v>526</v>
      </c>
      <c r="J8" s="876" t="s">
        <v>527</v>
      </c>
      <c r="K8" s="876"/>
      <c r="L8" s="502" t="s">
        <v>400</v>
      </c>
      <c r="M8" s="869" t="s">
        <v>401</v>
      </c>
      <c r="N8" s="861">
        <v>15680</v>
      </c>
      <c r="O8" s="861">
        <v>41940</v>
      </c>
      <c r="P8" s="28">
        <f t="shared" si="2"/>
        <v>26260</v>
      </c>
      <c r="Q8" s="869">
        <v>26260</v>
      </c>
      <c r="R8" s="869"/>
      <c r="S8" s="869">
        <f t="shared" si="0"/>
        <v>26260</v>
      </c>
      <c r="T8" s="1740">
        <v>17</v>
      </c>
      <c r="U8" s="871">
        <v>22000</v>
      </c>
      <c r="V8" s="1873">
        <f t="shared" si="3"/>
        <v>-374000</v>
      </c>
      <c r="W8" s="872" t="s">
        <v>5</v>
      </c>
      <c r="X8" s="180" t="s">
        <v>534</v>
      </c>
      <c r="Y8" s="82"/>
    </row>
    <row r="9" spans="1:25" ht="21.95" customHeight="1">
      <c r="A9" s="909">
        <v>46161</v>
      </c>
      <c r="B9" s="909">
        <v>46161</v>
      </c>
      <c r="C9" s="909" t="s">
        <v>399</v>
      </c>
      <c r="D9" s="385" t="s">
        <v>314</v>
      </c>
      <c r="E9" s="385" t="s">
        <v>455</v>
      </c>
      <c r="F9" s="385" t="s">
        <v>288</v>
      </c>
      <c r="G9" s="909" t="s">
        <v>6</v>
      </c>
      <c r="H9" s="909" t="s">
        <v>261</v>
      </c>
      <c r="I9" s="909" t="s">
        <v>524</v>
      </c>
      <c r="J9" s="909" t="s">
        <v>525</v>
      </c>
      <c r="K9" s="909"/>
      <c r="L9" s="909" t="s">
        <v>400</v>
      </c>
      <c r="M9" s="914" t="s">
        <v>401</v>
      </c>
      <c r="N9" s="900">
        <v>14560</v>
      </c>
      <c r="O9" s="900">
        <v>38290</v>
      </c>
      <c r="P9" s="462">
        <f t="shared" si="2"/>
        <v>23730</v>
      </c>
      <c r="Q9" s="914">
        <v>23730</v>
      </c>
      <c r="R9" s="914"/>
      <c r="S9" s="914">
        <f t="shared" si="0"/>
        <v>23730</v>
      </c>
      <c r="T9" s="1749">
        <v>17</v>
      </c>
      <c r="U9" s="916">
        <v>22000</v>
      </c>
      <c r="V9" s="1886">
        <f t="shared" si="3"/>
        <v>-374000</v>
      </c>
      <c r="W9" s="912" t="s">
        <v>190</v>
      </c>
      <c r="X9" s="205" t="s">
        <v>534</v>
      </c>
      <c r="Y9" s="859"/>
    </row>
    <row r="10" spans="1:25" ht="21.95" customHeight="1">
      <c r="A10" s="909">
        <v>46161</v>
      </c>
      <c r="B10" s="909">
        <v>46161</v>
      </c>
      <c r="C10" s="909" t="s">
        <v>399</v>
      </c>
      <c r="D10" s="385" t="s">
        <v>314</v>
      </c>
      <c r="E10" s="385" t="s">
        <v>455</v>
      </c>
      <c r="F10" s="385" t="s">
        <v>288</v>
      </c>
      <c r="G10" s="908" t="s">
        <v>6</v>
      </c>
      <c r="H10" s="909" t="s">
        <v>261</v>
      </c>
      <c r="I10" s="909" t="s">
        <v>526</v>
      </c>
      <c r="J10" s="909" t="s">
        <v>527</v>
      </c>
      <c r="K10" s="909"/>
      <c r="L10" s="909" t="s">
        <v>400</v>
      </c>
      <c r="M10" s="919" t="s">
        <v>401</v>
      </c>
      <c r="N10" s="900">
        <v>15680</v>
      </c>
      <c r="O10" s="900">
        <v>39530</v>
      </c>
      <c r="P10" s="462">
        <f t="shared" si="2"/>
        <v>23850</v>
      </c>
      <c r="Q10" s="914">
        <v>23850</v>
      </c>
      <c r="R10" s="914"/>
      <c r="S10" s="914">
        <f t="shared" si="0"/>
        <v>23850</v>
      </c>
      <c r="T10" s="1749">
        <v>17</v>
      </c>
      <c r="U10" s="916">
        <v>22000</v>
      </c>
      <c r="V10" s="1862">
        <f t="shared" si="3"/>
        <v>-374000</v>
      </c>
      <c r="W10" s="912" t="s">
        <v>190</v>
      </c>
      <c r="X10" s="205" t="s">
        <v>534</v>
      </c>
      <c r="Y10" s="859"/>
    </row>
    <row r="11" spans="1:25" ht="21.95" customHeight="1">
      <c r="A11" s="909">
        <v>46161</v>
      </c>
      <c r="B11" s="909">
        <v>46161</v>
      </c>
      <c r="C11" s="909" t="s">
        <v>399</v>
      </c>
      <c r="D11" s="385" t="s">
        <v>314</v>
      </c>
      <c r="E11" s="385" t="s">
        <v>455</v>
      </c>
      <c r="F11" s="385" t="s">
        <v>288</v>
      </c>
      <c r="G11" s="908" t="s">
        <v>6</v>
      </c>
      <c r="H11" s="909" t="s">
        <v>261</v>
      </c>
      <c r="I11" s="909" t="s">
        <v>528</v>
      </c>
      <c r="J11" s="909" t="s">
        <v>529</v>
      </c>
      <c r="K11" s="909"/>
      <c r="L11" s="909" t="s">
        <v>400</v>
      </c>
      <c r="M11" s="919" t="s">
        <v>401</v>
      </c>
      <c r="N11" s="900">
        <v>14660</v>
      </c>
      <c r="O11" s="900">
        <v>39390</v>
      </c>
      <c r="P11" s="462">
        <f t="shared" si="2"/>
        <v>24730</v>
      </c>
      <c r="Q11" s="914">
        <v>24730</v>
      </c>
      <c r="R11" s="914"/>
      <c r="S11" s="914">
        <f t="shared" si="0"/>
        <v>24730</v>
      </c>
      <c r="T11" s="1749">
        <v>17</v>
      </c>
      <c r="U11" s="916">
        <v>22000</v>
      </c>
      <c r="V11" s="1862">
        <f t="shared" si="3"/>
        <v>-374000</v>
      </c>
      <c r="W11" s="912" t="s">
        <v>190</v>
      </c>
      <c r="X11" s="205" t="s">
        <v>534</v>
      </c>
      <c r="Y11" s="859"/>
    </row>
    <row r="12" spans="1:25" ht="21.95" customHeight="1">
      <c r="A12" s="909">
        <v>46161</v>
      </c>
      <c r="B12" s="909">
        <v>46161</v>
      </c>
      <c r="C12" s="909" t="s">
        <v>399</v>
      </c>
      <c r="D12" s="385" t="s">
        <v>314</v>
      </c>
      <c r="E12" s="385" t="s">
        <v>455</v>
      </c>
      <c r="F12" s="385" t="s">
        <v>288</v>
      </c>
      <c r="G12" s="908" t="s">
        <v>6</v>
      </c>
      <c r="H12" s="909" t="s">
        <v>261</v>
      </c>
      <c r="I12" s="909" t="s">
        <v>530</v>
      </c>
      <c r="J12" s="909" t="s">
        <v>531</v>
      </c>
      <c r="K12" s="909"/>
      <c r="L12" s="909" t="s">
        <v>400</v>
      </c>
      <c r="M12" s="919" t="s">
        <v>401</v>
      </c>
      <c r="N12" s="900">
        <v>14570</v>
      </c>
      <c r="O12" s="900">
        <v>40120</v>
      </c>
      <c r="P12" s="462">
        <f t="shared" si="2"/>
        <v>25550</v>
      </c>
      <c r="Q12" s="914">
        <v>25550</v>
      </c>
      <c r="R12" s="914"/>
      <c r="S12" s="914">
        <f t="shared" si="0"/>
        <v>25550</v>
      </c>
      <c r="T12" s="1882">
        <v>17</v>
      </c>
      <c r="U12" s="916">
        <v>22000</v>
      </c>
      <c r="V12" s="1862">
        <f t="shared" si="3"/>
        <v>-374000</v>
      </c>
      <c r="W12" s="912" t="s">
        <v>190</v>
      </c>
      <c r="X12" s="205" t="s">
        <v>534</v>
      </c>
      <c r="Y12" s="859"/>
    </row>
    <row r="13" spans="1:25" ht="21.95" customHeight="1">
      <c r="A13" s="909">
        <v>46161</v>
      </c>
      <c r="B13" s="909">
        <v>46161</v>
      </c>
      <c r="C13" s="909" t="s">
        <v>399</v>
      </c>
      <c r="D13" s="385" t="s">
        <v>314</v>
      </c>
      <c r="E13" s="385" t="s">
        <v>455</v>
      </c>
      <c r="F13" s="385" t="s">
        <v>288</v>
      </c>
      <c r="G13" s="908" t="s">
        <v>6</v>
      </c>
      <c r="H13" s="909" t="s">
        <v>261</v>
      </c>
      <c r="I13" s="909" t="s">
        <v>524</v>
      </c>
      <c r="J13" s="909" t="s">
        <v>525</v>
      </c>
      <c r="K13" s="909"/>
      <c r="L13" s="909" t="s">
        <v>400</v>
      </c>
      <c r="M13" s="919" t="s">
        <v>401</v>
      </c>
      <c r="N13" s="900">
        <v>14560</v>
      </c>
      <c r="O13" s="900">
        <v>37840</v>
      </c>
      <c r="P13" s="462">
        <f t="shared" si="2"/>
        <v>23280</v>
      </c>
      <c r="Q13" s="914">
        <v>23280</v>
      </c>
      <c r="R13" s="914"/>
      <c r="S13" s="914">
        <f t="shared" si="0"/>
        <v>23280</v>
      </c>
      <c r="T13" s="1749">
        <v>17</v>
      </c>
      <c r="U13" s="916">
        <v>22000</v>
      </c>
      <c r="V13" s="1862">
        <f t="shared" si="3"/>
        <v>-374000</v>
      </c>
      <c r="W13" s="912" t="s">
        <v>190</v>
      </c>
      <c r="X13" s="205" t="s">
        <v>534</v>
      </c>
      <c r="Y13" s="859"/>
    </row>
    <row r="14" spans="1:25" ht="21.95" customHeight="1">
      <c r="A14" s="909">
        <v>46161</v>
      </c>
      <c r="B14" s="909">
        <v>46161</v>
      </c>
      <c r="C14" s="909" t="s">
        <v>399</v>
      </c>
      <c r="D14" s="385" t="s">
        <v>314</v>
      </c>
      <c r="E14" s="385" t="s">
        <v>455</v>
      </c>
      <c r="F14" s="385" t="s">
        <v>288</v>
      </c>
      <c r="G14" s="908" t="s">
        <v>6</v>
      </c>
      <c r="H14" s="909" t="s">
        <v>261</v>
      </c>
      <c r="I14" s="909" t="s">
        <v>526</v>
      </c>
      <c r="J14" s="909" t="s">
        <v>527</v>
      </c>
      <c r="K14" s="909"/>
      <c r="L14" s="909" t="s">
        <v>400</v>
      </c>
      <c r="M14" s="919" t="s">
        <v>401</v>
      </c>
      <c r="N14" s="900">
        <v>15680</v>
      </c>
      <c r="O14" s="900">
        <v>40420</v>
      </c>
      <c r="P14" s="462">
        <f t="shared" si="2"/>
        <v>24740</v>
      </c>
      <c r="Q14" s="914">
        <v>24740</v>
      </c>
      <c r="R14" s="914"/>
      <c r="S14" s="914">
        <f t="shared" si="0"/>
        <v>24740</v>
      </c>
      <c r="T14" s="1749">
        <v>17</v>
      </c>
      <c r="U14" s="916">
        <v>22000</v>
      </c>
      <c r="V14" s="1862">
        <f t="shared" si="3"/>
        <v>-374000</v>
      </c>
      <c r="W14" s="912" t="s">
        <v>190</v>
      </c>
      <c r="X14" s="205" t="s">
        <v>534</v>
      </c>
      <c r="Y14" s="82"/>
    </row>
    <row r="15" spans="1:25" ht="21.95" customHeight="1">
      <c r="A15" s="1875">
        <v>46161</v>
      </c>
      <c r="B15" s="1875">
        <v>46161</v>
      </c>
      <c r="C15" s="1875" t="s">
        <v>399</v>
      </c>
      <c r="D15" s="310" t="s">
        <v>314</v>
      </c>
      <c r="E15" s="310" t="s">
        <v>455</v>
      </c>
      <c r="F15" s="310" t="s">
        <v>288</v>
      </c>
      <c r="G15" s="1875" t="s">
        <v>6</v>
      </c>
      <c r="H15" s="1875" t="s">
        <v>261</v>
      </c>
      <c r="I15" s="1875" t="s">
        <v>528</v>
      </c>
      <c r="J15" s="1875" t="s">
        <v>529</v>
      </c>
      <c r="K15" s="1875"/>
      <c r="L15" s="1875" t="s">
        <v>400</v>
      </c>
      <c r="M15" s="1888" t="s">
        <v>401</v>
      </c>
      <c r="N15" s="1860">
        <v>14660</v>
      </c>
      <c r="O15" s="1860">
        <v>25890</v>
      </c>
      <c r="P15" s="26">
        <f t="shared" si="2"/>
        <v>11230</v>
      </c>
      <c r="Q15" s="1888">
        <v>11230</v>
      </c>
      <c r="R15" s="1888"/>
      <c r="S15" s="1888">
        <f t="shared" si="0"/>
        <v>11230</v>
      </c>
      <c r="T15" s="1888">
        <v>17</v>
      </c>
      <c r="U15" s="1862">
        <v>22000</v>
      </c>
      <c r="V15" s="1862">
        <f t="shared" si="3"/>
        <v>-374000</v>
      </c>
      <c r="W15" s="1851" t="s">
        <v>190</v>
      </c>
      <c r="X15" s="179" t="s">
        <v>534</v>
      </c>
      <c r="Y15" s="82"/>
    </row>
    <row r="16" spans="1:25" ht="21.95" customHeight="1">
      <c r="A16" s="1874">
        <v>46161</v>
      </c>
      <c r="B16" s="1874"/>
      <c r="C16" s="1874" t="s">
        <v>451</v>
      </c>
      <c r="D16" s="311" t="s">
        <v>314</v>
      </c>
      <c r="E16" s="311" t="s">
        <v>455</v>
      </c>
      <c r="F16" s="311" t="s">
        <v>288</v>
      </c>
      <c r="G16" s="1874" t="s">
        <v>6</v>
      </c>
      <c r="H16" s="1874" t="s">
        <v>74</v>
      </c>
      <c r="I16" s="1874"/>
      <c r="J16" s="1874" t="s">
        <v>748</v>
      </c>
      <c r="K16" s="1872" t="s">
        <v>749</v>
      </c>
      <c r="L16" s="1874" t="s">
        <v>748</v>
      </c>
      <c r="M16" s="1872" t="s">
        <v>749</v>
      </c>
      <c r="N16" s="1872"/>
      <c r="O16" s="1872"/>
      <c r="P16" s="28">
        <f t="shared" si="2"/>
        <v>0</v>
      </c>
      <c r="Q16" s="1873"/>
      <c r="R16" s="1873"/>
      <c r="S16" s="1853"/>
      <c r="T16" s="1872">
        <v>17</v>
      </c>
      <c r="U16" s="1873">
        <v>6600</v>
      </c>
      <c r="V16" s="1873">
        <v>-112200</v>
      </c>
      <c r="W16" s="1853" t="s">
        <v>776</v>
      </c>
      <c r="X16" s="1894" t="s">
        <v>750</v>
      </c>
      <c r="Y16" s="1848"/>
    </row>
    <row r="17" spans="1:25" ht="21.95" customHeight="1">
      <c r="A17" s="87">
        <v>46163</v>
      </c>
      <c r="B17" s="87">
        <v>46163</v>
      </c>
      <c r="C17" s="87" t="s">
        <v>399</v>
      </c>
      <c r="D17" s="387" t="s">
        <v>264</v>
      </c>
      <c r="E17" s="87" t="s">
        <v>453</v>
      </c>
      <c r="F17" s="309" t="s">
        <v>17</v>
      </c>
      <c r="G17" s="87" t="s">
        <v>440</v>
      </c>
      <c r="H17" s="87" t="s">
        <v>239</v>
      </c>
      <c r="I17" s="87" t="s">
        <v>235</v>
      </c>
      <c r="J17" s="87" t="s">
        <v>289</v>
      </c>
      <c r="K17" s="87" t="s">
        <v>290</v>
      </c>
      <c r="L17" s="88" t="s">
        <v>400</v>
      </c>
      <c r="M17" s="89" t="s">
        <v>401</v>
      </c>
      <c r="N17" s="90">
        <v>20820</v>
      </c>
      <c r="O17" s="90">
        <v>38840</v>
      </c>
      <c r="P17" s="91">
        <f t="shared" si="2"/>
        <v>18020</v>
      </c>
      <c r="Q17" s="89">
        <v>23980</v>
      </c>
      <c r="R17" s="89"/>
      <c r="S17" s="89">
        <f>Q17</f>
        <v>23980</v>
      </c>
      <c r="T17" s="1745">
        <v>20</v>
      </c>
      <c r="U17" s="1736">
        <v>21875</v>
      </c>
      <c r="V17" s="1736">
        <f>-U17*T17</f>
        <v>-437500</v>
      </c>
      <c r="W17" s="508" t="s">
        <v>5</v>
      </c>
      <c r="X17" s="614" t="s">
        <v>643</v>
      </c>
      <c r="Y17" s="82"/>
    </row>
    <row r="18" spans="1:25" ht="21.95" customHeight="1">
      <c r="A18" s="666">
        <v>46171</v>
      </c>
      <c r="B18" s="666">
        <v>46171</v>
      </c>
      <c r="C18" s="666" t="s">
        <v>399</v>
      </c>
      <c r="D18" s="309" t="s">
        <v>264</v>
      </c>
      <c r="E18" s="309" t="s">
        <v>453</v>
      </c>
      <c r="F18" s="309" t="s">
        <v>266</v>
      </c>
      <c r="G18" s="87" t="s">
        <v>440</v>
      </c>
      <c r="H18" s="666" t="s">
        <v>224</v>
      </c>
      <c r="I18" s="666" t="s">
        <v>526</v>
      </c>
      <c r="J18" s="666"/>
      <c r="K18" s="666"/>
      <c r="L18" s="1226" t="s">
        <v>400</v>
      </c>
      <c r="M18" s="481" t="s">
        <v>642</v>
      </c>
      <c r="N18" s="1227">
        <v>14560</v>
      </c>
      <c r="O18" s="1224">
        <v>23000</v>
      </c>
      <c r="P18" s="91">
        <f t="shared" si="2"/>
        <v>8440</v>
      </c>
      <c r="Q18" s="665">
        <v>8440</v>
      </c>
      <c r="R18" s="665"/>
      <c r="S18" s="665">
        <f>Q18</f>
        <v>8440</v>
      </c>
      <c r="T18" s="1745">
        <v>17</v>
      </c>
      <c r="U18" s="641">
        <v>31250</v>
      </c>
      <c r="V18" s="1736">
        <f>-U18*T18</f>
        <v>-531250</v>
      </c>
      <c r="W18" s="644" t="s">
        <v>5</v>
      </c>
      <c r="X18" s="510"/>
      <c r="Y18" s="82"/>
    </row>
    <row r="19" spans="1:25" ht="21.95" customHeight="1">
      <c r="A19" s="1226">
        <v>46171</v>
      </c>
      <c r="B19" s="1226">
        <v>46171</v>
      </c>
      <c r="C19" s="1226" t="s">
        <v>399</v>
      </c>
      <c r="D19" s="309" t="s">
        <v>264</v>
      </c>
      <c r="E19" s="309" t="s">
        <v>453</v>
      </c>
      <c r="F19" s="309" t="s">
        <v>266</v>
      </c>
      <c r="G19" s="87" t="s">
        <v>440</v>
      </c>
      <c r="H19" s="1226" t="s">
        <v>224</v>
      </c>
      <c r="I19" s="1226" t="s">
        <v>528</v>
      </c>
      <c r="J19" s="1226"/>
      <c r="K19" s="1226"/>
      <c r="L19" s="1226" t="s">
        <v>400</v>
      </c>
      <c r="M19" s="481" t="s">
        <v>642</v>
      </c>
      <c r="N19" s="1227">
        <v>14660</v>
      </c>
      <c r="O19" s="1224">
        <v>26910</v>
      </c>
      <c r="P19" s="91">
        <f t="shared" ref="P19:P20" si="4">O19-N19</f>
        <v>12250</v>
      </c>
      <c r="Q19" s="1227">
        <v>12250</v>
      </c>
      <c r="R19" s="1227"/>
      <c r="S19" s="1227">
        <f>Q19</f>
        <v>12250</v>
      </c>
      <c r="T19" s="1745">
        <v>17</v>
      </c>
      <c r="U19" s="1225">
        <v>31250</v>
      </c>
      <c r="V19" s="1736">
        <f>-U19*T19</f>
        <v>-531250</v>
      </c>
      <c r="W19" s="1223" t="s">
        <v>5</v>
      </c>
      <c r="X19" s="510"/>
      <c r="Y19" s="1222"/>
    </row>
    <row r="20" spans="1:25" ht="21.95" customHeight="1">
      <c r="A20" s="1226">
        <v>46171</v>
      </c>
      <c r="B20" s="1226">
        <v>46171</v>
      </c>
      <c r="C20" s="1226" t="s">
        <v>399</v>
      </c>
      <c r="D20" s="309" t="s">
        <v>264</v>
      </c>
      <c r="E20" s="309" t="s">
        <v>453</v>
      </c>
      <c r="F20" s="309" t="s">
        <v>266</v>
      </c>
      <c r="G20" s="87" t="s">
        <v>440</v>
      </c>
      <c r="H20" s="1226" t="s">
        <v>224</v>
      </c>
      <c r="I20" s="1226" t="s">
        <v>524</v>
      </c>
      <c r="J20" s="1226"/>
      <c r="K20" s="1226"/>
      <c r="L20" s="1226" t="s">
        <v>400</v>
      </c>
      <c r="M20" s="481" t="s">
        <v>642</v>
      </c>
      <c r="N20" s="1227">
        <v>14560</v>
      </c>
      <c r="O20" s="1224">
        <v>28090</v>
      </c>
      <c r="P20" s="91">
        <f t="shared" si="4"/>
        <v>13530</v>
      </c>
      <c r="Q20" s="1227">
        <v>13530</v>
      </c>
      <c r="R20" s="1227"/>
      <c r="S20" s="1227">
        <f>Q20</f>
        <v>13530</v>
      </c>
      <c r="T20" s="1745">
        <v>17</v>
      </c>
      <c r="U20" s="1225">
        <v>31250</v>
      </c>
      <c r="V20" s="1736">
        <f>-U20*T20</f>
        <v>-531250</v>
      </c>
      <c r="W20" s="1223" t="s">
        <v>5</v>
      </c>
      <c r="X20" s="510"/>
      <c r="Y20" s="1222"/>
    </row>
    <row r="21" spans="1:25" ht="21.95" customHeight="1">
      <c r="A21" s="1751">
        <v>46171</v>
      </c>
      <c r="B21" s="1226"/>
      <c r="C21" s="1226" t="s">
        <v>738</v>
      </c>
      <c r="D21" s="309" t="s">
        <v>264</v>
      </c>
      <c r="E21" s="309" t="s">
        <v>453</v>
      </c>
      <c r="F21" s="309" t="s">
        <v>266</v>
      </c>
      <c r="G21" s="87" t="s">
        <v>440</v>
      </c>
      <c r="H21" s="1751" t="s">
        <v>224</v>
      </c>
      <c r="I21" s="1226"/>
      <c r="J21" s="1226"/>
      <c r="K21" s="1226"/>
      <c r="L21" s="1751" t="s">
        <v>400</v>
      </c>
      <c r="M21" s="1227"/>
      <c r="N21" s="1224"/>
      <c r="O21" s="1224"/>
      <c r="P21" s="157"/>
      <c r="Q21" s="1227"/>
      <c r="R21" s="1227"/>
      <c r="S21" s="1227"/>
      <c r="T21" s="1745">
        <v>17</v>
      </c>
      <c r="U21" s="1225">
        <v>9375</v>
      </c>
      <c r="V21" s="1736">
        <f>-U21*T21</f>
        <v>-159375</v>
      </c>
      <c r="W21" s="1223" t="s">
        <v>776</v>
      </c>
      <c r="X21" s="510" t="s">
        <v>744</v>
      </c>
      <c r="Y21" s="1222"/>
    </row>
    <row r="22" spans="1:25" ht="21.95" customHeight="1">
      <c r="A22" s="666"/>
      <c r="B22" s="666"/>
      <c r="C22" s="666"/>
      <c r="D22" s="309"/>
      <c r="E22" s="309"/>
      <c r="F22" s="309"/>
      <c r="G22" s="666"/>
      <c r="H22" s="666"/>
      <c r="I22" s="666"/>
      <c r="J22" s="666"/>
      <c r="K22" s="666"/>
      <c r="L22" s="481"/>
      <c r="M22" s="665"/>
      <c r="N22" s="628"/>
      <c r="O22" s="628"/>
      <c r="P22" s="157"/>
      <c r="Q22" s="665"/>
      <c r="R22" s="665"/>
      <c r="S22" s="665"/>
      <c r="T22" s="1745"/>
      <c r="U22" s="641"/>
      <c r="V22" s="641"/>
      <c r="W22" s="644"/>
      <c r="X22" s="510"/>
      <c r="Y22" s="82"/>
    </row>
    <row r="23" spans="1:25" ht="21.95" customHeight="1">
      <c r="A23" s="324"/>
      <c r="B23" s="649"/>
      <c r="C23" s="649"/>
      <c r="D23" s="375"/>
      <c r="E23" s="628"/>
      <c r="F23" s="1735"/>
      <c r="G23" s="324"/>
      <c r="H23" s="324"/>
      <c r="I23" s="100"/>
      <c r="J23" s="100"/>
      <c r="K23" s="100"/>
      <c r="L23" s="100"/>
      <c r="M23" s="375"/>
      <c r="N23" s="375"/>
      <c r="O23" s="377"/>
      <c r="P23" s="53"/>
      <c r="Q23" s="375"/>
      <c r="R23" s="377"/>
      <c r="S23" s="377"/>
      <c r="T23" s="1745"/>
      <c r="U23" s="377"/>
      <c r="V23" s="375"/>
      <c r="W23" s="95"/>
      <c r="X23" s="96"/>
      <c r="Y23" s="41"/>
    </row>
    <row r="24" spans="1:25" ht="30" customHeight="1">
      <c r="A24" s="72"/>
      <c r="B24" s="72"/>
      <c r="C24" s="72"/>
      <c r="D24" s="75"/>
      <c r="E24" s="75"/>
      <c r="F24" s="75"/>
      <c r="G24" s="72"/>
      <c r="H24" s="72"/>
      <c r="I24" s="73"/>
      <c r="J24" s="73"/>
      <c r="K24" s="73"/>
      <c r="L24" s="74"/>
      <c r="M24" s="75"/>
      <c r="N24" s="75"/>
      <c r="O24" s="75"/>
      <c r="P24" s="11">
        <f>SUM(P3:P23)</f>
        <v>340210</v>
      </c>
      <c r="Q24" s="76"/>
      <c r="R24" s="77"/>
      <c r="S24" s="76"/>
      <c r="T24" s="76"/>
      <c r="U24" s="77"/>
      <c r="V24" s="66">
        <f>SUM(V3:V23)</f>
        <v>-7228325</v>
      </c>
      <c r="W24" s="74"/>
      <c r="X24" s="74"/>
    </row>
    <row r="25" spans="1:25" ht="21.95" customHeight="1">
      <c r="A25" s="4"/>
      <c r="B25" s="4"/>
      <c r="C25" s="4"/>
      <c r="D25" s="7"/>
      <c r="E25" s="7"/>
      <c r="F25" s="7"/>
      <c r="G25" s="4"/>
      <c r="H25" s="4"/>
      <c r="I25" s="5"/>
      <c r="J25" s="5"/>
      <c r="K25" s="5"/>
      <c r="L25" s="5"/>
      <c r="M25" s="7"/>
      <c r="N25" s="7"/>
      <c r="O25" s="7"/>
      <c r="P25" s="7"/>
      <c r="Q25" s="7"/>
      <c r="R25" s="6"/>
      <c r="S25" s="6"/>
      <c r="T25" s="6"/>
      <c r="U25" s="5"/>
      <c r="V25" s="5"/>
      <c r="W25" s="5"/>
      <c r="X25" s="5"/>
    </row>
    <row r="26" spans="1:25" ht="21.95" customHeight="1">
      <c r="A26" s="4"/>
      <c r="B26" s="4"/>
      <c r="C26" s="4"/>
      <c r="D26" s="7"/>
      <c r="E26" s="7"/>
      <c r="F26" s="7"/>
      <c r="G26" s="4"/>
      <c r="H26" s="4"/>
      <c r="I26" s="5"/>
      <c r="J26" s="5"/>
      <c r="K26" s="5"/>
      <c r="L26" s="5"/>
      <c r="M26" s="7"/>
      <c r="N26" s="7"/>
      <c r="O26" s="7"/>
      <c r="P26" s="7"/>
      <c r="Q26" s="7"/>
      <c r="R26" s="5"/>
      <c r="S26" s="5"/>
      <c r="T26" s="5"/>
      <c r="U26" s="5"/>
      <c r="V26" s="5"/>
      <c r="W26" s="5"/>
      <c r="X26" s="5"/>
    </row>
    <row r="27" spans="1:25" ht="21.95" customHeight="1">
      <c r="A27" s="4"/>
      <c r="B27" s="4"/>
      <c r="C27" s="4"/>
      <c r="D27" s="7"/>
      <c r="E27" s="7"/>
      <c r="F27" s="7"/>
      <c r="G27" s="4"/>
      <c r="H27" s="4"/>
      <c r="I27" s="5"/>
      <c r="J27" s="5"/>
      <c r="K27" s="5"/>
      <c r="L27" s="5"/>
      <c r="M27" s="7"/>
      <c r="N27" s="7"/>
      <c r="O27" s="7"/>
      <c r="P27" s="7"/>
      <c r="Q27" s="7"/>
      <c r="R27" s="5"/>
      <c r="S27" s="5"/>
      <c r="T27" s="5"/>
      <c r="U27" s="5"/>
      <c r="V27" s="5"/>
      <c r="W27" s="5"/>
      <c r="X27" s="5"/>
    </row>
    <row r="28" spans="1:25" ht="21.95" customHeight="1">
      <c r="A28" s="4"/>
      <c r="B28" s="4"/>
      <c r="C28" s="4"/>
      <c r="D28" s="7"/>
      <c r="E28" s="7"/>
      <c r="F28" s="7"/>
      <c r="G28" s="4"/>
      <c r="H28" s="4"/>
      <c r="I28" s="5"/>
      <c r="J28" s="5"/>
      <c r="K28" s="5"/>
      <c r="L28" s="5"/>
      <c r="M28" s="7"/>
      <c r="N28" s="7"/>
      <c r="O28" s="7"/>
      <c r="P28" s="7"/>
      <c r="Q28" s="7"/>
      <c r="R28" s="7"/>
      <c r="S28" s="5"/>
      <c r="T28" s="5"/>
      <c r="U28" s="7"/>
      <c r="V28" s="7"/>
      <c r="W28" s="5"/>
      <c r="X28" s="5"/>
    </row>
    <row r="29" spans="1:25" ht="21.95" customHeight="1">
      <c r="A29" s="4"/>
      <c r="B29" s="4"/>
      <c r="C29" s="4"/>
      <c r="D29" s="7"/>
      <c r="E29" s="7"/>
      <c r="F29" s="7"/>
      <c r="G29" s="4"/>
      <c r="H29" s="4"/>
      <c r="I29" s="5"/>
      <c r="J29" s="5"/>
      <c r="K29" s="5"/>
      <c r="L29" s="5"/>
      <c r="M29" s="7"/>
      <c r="N29" s="7"/>
      <c r="O29" s="7"/>
      <c r="P29" s="7"/>
      <c r="Q29" s="7"/>
      <c r="R29" s="7"/>
      <c r="S29" s="5"/>
      <c r="T29" s="5"/>
      <c r="U29" s="5"/>
      <c r="V29" s="5"/>
      <c r="W29" s="5"/>
      <c r="X29" s="5"/>
    </row>
    <row r="30" spans="1:25" ht="21.95" customHeight="1">
      <c r="A30" s="4"/>
      <c r="B30" s="4"/>
      <c r="C30" s="4"/>
      <c r="D30" s="7"/>
      <c r="E30" s="7"/>
      <c r="F30" s="7"/>
      <c r="G30" s="4"/>
      <c r="H30" s="4"/>
      <c r="I30" s="5"/>
      <c r="J30" s="5"/>
      <c r="K30" s="5"/>
      <c r="L30" s="5"/>
      <c r="M30" s="7"/>
      <c r="N30" s="7"/>
      <c r="O30" s="7"/>
      <c r="P30" s="7"/>
      <c r="Q30" s="7"/>
      <c r="R30" s="5"/>
      <c r="S30" s="5"/>
      <c r="T30" s="5"/>
      <c r="U30" s="5"/>
      <c r="V30" s="5"/>
      <c r="W30" s="5"/>
      <c r="X30" s="5"/>
    </row>
    <row r="31" spans="1:25" ht="21.95" customHeight="1">
      <c r="A31" s="4"/>
      <c r="B31" s="4"/>
      <c r="C31" s="4"/>
      <c r="D31" s="7"/>
      <c r="E31" s="7"/>
      <c r="F31" s="7"/>
      <c r="G31" s="4"/>
      <c r="H31" s="4"/>
      <c r="I31" s="5"/>
      <c r="J31" s="5"/>
      <c r="K31" s="5"/>
      <c r="L31" s="5"/>
      <c r="M31" s="7"/>
      <c r="N31" s="7"/>
      <c r="O31" s="7"/>
      <c r="P31" s="7"/>
      <c r="Q31" s="7"/>
      <c r="R31" s="5"/>
      <c r="S31" s="5"/>
      <c r="T31" s="5"/>
      <c r="U31" s="5"/>
      <c r="V31" s="7"/>
      <c r="W31" s="5"/>
      <c r="X31" s="5"/>
    </row>
    <row r="32" spans="1:25" ht="21.95" customHeight="1">
      <c r="A32" s="4"/>
      <c r="B32" s="4"/>
      <c r="C32" s="4"/>
      <c r="D32" s="7"/>
      <c r="E32" s="7"/>
      <c r="F32" s="7"/>
      <c r="G32" s="4"/>
      <c r="H32" s="4"/>
      <c r="I32" s="5"/>
      <c r="J32" s="5"/>
      <c r="K32" s="5"/>
      <c r="L32" s="5"/>
      <c r="M32" s="7"/>
      <c r="N32" s="7"/>
      <c r="O32" s="7"/>
      <c r="P32" s="7"/>
      <c r="Q32" s="7"/>
      <c r="R32" s="5"/>
      <c r="S32" s="5"/>
      <c r="T32" s="5"/>
      <c r="U32" s="5"/>
      <c r="V32" s="5"/>
      <c r="W32" s="5"/>
      <c r="X32" s="5"/>
    </row>
    <row r="33" spans="1:24" ht="21.95" customHeight="1">
      <c r="A33" s="4"/>
      <c r="B33" s="4"/>
      <c r="C33" s="4"/>
      <c r="D33" s="7"/>
      <c r="E33" s="7"/>
      <c r="F33" s="7"/>
      <c r="G33" s="4"/>
      <c r="H33" s="4"/>
      <c r="I33" s="5"/>
      <c r="J33" s="5"/>
      <c r="K33" s="5"/>
      <c r="L33" s="5"/>
      <c r="M33" s="7"/>
      <c r="N33" s="7"/>
      <c r="O33" s="7"/>
      <c r="P33" s="7"/>
      <c r="Q33" s="7"/>
      <c r="R33" s="5"/>
      <c r="S33" s="5"/>
      <c r="T33" s="5"/>
      <c r="U33" s="5"/>
      <c r="V33" s="5"/>
      <c r="W33" s="5"/>
      <c r="X33" s="5"/>
    </row>
    <row r="34" spans="1:24" ht="21.95" customHeight="1">
      <c r="A34" s="4"/>
      <c r="B34" s="4"/>
      <c r="C34" s="4"/>
      <c r="D34" s="7"/>
      <c r="E34" s="7"/>
      <c r="F34" s="7"/>
      <c r="G34" s="4"/>
      <c r="H34" s="4"/>
      <c r="I34" s="5"/>
      <c r="J34" s="5"/>
      <c r="K34" s="5"/>
      <c r="L34" s="5"/>
      <c r="M34" s="7"/>
      <c r="N34" s="7"/>
      <c r="O34" s="7"/>
      <c r="P34" s="7"/>
      <c r="Q34" s="7"/>
      <c r="R34" s="5"/>
      <c r="S34" s="5"/>
      <c r="T34" s="5"/>
      <c r="U34" s="5"/>
      <c r="V34" s="5"/>
      <c r="W34" s="5"/>
      <c r="X34" s="5"/>
    </row>
    <row r="35" spans="1:24" ht="21.95" customHeight="1">
      <c r="A35" s="4"/>
      <c r="B35" s="4"/>
      <c r="C35" s="4"/>
      <c r="D35" s="7"/>
      <c r="E35" s="7"/>
      <c r="F35" s="7"/>
      <c r="G35" s="4"/>
      <c r="H35" s="4"/>
      <c r="I35" s="5"/>
      <c r="J35" s="5"/>
      <c r="K35" s="5"/>
      <c r="L35" s="5"/>
      <c r="M35" s="7"/>
      <c r="N35" s="7"/>
      <c r="O35" s="7"/>
      <c r="P35" s="7"/>
      <c r="Q35" s="7"/>
      <c r="R35" s="5"/>
      <c r="S35" s="5"/>
      <c r="T35" s="5"/>
      <c r="U35" s="5"/>
      <c r="V35" s="5"/>
      <c r="W35" s="5"/>
      <c r="X35" s="5"/>
    </row>
    <row r="36" spans="1:24" ht="21.95" customHeight="1">
      <c r="A36" s="4"/>
      <c r="B36" s="4"/>
      <c r="C36" s="4"/>
      <c r="D36" s="7"/>
      <c r="E36" s="7"/>
      <c r="F36" s="7"/>
      <c r="G36" s="4"/>
      <c r="H36" s="4"/>
      <c r="I36" s="5"/>
      <c r="J36" s="5"/>
      <c r="K36" s="5"/>
      <c r="L36" s="5"/>
      <c r="M36" s="7"/>
      <c r="N36" s="7"/>
      <c r="O36" s="7"/>
      <c r="P36" s="7"/>
      <c r="Q36" s="7"/>
      <c r="R36" s="5"/>
      <c r="S36" s="5"/>
      <c r="T36" s="5"/>
      <c r="U36" s="5"/>
      <c r="V36" s="5"/>
      <c r="W36" s="5"/>
      <c r="X36" s="5"/>
    </row>
    <row r="37" spans="1:24" ht="21.95" customHeight="1">
      <c r="A37" s="4"/>
      <c r="B37" s="4"/>
      <c r="C37" s="4"/>
      <c r="D37" s="7"/>
      <c r="E37" s="7"/>
      <c r="F37" s="7"/>
      <c r="G37" s="4"/>
      <c r="H37" s="4"/>
      <c r="I37" s="5"/>
      <c r="J37" s="5"/>
      <c r="K37" s="5"/>
      <c r="L37" s="5"/>
      <c r="M37" s="7"/>
      <c r="N37" s="7"/>
      <c r="O37" s="7"/>
      <c r="P37" s="7"/>
      <c r="Q37" s="7"/>
      <c r="R37" s="5"/>
      <c r="S37" s="5"/>
      <c r="T37" s="5"/>
      <c r="U37" s="5"/>
      <c r="V37" s="5"/>
      <c r="W37" s="5"/>
      <c r="X37" s="5"/>
    </row>
    <row r="38" spans="1:24" ht="21.95" customHeight="1">
      <c r="A38" s="4"/>
      <c r="B38" s="4"/>
      <c r="C38" s="4"/>
      <c r="D38" s="7"/>
      <c r="E38" s="7"/>
      <c r="F38" s="7"/>
      <c r="G38" s="4"/>
      <c r="H38" s="4"/>
      <c r="I38" s="5"/>
      <c r="J38" s="5"/>
      <c r="K38" s="5"/>
      <c r="L38" s="5"/>
      <c r="M38" s="7"/>
      <c r="N38" s="7"/>
      <c r="O38" s="7"/>
      <c r="P38" s="7"/>
      <c r="Q38" s="7"/>
      <c r="R38" s="5"/>
      <c r="S38" s="5"/>
      <c r="T38" s="5"/>
      <c r="U38" s="5"/>
      <c r="V38" s="5"/>
      <c r="W38" s="5"/>
      <c r="X38" s="5"/>
    </row>
    <row r="39" spans="1:24" ht="21.95" customHeight="1">
      <c r="A39" s="4"/>
      <c r="B39" s="4"/>
      <c r="C39" s="4"/>
      <c r="D39" s="7"/>
      <c r="E39" s="7"/>
      <c r="F39" s="7"/>
      <c r="G39" s="4"/>
      <c r="H39" s="4"/>
      <c r="I39" s="5"/>
      <c r="J39" s="5"/>
      <c r="K39" s="5"/>
      <c r="L39" s="5"/>
      <c r="M39" s="7"/>
      <c r="N39" s="7"/>
      <c r="O39" s="7"/>
      <c r="P39" s="7"/>
      <c r="Q39" s="7"/>
      <c r="R39" s="5"/>
      <c r="S39" s="5"/>
      <c r="T39" s="5"/>
      <c r="U39" s="5"/>
      <c r="V39" s="5"/>
      <c r="W39" s="5"/>
      <c r="X39" s="5"/>
    </row>
    <row r="40" spans="1:24" ht="21.95" customHeight="1">
      <c r="A40" s="4"/>
      <c r="B40" s="4"/>
      <c r="C40" s="4"/>
      <c r="D40" s="7"/>
      <c r="E40" s="7"/>
      <c r="F40" s="7"/>
      <c r="G40" s="4"/>
      <c r="H40" s="4"/>
      <c r="I40" s="5"/>
      <c r="J40" s="5"/>
      <c r="K40" s="5"/>
      <c r="L40" s="5"/>
      <c r="M40" s="7"/>
      <c r="N40" s="7"/>
      <c r="O40" s="7"/>
      <c r="P40" s="7"/>
      <c r="Q40" s="7"/>
      <c r="R40" s="5"/>
      <c r="S40" s="5"/>
      <c r="T40" s="5"/>
      <c r="U40" s="5"/>
      <c r="V40" s="5"/>
      <c r="W40" s="5"/>
      <c r="X40" s="5"/>
    </row>
    <row r="41" spans="1:24" ht="21.95" customHeight="1">
      <c r="A41" s="4"/>
      <c r="B41" s="4"/>
      <c r="C41" s="4"/>
      <c r="D41" s="7"/>
      <c r="E41" s="7"/>
      <c r="F41" s="7"/>
      <c r="G41" s="4"/>
      <c r="H41" s="4"/>
      <c r="I41" s="5"/>
      <c r="J41" s="5"/>
      <c r="K41" s="5"/>
      <c r="L41" s="5"/>
      <c r="M41" s="7"/>
      <c r="N41" s="7"/>
      <c r="O41" s="7"/>
      <c r="P41" s="7"/>
      <c r="Q41" s="7"/>
      <c r="R41" s="5"/>
      <c r="S41" s="5"/>
      <c r="T41" s="5"/>
      <c r="U41" s="5"/>
      <c r="V41" s="5"/>
      <c r="W41" s="5"/>
      <c r="X41" s="5"/>
    </row>
    <row r="42" spans="1:24" ht="21.95" customHeight="1">
      <c r="A42" s="4"/>
      <c r="B42" s="4"/>
      <c r="C42" s="4"/>
      <c r="D42" s="7"/>
      <c r="E42" s="7"/>
      <c r="F42" s="7"/>
      <c r="G42" s="4"/>
      <c r="H42" s="4"/>
      <c r="I42" s="5"/>
      <c r="J42" s="5"/>
      <c r="K42" s="5"/>
      <c r="L42" s="5"/>
      <c r="M42" s="7"/>
      <c r="N42" s="7"/>
      <c r="O42" s="7"/>
      <c r="P42" s="7"/>
      <c r="Q42" s="7"/>
      <c r="R42" s="5"/>
      <c r="S42" s="5"/>
      <c r="T42" s="5"/>
      <c r="U42" s="5"/>
      <c r="V42" s="5"/>
      <c r="W42" s="5"/>
      <c r="X42" s="5"/>
    </row>
    <row r="43" spans="1:24" ht="21.95" customHeight="1">
      <c r="A43" s="4"/>
      <c r="B43" s="4"/>
      <c r="C43" s="4"/>
      <c r="D43" s="7"/>
      <c r="E43" s="7"/>
      <c r="F43" s="7"/>
      <c r="G43" s="4"/>
      <c r="H43" s="4"/>
      <c r="I43" s="5"/>
      <c r="J43" s="5"/>
      <c r="K43" s="5"/>
      <c r="L43" s="5"/>
      <c r="M43" s="7"/>
      <c r="N43" s="7"/>
      <c r="O43" s="7"/>
      <c r="P43" s="7"/>
      <c r="Q43" s="7"/>
      <c r="R43" s="5"/>
      <c r="S43" s="5"/>
      <c r="T43" s="5"/>
      <c r="U43" s="5"/>
      <c r="V43" s="5"/>
      <c r="W43" s="5"/>
      <c r="X43" s="5"/>
    </row>
    <row r="44" spans="1:24" ht="21.95" customHeight="1">
      <c r="A44" s="4"/>
      <c r="B44" s="4"/>
      <c r="C44" s="4"/>
      <c r="D44" s="7"/>
      <c r="E44" s="7"/>
      <c r="F44" s="7"/>
      <c r="G44" s="4"/>
      <c r="H44" s="4"/>
      <c r="I44" s="5"/>
      <c r="J44" s="5"/>
      <c r="K44" s="5"/>
      <c r="L44" s="5"/>
      <c r="M44" s="7"/>
      <c r="N44" s="7"/>
      <c r="O44" s="7"/>
      <c r="P44" s="7"/>
      <c r="Q44" s="7"/>
      <c r="R44" s="5"/>
      <c r="S44" s="5"/>
      <c r="T44" s="5"/>
      <c r="U44" s="5"/>
      <c r="V44" s="5"/>
      <c r="W44" s="5"/>
      <c r="X44" s="5"/>
    </row>
    <row r="45" spans="1:24" ht="21.95" customHeight="1">
      <c r="A45" s="4"/>
      <c r="B45" s="4"/>
      <c r="C45" s="4"/>
      <c r="D45" s="7"/>
      <c r="E45" s="7"/>
      <c r="F45" s="7"/>
      <c r="G45" s="4"/>
      <c r="H45" s="4"/>
      <c r="I45" s="5"/>
      <c r="J45" s="5"/>
      <c r="K45" s="5"/>
      <c r="L45" s="5"/>
      <c r="M45" s="7"/>
      <c r="N45" s="7"/>
      <c r="O45" s="7"/>
      <c r="P45" s="7"/>
      <c r="Q45" s="7"/>
      <c r="R45" s="5"/>
      <c r="S45" s="5"/>
      <c r="T45" s="5"/>
      <c r="U45" s="5"/>
      <c r="V45" s="5"/>
      <c r="W45" s="5"/>
      <c r="X45" s="5"/>
    </row>
    <row r="46" spans="1:24" ht="21.95" customHeight="1">
      <c r="A46" s="4"/>
      <c r="B46" s="4"/>
      <c r="C46" s="4"/>
      <c r="D46" s="7"/>
      <c r="E46" s="7"/>
      <c r="F46" s="7"/>
      <c r="G46" s="4"/>
      <c r="H46" s="4"/>
      <c r="I46" s="5"/>
      <c r="J46" s="5"/>
      <c r="K46" s="5"/>
      <c r="L46" s="5"/>
      <c r="M46" s="7"/>
      <c r="N46" s="7"/>
      <c r="O46" s="7"/>
      <c r="P46" s="7"/>
      <c r="Q46" s="7"/>
      <c r="R46" s="5"/>
      <c r="S46" s="5"/>
      <c r="T46" s="5"/>
      <c r="U46" s="5"/>
      <c r="V46" s="5"/>
      <c r="W46" s="5"/>
      <c r="X46" s="5"/>
    </row>
    <row r="47" spans="1:24" ht="21.95" customHeight="1">
      <c r="A47" s="4"/>
      <c r="B47" s="4"/>
      <c r="C47" s="4"/>
      <c r="D47" s="7"/>
      <c r="E47" s="7"/>
      <c r="F47" s="7"/>
      <c r="G47" s="4"/>
      <c r="H47" s="4"/>
      <c r="I47" s="5"/>
      <c r="J47" s="5"/>
      <c r="K47" s="5"/>
      <c r="L47" s="5"/>
      <c r="M47" s="7"/>
      <c r="N47" s="7"/>
      <c r="O47" s="7"/>
      <c r="P47" s="7"/>
      <c r="Q47" s="7"/>
      <c r="R47" s="5"/>
      <c r="S47" s="5"/>
      <c r="T47" s="5"/>
      <c r="U47" s="5"/>
      <c r="V47" s="5"/>
      <c r="W47" s="5"/>
      <c r="X47" s="5"/>
    </row>
    <row r="48" spans="1:24" ht="21.95" customHeight="1">
      <c r="A48" s="4"/>
      <c r="B48" s="4"/>
      <c r="C48" s="4"/>
      <c r="D48" s="81"/>
      <c r="E48" s="81"/>
      <c r="F48" s="81"/>
      <c r="G48" s="4"/>
      <c r="H48" s="4"/>
      <c r="I48" s="5"/>
      <c r="J48" s="5"/>
      <c r="K48" s="5"/>
      <c r="L48" s="5"/>
      <c r="M48" s="7"/>
      <c r="N48" s="7"/>
      <c r="O48" s="7"/>
      <c r="P48" s="7"/>
      <c r="Q48" s="7"/>
      <c r="R48" s="5"/>
      <c r="S48" s="5"/>
      <c r="T48" s="5"/>
      <c r="U48" s="5"/>
      <c r="V48" s="5"/>
      <c r="W48" s="5"/>
      <c r="X48" s="5"/>
    </row>
    <row r="49" spans="1:24" ht="21.95" customHeight="1">
      <c r="A49" s="4"/>
      <c r="B49" s="4"/>
      <c r="C49" s="4"/>
      <c r="D49" s="7"/>
      <c r="E49" s="7"/>
      <c r="F49" s="7"/>
      <c r="G49" s="4"/>
      <c r="H49" s="4"/>
      <c r="I49" s="5"/>
      <c r="J49" s="5"/>
      <c r="K49" s="5"/>
      <c r="L49" s="5"/>
      <c r="M49" s="7"/>
      <c r="N49" s="7"/>
      <c r="O49" s="7"/>
      <c r="P49" s="7"/>
      <c r="Q49" s="7"/>
      <c r="R49" s="5"/>
      <c r="S49" s="5"/>
      <c r="T49" s="5"/>
      <c r="U49" s="5"/>
      <c r="V49" s="5"/>
      <c r="W49" s="5"/>
      <c r="X49" s="5"/>
    </row>
    <row r="50" spans="1:24" ht="21.95" customHeight="1">
      <c r="A50" s="4"/>
      <c r="B50" s="4"/>
      <c r="C50" s="4"/>
      <c r="D50" s="7"/>
      <c r="E50" s="7"/>
      <c r="F50" s="7"/>
      <c r="G50" s="4"/>
      <c r="H50" s="4"/>
      <c r="I50" s="5"/>
      <c r="J50" s="5"/>
      <c r="K50" s="5"/>
      <c r="L50" s="5"/>
      <c r="M50" s="7"/>
      <c r="N50" s="7"/>
      <c r="O50" s="7"/>
      <c r="P50" s="7"/>
      <c r="Q50" s="7"/>
      <c r="R50" s="5"/>
      <c r="S50" s="5"/>
      <c r="T50" s="5"/>
      <c r="U50" s="5"/>
      <c r="V50" s="5"/>
      <c r="W50" s="5"/>
      <c r="X50" s="5"/>
    </row>
    <row r="51" spans="1:24" ht="21.95" customHeight="1">
      <c r="A51" s="4"/>
      <c r="B51" s="4"/>
      <c r="C51" s="4"/>
      <c r="D51" s="7"/>
      <c r="E51" s="7"/>
      <c r="F51" s="7"/>
      <c r="G51" s="4"/>
      <c r="H51" s="4"/>
      <c r="I51" s="5"/>
      <c r="J51" s="5"/>
      <c r="K51" s="5"/>
      <c r="L51" s="5"/>
      <c r="M51" s="7"/>
      <c r="N51" s="7"/>
      <c r="O51" s="7"/>
      <c r="P51" s="7"/>
      <c r="Q51" s="7"/>
      <c r="R51" s="5"/>
      <c r="S51" s="5"/>
      <c r="T51" s="5"/>
      <c r="U51" s="5"/>
      <c r="V51" s="5"/>
      <c r="W51" s="5"/>
      <c r="X51" s="5"/>
    </row>
    <row r="52" spans="1:24" ht="21.95" customHeight="1">
      <c r="A52" s="4"/>
      <c r="B52" s="4"/>
      <c r="C52" s="4"/>
      <c r="D52" s="7"/>
      <c r="E52" s="7"/>
      <c r="F52" s="7"/>
      <c r="G52" s="4"/>
      <c r="H52" s="4"/>
      <c r="I52" s="5"/>
      <c r="J52" s="5"/>
      <c r="K52" s="5"/>
      <c r="L52" s="5"/>
      <c r="M52" s="7"/>
      <c r="N52" s="7"/>
      <c r="O52" s="7"/>
      <c r="P52" s="7"/>
      <c r="Q52" s="7"/>
      <c r="R52" s="5"/>
      <c r="S52" s="5"/>
      <c r="T52" s="5"/>
      <c r="U52" s="5"/>
      <c r="V52" s="5"/>
      <c r="W52" s="5"/>
      <c r="X52" s="5"/>
    </row>
    <row r="53" spans="1:24">
      <c r="A53" s="4"/>
      <c r="B53" s="4"/>
      <c r="C53" s="4"/>
      <c r="D53" s="7"/>
      <c r="E53" s="7"/>
      <c r="F53" s="7"/>
      <c r="G53" s="4"/>
      <c r="H53" s="4"/>
      <c r="I53" s="5"/>
      <c r="J53" s="5"/>
      <c r="K53" s="5"/>
      <c r="L53" s="5"/>
      <c r="M53" s="7"/>
      <c r="N53" s="7"/>
      <c r="O53" s="7"/>
      <c r="P53" s="7"/>
      <c r="Q53" s="7"/>
      <c r="R53" s="5"/>
      <c r="S53" s="5"/>
      <c r="T53" s="5"/>
      <c r="U53" s="5"/>
      <c r="V53" s="5"/>
      <c r="W53" s="5"/>
      <c r="X53" s="5"/>
    </row>
    <row r="54" spans="1:24">
      <c r="A54" s="4"/>
      <c r="B54" s="4"/>
      <c r="C54" s="4"/>
      <c r="D54" s="7"/>
      <c r="E54" s="7"/>
      <c r="F54" s="7"/>
      <c r="G54" s="4"/>
      <c r="H54" s="4"/>
      <c r="I54" s="5"/>
      <c r="J54" s="5"/>
      <c r="K54" s="5"/>
      <c r="L54" s="5"/>
      <c r="M54" s="7"/>
      <c r="N54" s="7"/>
      <c r="O54" s="7"/>
      <c r="P54" s="7"/>
      <c r="Q54" s="7"/>
      <c r="R54" s="5"/>
      <c r="S54" s="5"/>
      <c r="T54" s="5"/>
      <c r="U54" s="5"/>
      <c r="V54" s="5"/>
      <c r="W54" s="5"/>
      <c r="X54" s="5"/>
    </row>
    <row r="55" spans="1:24">
      <c r="A55" s="4"/>
      <c r="B55" s="4"/>
      <c r="C55" s="4"/>
      <c r="D55" s="7"/>
      <c r="E55" s="7"/>
      <c r="F55" s="7"/>
      <c r="G55" s="4"/>
      <c r="H55" s="4"/>
      <c r="I55" s="5"/>
      <c r="J55" s="5"/>
      <c r="K55" s="5"/>
      <c r="L55" s="5"/>
      <c r="M55" s="7"/>
      <c r="N55" s="7"/>
      <c r="O55" s="7"/>
      <c r="P55" s="7"/>
      <c r="Q55" s="7"/>
      <c r="R55" s="5"/>
      <c r="S55" s="5"/>
      <c r="T55" s="5"/>
      <c r="U55" s="5"/>
      <c r="V55" s="5"/>
      <c r="W55" s="5"/>
      <c r="X55" s="5"/>
    </row>
    <row r="56" spans="1:24">
      <c r="A56" s="4"/>
      <c r="B56" s="4"/>
      <c r="C56" s="4"/>
      <c r="D56" s="7"/>
      <c r="E56" s="7"/>
      <c r="F56" s="7"/>
      <c r="G56" s="4"/>
      <c r="H56" s="4"/>
      <c r="I56" s="5"/>
      <c r="J56" s="5"/>
      <c r="K56" s="5"/>
      <c r="L56" s="5"/>
      <c r="M56" s="7"/>
      <c r="N56" s="7"/>
      <c r="O56" s="7"/>
      <c r="P56" s="7"/>
      <c r="Q56" s="7"/>
      <c r="R56" s="5"/>
      <c r="S56" s="5"/>
      <c r="T56" s="5"/>
      <c r="U56" s="5"/>
      <c r="V56" s="5"/>
      <c r="W56" s="5"/>
      <c r="X56" s="5"/>
    </row>
    <row r="57" spans="1:24">
      <c r="A57" s="4"/>
      <c r="B57" s="4"/>
      <c r="C57" s="4"/>
      <c r="D57" s="7"/>
      <c r="E57" s="7"/>
      <c r="F57" s="7"/>
      <c r="G57" s="4"/>
      <c r="H57" s="4"/>
      <c r="I57" s="5"/>
      <c r="J57" s="5"/>
      <c r="K57" s="5"/>
      <c r="L57" s="5"/>
      <c r="M57" s="7"/>
      <c r="N57" s="7"/>
      <c r="O57" s="7"/>
      <c r="P57" s="7"/>
      <c r="Q57" s="7"/>
      <c r="R57" s="5"/>
      <c r="S57" s="5"/>
      <c r="T57" s="5"/>
      <c r="U57" s="5"/>
      <c r="V57" s="5"/>
      <c r="W57" s="5"/>
      <c r="X57" s="5"/>
    </row>
    <row r="58" spans="1:24">
      <c r="A58" s="4"/>
      <c r="B58" s="4"/>
      <c r="C58" s="4"/>
      <c r="D58" s="7"/>
      <c r="E58" s="7"/>
      <c r="F58" s="7"/>
      <c r="G58" s="4"/>
      <c r="H58" s="4"/>
      <c r="I58" s="5"/>
      <c r="J58" s="5"/>
      <c r="K58" s="5"/>
      <c r="L58" s="5"/>
      <c r="M58" s="7"/>
      <c r="N58" s="7"/>
      <c r="O58" s="7"/>
      <c r="P58" s="7"/>
      <c r="Q58" s="7"/>
      <c r="R58" s="5"/>
      <c r="S58" s="5"/>
      <c r="T58" s="5"/>
      <c r="U58" s="5"/>
      <c r="V58" s="5"/>
      <c r="W58" s="5"/>
      <c r="X58" s="5"/>
    </row>
    <row r="59" spans="1:24">
      <c r="A59" s="4"/>
      <c r="B59" s="4"/>
      <c r="C59" s="4"/>
      <c r="D59" s="7"/>
      <c r="E59" s="7"/>
      <c r="F59" s="7"/>
      <c r="G59" s="4"/>
      <c r="H59" s="4"/>
      <c r="I59" s="5"/>
      <c r="J59" s="5"/>
      <c r="K59" s="5"/>
      <c r="L59" s="5"/>
      <c r="M59" s="7"/>
      <c r="N59" s="7"/>
      <c r="O59" s="7"/>
      <c r="P59" s="7"/>
      <c r="Q59" s="7"/>
      <c r="R59" s="5"/>
      <c r="S59" s="5"/>
      <c r="T59" s="5"/>
      <c r="U59" s="5"/>
      <c r="V59" s="5"/>
      <c r="W59" s="5"/>
      <c r="X59" s="5"/>
    </row>
    <row r="60" spans="1:24">
      <c r="A60" s="4"/>
      <c r="B60" s="4"/>
      <c r="C60" s="4"/>
      <c r="D60" s="7"/>
      <c r="E60" s="7"/>
      <c r="F60" s="7"/>
      <c r="G60" s="4"/>
      <c r="H60" s="4"/>
      <c r="I60" s="5"/>
      <c r="J60" s="5"/>
      <c r="K60" s="5"/>
      <c r="L60" s="5"/>
      <c r="M60" s="7"/>
      <c r="N60" s="7"/>
      <c r="O60" s="7"/>
      <c r="P60" s="7"/>
      <c r="Q60" s="7"/>
      <c r="R60" s="5"/>
      <c r="S60" s="5"/>
      <c r="T60" s="5"/>
      <c r="U60" s="5"/>
      <c r="V60" s="5"/>
      <c r="W60" s="5"/>
      <c r="X60" s="5"/>
    </row>
    <row r="61" spans="1:24">
      <c r="A61" s="4"/>
      <c r="B61" s="4"/>
      <c r="C61" s="4"/>
      <c r="D61" s="7"/>
      <c r="E61" s="7"/>
      <c r="F61" s="7"/>
      <c r="G61" s="4"/>
      <c r="H61" s="4"/>
      <c r="I61" s="5"/>
      <c r="J61" s="5"/>
      <c r="K61" s="5"/>
      <c r="L61" s="5"/>
      <c r="M61" s="7"/>
      <c r="N61" s="7"/>
      <c r="O61" s="7"/>
      <c r="P61" s="7"/>
      <c r="Q61" s="7"/>
      <c r="R61" s="5"/>
      <c r="S61" s="5"/>
      <c r="T61" s="5"/>
      <c r="U61" s="5"/>
      <c r="V61" s="5"/>
      <c r="W61" s="5"/>
      <c r="X61" s="5"/>
    </row>
    <row r="62" spans="1:24">
      <c r="A62" s="4"/>
      <c r="B62" s="4"/>
      <c r="C62" s="4"/>
      <c r="D62" s="7"/>
      <c r="E62" s="7"/>
      <c r="F62" s="7"/>
      <c r="G62" s="4"/>
      <c r="H62" s="4"/>
      <c r="I62" s="5"/>
      <c r="J62" s="5"/>
      <c r="K62" s="5"/>
      <c r="L62" s="5"/>
      <c r="M62" s="7"/>
      <c r="N62" s="7"/>
      <c r="O62" s="7"/>
      <c r="P62" s="7"/>
      <c r="Q62" s="7"/>
      <c r="R62" s="5"/>
      <c r="S62" s="5"/>
      <c r="T62" s="5"/>
      <c r="U62" s="5"/>
      <c r="V62" s="5"/>
      <c r="W62" s="5"/>
      <c r="X62" s="5"/>
    </row>
    <row r="63" spans="1:24">
      <c r="A63" s="4"/>
      <c r="B63" s="4"/>
      <c r="C63" s="4"/>
      <c r="D63" s="7"/>
      <c r="E63" s="7"/>
      <c r="F63" s="7"/>
      <c r="G63" s="4"/>
      <c r="H63" s="4"/>
      <c r="I63" s="5"/>
      <c r="J63" s="5"/>
      <c r="K63" s="5"/>
      <c r="L63" s="5"/>
      <c r="M63" s="7"/>
      <c r="N63" s="7"/>
      <c r="O63" s="7"/>
      <c r="P63" s="7"/>
      <c r="Q63" s="7"/>
      <c r="R63" s="5"/>
      <c r="S63" s="5"/>
      <c r="T63" s="5"/>
      <c r="U63" s="5"/>
      <c r="V63" s="5"/>
      <c r="W63" s="5"/>
      <c r="X63" s="5"/>
    </row>
    <row r="64" spans="1:24">
      <c r="A64" s="4"/>
      <c r="B64" s="4"/>
      <c r="C64" s="4"/>
      <c r="D64" s="7"/>
      <c r="E64" s="7"/>
      <c r="F64" s="7"/>
      <c r="G64" s="4"/>
      <c r="H64" s="4"/>
      <c r="I64" s="5"/>
      <c r="J64" s="5"/>
      <c r="K64" s="5"/>
      <c r="L64" s="5"/>
      <c r="M64" s="7"/>
      <c r="N64" s="7"/>
      <c r="O64" s="7"/>
      <c r="P64" s="7"/>
      <c r="Q64" s="7"/>
      <c r="R64" s="5"/>
      <c r="S64" s="5"/>
      <c r="T64" s="5"/>
      <c r="U64" s="5"/>
      <c r="V64" s="5"/>
      <c r="W64" s="5"/>
      <c r="X64" s="5"/>
    </row>
    <row r="65" spans="1:24">
      <c r="A65" s="4"/>
      <c r="B65" s="4"/>
      <c r="C65" s="4"/>
      <c r="D65" s="7"/>
      <c r="E65" s="7"/>
      <c r="F65" s="7"/>
      <c r="G65" s="4"/>
      <c r="H65" s="4"/>
      <c r="I65" s="5"/>
      <c r="J65" s="5"/>
      <c r="K65" s="5"/>
      <c r="L65" s="5"/>
      <c r="M65" s="7"/>
      <c r="N65" s="7"/>
      <c r="O65" s="7"/>
      <c r="P65" s="7"/>
      <c r="Q65" s="7"/>
      <c r="R65" s="5"/>
      <c r="S65" s="5"/>
      <c r="T65" s="5"/>
      <c r="U65" s="5"/>
      <c r="V65" s="5"/>
      <c r="W65" s="5"/>
      <c r="X65" s="5"/>
    </row>
    <row r="66" spans="1:24">
      <c r="A66" s="4"/>
      <c r="B66" s="4"/>
      <c r="C66" s="4"/>
      <c r="D66" s="7"/>
      <c r="E66" s="7"/>
      <c r="F66" s="7"/>
      <c r="G66" s="4"/>
      <c r="H66" s="4"/>
      <c r="I66" s="5"/>
      <c r="J66" s="5"/>
      <c r="K66" s="5"/>
      <c r="L66" s="5"/>
      <c r="M66" s="7"/>
      <c r="N66" s="7"/>
      <c r="O66" s="7"/>
      <c r="P66" s="7"/>
      <c r="Q66" s="7"/>
      <c r="R66" s="5"/>
      <c r="S66" s="5"/>
      <c r="T66" s="5"/>
      <c r="U66" s="5"/>
      <c r="V66" s="5"/>
      <c r="W66" s="5"/>
      <c r="X66" s="5"/>
    </row>
    <row r="67" spans="1:24">
      <c r="A67" s="4"/>
      <c r="B67" s="4"/>
      <c r="C67" s="4"/>
      <c r="D67" s="7"/>
      <c r="E67" s="7"/>
      <c r="F67" s="7"/>
      <c r="G67" s="4"/>
      <c r="H67" s="4"/>
      <c r="I67" s="5"/>
      <c r="J67" s="5"/>
      <c r="K67" s="5"/>
      <c r="L67" s="5"/>
      <c r="M67" s="7"/>
      <c r="N67" s="7"/>
      <c r="O67" s="7"/>
      <c r="P67" s="7"/>
      <c r="Q67" s="7"/>
      <c r="R67" s="5"/>
      <c r="S67" s="5"/>
      <c r="T67" s="5"/>
      <c r="U67" s="5"/>
      <c r="V67" s="5"/>
      <c r="W67" s="5"/>
      <c r="X67" s="5"/>
    </row>
    <row r="68" spans="1:24">
      <c r="A68" s="4"/>
      <c r="B68" s="4"/>
      <c r="C68" s="4"/>
      <c r="D68" s="7"/>
      <c r="E68" s="7"/>
      <c r="F68" s="7"/>
      <c r="G68" s="4"/>
      <c r="H68" s="4"/>
      <c r="I68" s="5"/>
      <c r="J68" s="5"/>
      <c r="K68" s="5"/>
      <c r="L68" s="5"/>
      <c r="M68" s="7"/>
      <c r="N68" s="7"/>
      <c r="O68" s="7"/>
      <c r="P68" s="7"/>
      <c r="Q68" s="7"/>
      <c r="R68" s="5"/>
      <c r="S68" s="5"/>
      <c r="T68" s="5"/>
      <c r="U68" s="5"/>
      <c r="V68" s="5"/>
      <c r="W68" s="5"/>
      <c r="X68" s="5"/>
    </row>
    <row r="69" spans="1:24">
      <c r="A69" s="4"/>
      <c r="B69" s="4"/>
      <c r="C69" s="4"/>
      <c r="D69" s="7"/>
      <c r="E69" s="7"/>
      <c r="F69" s="7"/>
      <c r="G69" s="4"/>
      <c r="H69" s="4"/>
      <c r="I69" s="5"/>
      <c r="J69" s="5"/>
      <c r="K69" s="5"/>
      <c r="L69" s="5"/>
      <c r="M69" s="7"/>
      <c r="N69" s="7"/>
      <c r="O69" s="7"/>
      <c r="P69" s="7"/>
      <c r="Q69" s="7"/>
      <c r="R69" s="5"/>
      <c r="S69" s="5"/>
      <c r="T69" s="5"/>
      <c r="U69" s="5"/>
      <c r="V69" s="5"/>
      <c r="W69" s="5"/>
      <c r="X69" s="5"/>
    </row>
    <row r="70" spans="1:24">
      <c r="A70" s="4"/>
      <c r="B70" s="4"/>
      <c r="C70" s="4"/>
      <c r="D70" s="7"/>
      <c r="E70" s="7"/>
      <c r="F70" s="7"/>
      <c r="G70" s="4"/>
      <c r="H70" s="4"/>
      <c r="I70" s="5"/>
      <c r="J70" s="5"/>
      <c r="K70" s="5"/>
      <c r="L70" s="5"/>
      <c r="M70" s="7"/>
      <c r="N70" s="7"/>
      <c r="O70" s="7"/>
      <c r="P70" s="7"/>
      <c r="Q70" s="7"/>
      <c r="R70" s="5"/>
      <c r="S70" s="5"/>
      <c r="T70" s="5"/>
      <c r="U70" s="5"/>
      <c r="V70" s="5"/>
      <c r="W70" s="5"/>
      <c r="X70" s="5"/>
    </row>
    <row r="71" spans="1:24">
      <c r="A71" s="4"/>
      <c r="B71" s="4"/>
      <c r="C71" s="4"/>
      <c r="D71" s="7"/>
      <c r="E71" s="7"/>
      <c r="F71" s="7"/>
      <c r="G71" s="4"/>
      <c r="H71" s="4"/>
      <c r="I71" s="5"/>
      <c r="J71" s="5"/>
      <c r="K71" s="5"/>
      <c r="L71" s="5"/>
      <c r="M71" s="7"/>
      <c r="N71" s="7"/>
      <c r="O71" s="7"/>
      <c r="P71" s="7"/>
      <c r="Q71" s="7"/>
      <c r="R71" s="5"/>
      <c r="S71" s="5"/>
      <c r="T71" s="5"/>
      <c r="U71" s="5"/>
      <c r="V71" s="5"/>
      <c r="W71" s="5"/>
      <c r="X71" s="5"/>
    </row>
    <row r="72" spans="1:24">
      <c r="A72" s="4"/>
      <c r="B72" s="4"/>
      <c r="C72" s="4"/>
      <c r="D72" s="7"/>
      <c r="E72" s="7"/>
      <c r="F72" s="7"/>
      <c r="G72" s="4"/>
      <c r="H72" s="4"/>
      <c r="I72" s="5"/>
      <c r="J72" s="5"/>
      <c r="K72" s="5"/>
      <c r="L72" s="5"/>
      <c r="M72" s="7"/>
      <c r="N72" s="7"/>
      <c r="O72" s="7"/>
      <c r="P72" s="7"/>
      <c r="Q72" s="7"/>
      <c r="R72" s="5"/>
      <c r="S72" s="5"/>
      <c r="T72" s="5"/>
      <c r="U72" s="5"/>
      <c r="V72" s="5"/>
      <c r="W72" s="5"/>
      <c r="X72" s="5"/>
    </row>
  </sheetData>
  <autoFilter ref="A2:X21" xr:uid="{C757F140-B8C2-435D-A99C-8DC03375BB7E}"/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EE2C-EB22-4D30-9B2D-BC78BCB62783}">
  <sheetPr>
    <pageSetUpPr fitToPage="1"/>
  </sheetPr>
  <dimension ref="A1:Y60"/>
  <sheetViews>
    <sheetView zoomScale="80" zoomScaleNormal="80" workbookViewId="0">
      <pane ySplit="2" topLeftCell="A3" activePane="bottomLeft" state="frozen"/>
      <selection activeCell="A3" sqref="A3"/>
      <selection pane="bottomLeft" activeCell="M17" sqref="M17"/>
    </sheetView>
  </sheetViews>
  <sheetFormatPr defaultRowHeight="16.5" outlineLevelCol="1"/>
  <cols>
    <col min="1" max="1" width="13" style="3" customWidth="1"/>
    <col min="2" max="2" width="12.25" style="3" customWidth="1"/>
    <col min="3" max="3" width="8.875" style="3" customWidth="1"/>
    <col min="4" max="4" width="21.25" style="2" customWidth="1"/>
    <col min="5" max="6" width="15.625" style="2" customWidth="1"/>
    <col min="7" max="7" width="16.5" style="3" bestFit="1" customWidth="1"/>
    <col min="8" max="8" width="16.375" style="3" customWidth="1"/>
    <col min="9" max="9" width="15.75" style="388" customWidth="1"/>
    <col min="10" max="11" width="15.75" style="388" hidden="1" customWidth="1" outlineLevel="1"/>
    <col min="12" max="12" width="14.25" style="388" customWidth="1" collapsed="1"/>
    <col min="13" max="13" width="14.75" style="2" customWidth="1"/>
    <col min="14" max="15" width="15.75" style="2" hidden="1" customWidth="1" outlineLevel="1"/>
    <col min="16" max="16" width="15.75" style="2" customWidth="1" collapsed="1"/>
    <col min="17" max="17" width="17" style="2" customWidth="1"/>
    <col min="18" max="18" width="9.5" style="388" customWidth="1"/>
    <col min="19" max="19" width="15.75" style="388" customWidth="1"/>
    <col min="20" max="20" width="9.5" style="388" customWidth="1"/>
    <col min="21" max="21" width="15.75" style="388" customWidth="1"/>
    <col min="22" max="22" width="18.75" style="388" customWidth="1"/>
    <col min="23" max="23" width="15.75" style="388" customWidth="1"/>
    <col min="24" max="24" width="30.875" style="388" customWidth="1"/>
    <col min="25" max="25" width="15.625" style="388" customWidth="1"/>
    <col min="26" max="26" width="9" style="388"/>
    <col min="27" max="27" width="10.625" style="388" bestFit="1" customWidth="1"/>
    <col min="28" max="16384" width="9" style="388"/>
  </cols>
  <sheetData>
    <row r="1" spans="1:25" ht="15.75" customHeight="1">
      <c r="A1" s="4"/>
      <c r="B1" s="4"/>
      <c r="C1" s="4"/>
      <c r="D1" s="7"/>
      <c r="E1" s="7"/>
      <c r="F1" s="7"/>
      <c r="G1" s="4"/>
      <c r="H1" s="4"/>
      <c r="I1" s="5"/>
      <c r="J1" s="5"/>
      <c r="K1" s="5"/>
      <c r="L1" s="5"/>
      <c r="M1" s="7"/>
      <c r="N1" s="7"/>
      <c r="O1" s="7"/>
      <c r="P1" s="7"/>
      <c r="Q1" s="7"/>
      <c r="R1" s="6"/>
      <c r="S1" s="6"/>
      <c r="T1" s="6"/>
      <c r="U1" s="5"/>
      <c r="V1" s="5"/>
      <c r="W1" s="5"/>
      <c r="X1" s="5"/>
      <c r="Y1" s="5"/>
    </row>
    <row r="2" spans="1:25" ht="30.75" customHeight="1">
      <c r="A2" s="78" t="s">
        <v>469</v>
      </c>
      <c r="B2" s="78" t="s">
        <v>388</v>
      </c>
      <c r="C2" s="78" t="s">
        <v>389</v>
      </c>
      <c r="D2" s="79" t="s">
        <v>390</v>
      </c>
      <c r="E2" s="1895" t="s">
        <v>452</v>
      </c>
      <c r="F2" s="1895" t="s">
        <v>742</v>
      </c>
      <c r="G2" s="78" t="s">
        <v>14</v>
      </c>
      <c r="H2" s="78" t="s">
        <v>13</v>
      </c>
      <c r="I2" s="78" t="s">
        <v>0</v>
      </c>
      <c r="J2" s="78" t="s">
        <v>249</v>
      </c>
      <c r="K2" s="78" t="s">
        <v>260</v>
      </c>
      <c r="L2" s="1895" t="s">
        <v>741</v>
      </c>
      <c r="M2" s="79" t="s">
        <v>2</v>
      </c>
      <c r="N2" s="79" t="s">
        <v>80</v>
      </c>
      <c r="O2" s="79" t="s">
        <v>81</v>
      </c>
      <c r="P2" s="8" t="s">
        <v>9</v>
      </c>
      <c r="Q2" s="67" t="s">
        <v>78</v>
      </c>
      <c r="R2" s="68" t="s">
        <v>79</v>
      </c>
      <c r="S2" s="69" t="s">
        <v>77</v>
      </c>
      <c r="T2" s="69" t="s">
        <v>743</v>
      </c>
      <c r="U2" s="70" t="s">
        <v>7</v>
      </c>
      <c r="V2" s="9" t="s">
        <v>8</v>
      </c>
      <c r="W2" s="78" t="s">
        <v>3</v>
      </c>
      <c r="X2" s="78" t="s">
        <v>10</v>
      </c>
      <c r="Y2" s="80" t="s">
        <v>82</v>
      </c>
    </row>
    <row r="3" spans="1:25" ht="21.95" customHeight="1">
      <c r="A3" s="1869">
        <v>46161</v>
      </c>
      <c r="B3" s="1869"/>
      <c r="C3" s="1871" t="s">
        <v>451</v>
      </c>
      <c r="D3" s="1015" t="s">
        <v>264</v>
      </c>
      <c r="E3" s="1015"/>
      <c r="F3" s="1015" t="s">
        <v>570</v>
      </c>
      <c r="G3" s="322" t="s">
        <v>6</v>
      </c>
      <c r="H3" s="322" t="s">
        <v>568</v>
      </c>
      <c r="I3" s="322" t="s">
        <v>569</v>
      </c>
      <c r="J3" s="322"/>
      <c r="K3" s="322"/>
      <c r="L3" s="322" t="s">
        <v>570</v>
      </c>
      <c r="M3" s="1882" t="s">
        <v>571</v>
      </c>
      <c r="N3" s="1857">
        <v>15220</v>
      </c>
      <c r="O3" s="1857">
        <v>27820</v>
      </c>
      <c r="P3" s="58">
        <f>O3-N3</f>
        <v>12600</v>
      </c>
      <c r="Q3" s="1870"/>
      <c r="R3" s="1870"/>
      <c r="S3" s="1870">
        <v>12600</v>
      </c>
      <c r="T3" s="1870"/>
      <c r="U3" s="1863">
        <v>0</v>
      </c>
      <c r="V3" s="1863">
        <v>0</v>
      </c>
      <c r="W3" s="1856" t="s">
        <v>5</v>
      </c>
      <c r="X3" s="1498" t="s">
        <v>308</v>
      </c>
      <c r="Y3" s="1848"/>
    </row>
    <row r="4" spans="1:25" ht="21.95" customHeight="1">
      <c r="A4" s="87">
        <v>46171</v>
      </c>
      <c r="B4" s="87"/>
      <c r="C4" s="87" t="s">
        <v>451</v>
      </c>
      <c r="D4" s="387" t="s">
        <v>309</v>
      </c>
      <c r="E4" s="87"/>
      <c r="F4" s="87"/>
      <c r="G4" s="87" t="s">
        <v>17</v>
      </c>
      <c r="H4" s="87" t="s">
        <v>46</v>
      </c>
      <c r="I4" s="87" t="s">
        <v>33</v>
      </c>
      <c r="J4" s="88"/>
      <c r="K4" s="89"/>
      <c r="L4" s="88" t="s">
        <v>618</v>
      </c>
      <c r="M4" s="89" t="s">
        <v>619</v>
      </c>
      <c r="N4" s="90">
        <v>13570</v>
      </c>
      <c r="O4" s="90">
        <v>16400</v>
      </c>
      <c r="P4" s="91">
        <f>O4-N4</f>
        <v>2830</v>
      </c>
      <c r="Q4" s="89"/>
      <c r="R4" s="89"/>
      <c r="S4" s="89">
        <v>2830</v>
      </c>
      <c r="T4" s="89"/>
      <c r="U4" s="92">
        <v>0</v>
      </c>
      <c r="V4" s="92">
        <v>0</v>
      </c>
      <c r="W4" s="508" t="s">
        <v>5</v>
      </c>
      <c r="X4" s="614" t="s">
        <v>308</v>
      </c>
      <c r="Y4" s="1510"/>
    </row>
    <row r="5" spans="1:25" ht="21.95" customHeight="1">
      <c r="A5" s="1533">
        <v>46188</v>
      </c>
      <c r="B5" s="1533">
        <v>46188</v>
      </c>
      <c r="C5" s="1533" t="s">
        <v>738</v>
      </c>
      <c r="D5" s="1533" t="s">
        <v>264</v>
      </c>
      <c r="E5" s="1533" t="s">
        <v>707</v>
      </c>
      <c r="F5" s="1879" t="s">
        <v>708</v>
      </c>
      <c r="G5" s="1533" t="s">
        <v>6</v>
      </c>
      <c r="H5" s="1533" t="s">
        <v>89</v>
      </c>
      <c r="I5" s="1549" t="s">
        <v>740</v>
      </c>
      <c r="J5" s="502"/>
      <c r="K5" s="1529"/>
      <c r="L5" s="502" t="s">
        <v>708</v>
      </c>
      <c r="M5" s="1529" t="s">
        <v>709</v>
      </c>
      <c r="N5" s="1523">
        <v>17600</v>
      </c>
      <c r="O5" s="1523">
        <v>40240</v>
      </c>
      <c r="P5" s="28">
        <v>22640</v>
      </c>
      <c r="Q5" s="1529"/>
      <c r="R5" s="1529"/>
      <c r="S5" s="1529">
        <v>22640</v>
      </c>
      <c r="T5" s="1872"/>
      <c r="U5" s="1530">
        <v>300</v>
      </c>
      <c r="V5" s="1843">
        <f>-U5*S5</f>
        <v>-6792000</v>
      </c>
      <c r="W5" s="1518" t="s">
        <v>5</v>
      </c>
      <c r="X5" s="180"/>
      <c r="Y5" s="1846" t="s">
        <v>771</v>
      </c>
    </row>
    <row r="6" spans="1:25" ht="21.95" customHeight="1">
      <c r="A6" s="1689">
        <v>46195</v>
      </c>
      <c r="B6" s="1689">
        <v>46195</v>
      </c>
      <c r="C6" s="1689" t="s">
        <v>451</v>
      </c>
      <c r="D6" s="124" t="s">
        <v>699</v>
      </c>
      <c r="E6" s="309"/>
      <c r="F6" s="309"/>
      <c r="G6" s="87" t="s">
        <v>17</v>
      </c>
      <c r="H6" s="87" t="s">
        <v>46</v>
      </c>
      <c r="I6" s="87" t="s">
        <v>33</v>
      </c>
      <c r="J6" s="88" t="s">
        <v>252</v>
      </c>
      <c r="K6" s="89" t="s">
        <v>280</v>
      </c>
      <c r="L6" s="88" t="s">
        <v>618</v>
      </c>
      <c r="M6" s="89" t="s">
        <v>619</v>
      </c>
      <c r="N6" s="1677">
        <v>13890</v>
      </c>
      <c r="O6" s="1677">
        <v>14760</v>
      </c>
      <c r="P6" s="157">
        <f>O6-N6</f>
        <v>870</v>
      </c>
      <c r="Q6" s="1690"/>
      <c r="R6" s="1690"/>
      <c r="S6" s="1690">
        <v>870</v>
      </c>
      <c r="T6" s="1883"/>
      <c r="U6" s="1681"/>
      <c r="V6" s="1681">
        <f>-U6*S6</f>
        <v>0</v>
      </c>
      <c r="W6" s="1674" t="s">
        <v>5</v>
      </c>
      <c r="X6" s="510" t="s">
        <v>308</v>
      </c>
      <c r="Y6" s="1510"/>
    </row>
    <row r="7" spans="1:25" ht="21.95" customHeight="1">
      <c r="A7" s="1686">
        <v>46195</v>
      </c>
      <c r="B7" s="1686">
        <v>46196</v>
      </c>
      <c r="C7" s="1686" t="s">
        <v>451</v>
      </c>
      <c r="D7" s="1694" t="s">
        <v>699</v>
      </c>
      <c r="E7" s="310"/>
      <c r="F7" s="310"/>
      <c r="G7" s="1686" t="s">
        <v>17</v>
      </c>
      <c r="H7" s="1686" t="s">
        <v>89</v>
      </c>
      <c r="I7" s="1686" t="s">
        <v>206</v>
      </c>
      <c r="J7" s="226" t="s">
        <v>265</v>
      </c>
      <c r="K7" s="1692" t="s">
        <v>278</v>
      </c>
      <c r="L7" s="226" t="s">
        <v>618</v>
      </c>
      <c r="M7" s="1692" t="s">
        <v>619</v>
      </c>
      <c r="N7" s="1679">
        <v>20330</v>
      </c>
      <c r="O7" s="1679">
        <v>21370</v>
      </c>
      <c r="P7" s="26">
        <f>O7-N7</f>
        <v>1040</v>
      </c>
      <c r="Q7" s="1692"/>
      <c r="R7" s="1692"/>
      <c r="S7" s="1692">
        <f>P7</f>
        <v>1040</v>
      </c>
      <c r="T7" s="1888"/>
      <c r="U7" s="1680"/>
      <c r="V7" s="1844">
        <f t="shared" ref="V7:V10" si="0">-U7*S7</f>
        <v>0</v>
      </c>
      <c r="W7" s="1673" t="s">
        <v>5</v>
      </c>
      <c r="X7" s="1691" t="s">
        <v>735</v>
      </c>
      <c r="Y7" s="1510"/>
    </row>
    <row r="8" spans="1:25" ht="21.95" customHeight="1">
      <c r="A8" s="1687">
        <v>46195</v>
      </c>
      <c r="B8" s="1687">
        <v>46196</v>
      </c>
      <c r="C8" s="1687" t="s">
        <v>451</v>
      </c>
      <c r="D8" s="675" t="s">
        <v>699</v>
      </c>
      <c r="E8" s="1015"/>
      <c r="F8" s="1015"/>
      <c r="G8" s="1687" t="s">
        <v>17</v>
      </c>
      <c r="H8" s="1687" t="s">
        <v>89</v>
      </c>
      <c r="I8" s="1687" t="s">
        <v>206</v>
      </c>
      <c r="J8" s="480" t="s">
        <v>265</v>
      </c>
      <c r="K8" s="1683" t="s">
        <v>278</v>
      </c>
      <c r="L8" s="480" t="s">
        <v>618</v>
      </c>
      <c r="M8" s="1683" t="s">
        <v>619</v>
      </c>
      <c r="N8" s="1676">
        <v>21370</v>
      </c>
      <c r="O8" s="1676">
        <v>23320</v>
      </c>
      <c r="P8" s="461">
        <f>O8-N8</f>
        <v>1950</v>
      </c>
      <c r="Q8" s="1683"/>
      <c r="R8" s="1683"/>
      <c r="S8" s="1683">
        <f>P8</f>
        <v>1950</v>
      </c>
      <c r="T8" s="1867"/>
      <c r="U8" s="1685"/>
      <c r="V8" s="1845">
        <f t="shared" si="0"/>
        <v>0</v>
      </c>
      <c r="W8" s="1675" t="s">
        <v>5</v>
      </c>
      <c r="X8" s="152" t="s">
        <v>735</v>
      </c>
      <c r="Y8" s="1510"/>
    </row>
    <row r="9" spans="1:25" ht="21.95" customHeight="1">
      <c r="A9" s="1774">
        <v>46197</v>
      </c>
      <c r="B9" s="1774">
        <v>46197</v>
      </c>
      <c r="C9" s="1774" t="s">
        <v>738</v>
      </c>
      <c r="D9" s="1774" t="s">
        <v>264</v>
      </c>
      <c r="E9" s="1774" t="s">
        <v>707</v>
      </c>
      <c r="F9" s="1878" t="s">
        <v>708</v>
      </c>
      <c r="G9" s="1774" t="s">
        <v>6</v>
      </c>
      <c r="H9" s="1774" t="s">
        <v>89</v>
      </c>
      <c r="I9" s="1793" t="s">
        <v>740</v>
      </c>
      <c r="J9" s="501"/>
      <c r="K9" s="1765"/>
      <c r="L9" s="501" t="s">
        <v>708</v>
      </c>
      <c r="M9" s="1765" t="s">
        <v>709</v>
      </c>
      <c r="N9" s="1759">
        <v>17220</v>
      </c>
      <c r="O9" s="1759">
        <v>36660</v>
      </c>
      <c r="P9" s="23">
        <f>O9-N9</f>
        <v>19440</v>
      </c>
      <c r="Q9" s="1765"/>
      <c r="R9" s="1765"/>
      <c r="S9" s="1765">
        <f>P9</f>
        <v>19440</v>
      </c>
      <c r="T9" s="1866"/>
      <c r="U9" s="1767">
        <v>300</v>
      </c>
      <c r="V9" s="1843">
        <f t="shared" si="0"/>
        <v>-5832000</v>
      </c>
      <c r="W9" s="1754" t="s">
        <v>5</v>
      </c>
      <c r="X9" s="178"/>
      <c r="Y9" s="1846" t="s">
        <v>771</v>
      </c>
    </row>
    <row r="10" spans="1:25" ht="21.95" customHeight="1">
      <c r="A10" s="1775">
        <v>46197</v>
      </c>
      <c r="B10" s="1775">
        <v>46197</v>
      </c>
      <c r="C10" s="1775" t="s">
        <v>738</v>
      </c>
      <c r="D10" s="1775" t="s">
        <v>264</v>
      </c>
      <c r="E10" s="1775" t="s">
        <v>707</v>
      </c>
      <c r="F10" s="1879" t="s">
        <v>708</v>
      </c>
      <c r="G10" s="1775" t="s">
        <v>6</v>
      </c>
      <c r="H10" s="1775" t="s">
        <v>89</v>
      </c>
      <c r="I10" s="1549" t="s">
        <v>739</v>
      </c>
      <c r="J10" s="502"/>
      <c r="K10" s="1770"/>
      <c r="L10" s="502" t="s">
        <v>708</v>
      </c>
      <c r="M10" s="1770" t="s">
        <v>709</v>
      </c>
      <c r="N10" s="1761">
        <v>17140</v>
      </c>
      <c r="O10" s="1761">
        <v>31620</v>
      </c>
      <c r="P10" s="28">
        <f>O10-N10</f>
        <v>14480</v>
      </c>
      <c r="Q10" s="1770"/>
      <c r="R10" s="1770"/>
      <c r="S10" s="1770">
        <f>P10</f>
        <v>14480</v>
      </c>
      <c r="T10" s="1872"/>
      <c r="U10" s="1771">
        <v>300</v>
      </c>
      <c r="V10" s="1843">
        <f t="shared" si="0"/>
        <v>-4344000</v>
      </c>
      <c r="W10" s="1755" t="s">
        <v>5</v>
      </c>
      <c r="X10" s="180"/>
      <c r="Y10" s="1846" t="s">
        <v>771</v>
      </c>
    </row>
    <row r="11" spans="1:25" ht="21.95" customHeight="1">
      <c r="A11" s="1513"/>
      <c r="B11" s="1513"/>
      <c r="C11" s="1513"/>
      <c r="D11" s="1511"/>
      <c r="E11" s="1511"/>
      <c r="F11" s="1858"/>
      <c r="G11" s="1513"/>
      <c r="H11" s="1513"/>
      <c r="I11" s="1512"/>
      <c r="J11" s="1512"/>
      <c r="K11" s="1512"/>
      <c r="L11" s="1512"/>
      <c r="M11" s="1511"/>
      <c r="N11" s="1511"/>
      <c r="O11" s="1514"/>
      <c r="P11" s="53"/>
      <c r="Q11" s="1511"/>
      <c r="R11" s="1514"/>
      <c r="S11" s="1514"/>
      <c r="T11" s="1883"/>
      <c r="U11" s="1514"/>
      <c r="V11" s="1511"/>
      <c r="W11" s="95"/>
      <c r="X11" s="96"/>
      <c r="Y11" s="41"/>
    </row>
    <row r="12" spans="1:25" ht="30" customHeight="1">
      <c r="A12" s="72"/>
      <c r="B12" s="72"/>
      <c r="C12" s="72"/>
      <c r="D12" s="75"/>
      <c r="E12" s="75"/>
      <c r="F12" s="75"/>
      <c r="G12" s="72"/>
      <c r="H12" s="72"/>
      <c r="I12" s="73"/>
      <c r="J12" s="73"/>
      <c r="K12" s="73"/>
      <c r="L12" s="74"/>
      <c r="M12" s="75"/>
      <c r="N12" s="75"/>
      <c r="O12" s="75"/>
      <c r="P12" s="11">
        <f>SUM(P3:P11)</f>
        <v>75850</v>
      </c>
      <c r="Q12" s="76"/>
      <c r="R12" s="77"/>
      <c r="S12" s="76"/>
      <c r="T12" s="76"/>
      <c r="U12" s="77"/>
      <c r="V12" s="66">
        <f>SUM(V3:V11)</f>
        <v>-16968000</v>
      </c>
      <c r="W12" s="74"/>
      <c r="X12" s="74"/>
    </row>
    <row r="13" spans="1:25" ht="21.95" customHeight="1">
      <c r="A13" s="4"/>
      <c r="B13" s="4"/>
      <c r="C13" s="4"/>
      <c r="D13" s="7"/>
      <c r="E13" s="7"/>
      <c r="F13" s="7"/>
      <c r="G13" s="4"/>
      <c r="H13" s="4"/>
      <c r="I13" s="5"/>
      <c r="J13" s="5"/>
      <c r="K13" s="5"/>
      <c r="L13" s="5"/>
      <c r="M13" s="7"/>
      <c r="N13" s="7"/>
      <c r="O13" s="7"/>
      <c r="P13" s="7"/>
      <c r="Q13" s="7"/>
      <c r="R13" s="6"/>
      <c r="S13" s="6"/>
      <c r="T13" s="6"/>
      <c r="U13" s="5"/>
      <c r="V13" s="5"/>
      <c r="W13" s="5"/>
      <c r="X13" s="5"/>
    </row>
    <row r="14" spans="1:25" ht="21.95" customHeight="1">
      <c r="A14" s="4"/>
      <c r="B14" s="4"/>
      <c r="C14" s="4"/>
      <c r="D14" s="7"/>
      <c r="E14" s="7"/>
      <c r="F14" s="7"/>
      <c r="G14" s="4"/>
      <c r="H14" s="4"/>
      <c r="I14" s="5"/>
      <c r="J14" s="5"/>
      <c r="K14" s="5"/>
      <c r="L14" s="5"/>
      <c r="M14" s="7"/>
      <c r="N14" s="7"/>
      <c r="O14" s="7"/>
      <c r="P14" s="7"/>
      <c r="Q14" s="7"/>
      <c r="R14" s="5"/>
      <c r="S14" s="5"/>
      <c r="T14" s="5"/>
      <c r="U14" s="5"/>
      <c r="V14" s="5"/>
      <c r="W14" s="5"/>
      <c r="X14" s="5"/>
    </row>
    <row r="15" spans="1:25" ht="21.95" customHeight="1">
      <c r="A15" s="4"/>
      <c r="B15" s="4"/>
      <c r="C15" s="4"/>
      <c r="D15" s="7"/>
      <c r="E15" s="7"/>
      <c r="F15" s="7"/>
      <c r="G15" s="4"/>
      <c r="H15" s="4"/>
      <c r="I15" s="5"/>
      <c r="J15" s="5"/>
      <c r="K15" s="5"/>
      <c r="L15" s="5"/>
      <c r="M15" s="7"/>
      <c r="N15" s="7"/>
      <c r="O15" s="7"/>
      <c r="P15" s="7"/>
      <c r="Q15" s="7"/>
      <c r="R15" s="5"/>
      <c r="S15" s="5"/>
      <c r="T15" s="5"/>
      <c r="U15" s="5"/>
      <c r="V15" s="5"/>
      <c r="W15" s="5"/>
      <c r="X15" s="5"/>
    </row>
    <row r="16" spans="1:25" ht="21.95" customHeight="1">
      <c r="A16" s="4"/>
      <c r="B16" s="4"/>
      <c r="C16" s="4"/>
      <c r="D16" s="7"/>
      <c r="E16" s="7"/>
      <c r="F16" s="7"/>
      <c r="G16" s="4"/>
      <c r="H16" s="4"/>
      <c r="I16" s="5"/>
      <c r="J16" s="5"/>
      <c r="K16" s="5"/>
      <c r="L16" s="5"/>
      <c r="M16" s="7"/>
      <c r="N16" s="7"/>
      <c r="O16" s="7"/>
      <c r="P16" s="7"/>
      <c r="Q16" s="7"/>
      <c r="R16" s="7"/>
      <c r="S16" s="5"/>
      <c r="T16" s="5"/>
      <c r="U16" s="7"/>
      <c r="V16" s="7"/>
      <c r="W16" s="5"/>
      <c r="X16" s="5"/>
    </row>
    <row r="17" spans="1:24" ht="21.95" customHeight="1">
      <c r="A17" s="4"/>
      <c r="B17" s="4"/>
      <c r="C17" s="4"/>
      <c r="D17" s="7"/>
      <c r="E17" s="7"/>
      <c r="F17" s="7"/>
      <c r="G17" s="4"/>
      <c r="H17" s="4"/>
      <c r="I17" s="5"/>
      <c r="J17" s="5"/>
      <c r="K17" s="5"/>
      <c r="L17" s="5"/>
      <c r="M17" s="7"/>
      <c r="N17" s="7"/>
      <c r="O17" s="7"/>
      <c r="P17" s="7"/>
      <c r="Q17" s="7"/>
      <c r="R17" s="7"/>
      <c r="S17" s="5"/>
      <c r="T17" s="5"/>
      <c r="U17" s="5"/>
      <c r="V17" s="5"/>
      <c r="W17" s="5"/>
      <c r="X17" s="5"/>
    </row>
    <row r="18" spans="1:24" ht="21.95" customHeight="1">
      <c r="A18" s="4"/>
      <c r="B18" s="4"/>
      <c r="C18" s="4"/>
      <c r="D18" s="7"/>
      <c r="E18" s="7"/>
      <c r="F18" s="7"/>
      <c r="G18" s="4"/>
      <c r="H18" s="4"/>
      <c r="I18" s="5"/>
      <c r="J18" s="5"/>
      <c r="K18" s="5"/>
      <c r="L18" s="5"/>
      <c r="M18" s="7"/>
      <c r="N18" s="7"/>
      <c r="O18" s="7"/>
      <c r="P18" s="7"/>
      <c r="Q18" s="7"/>
      <c r="R18" s="5"/>
      <c r="S18" s="5"/>
      <c r="T18" s="5"/>
      <c r="U18" s="5"/>
      <c r="V18" s="5"/>
      <c r="W18" s="5"/>
      <c r="X18" s="5"/>
    </row>
    <row r="19" spans="1:24" ht="21.95" customHeight="1">
      <c r="A19" s="4"/>
      <c r="B19" s="4"/>
      <c r="C19" s="4"/>
      <c r="D19" s="7"/>
      <c r="E19" s="7"/>
      <c r="F19" s="7"/>
      <c r="G19" s="4"/>
      <c r="H19" s="4"/>
      <c r="I19" s="5"/>
      <c r="J19" s="5"/>
      <c r="K19" s="5"/>
      <c r="L19" s="5"/>
      <c r="M19" s="7"/>
      <c r="N19" s="7"/>
      <c r="O19" s="7"/>
      <c r="P19" s="7"/>
      <c r="Q19" s="7"/>
      <c r="R19" s="5"/>
      <c r="S19" s="5"/>
      <c r="T19" s="5"/>
      <c r="U19" s="5"/>
      <c r="V19" s="7"/>
      <c r="W19" s="5"/>
      <c r="X19" s="5"/>
    </row>
    <row r="20" spans="1:24" ht="21.95" customHeight="1">
      <c r="A20" s="4"/>
      <c r="B20" s="4"/>
      <c r="C20" s="4"/>
      <c r="D20" s="7"/>
      <c r="E20" s="7"/>
      <c r="F20" s="7"/>
      <c r="G20" s="4"/>
      <c r="H20" s="4"/>
      <c r="I20" s="5"/>
      <c r="J20" s="5"/>
      <c r="K20" s="5"/>
      <c r="L20" s="5"/>
      <c r="M20" s="7"/>
      <c r="N20" s="7"/>
      <c r="O20" s="7"/>
      <c r="P20" s="7"/>
      <c r="Q20" s="7"/>
      <c r="R20" s="5"/>
      <c r="S20" s="5"/>
      <c r="T20" s="5"/>
      <c r="U20" s="5"/>
      <c r="V20" s="5"/>
      <c r="W20" s="5"/>
      <c r="X20" s="5"/>
    </row>
    <row r="21" spans="1:24" ht="21.95" customHeight="1">
      <c r="A21" s="4"/>
      <c r="B21" s="4"/>
      <c r="C21" s="4"/>
      <c r="D21" s="7"/>
      <c r="E21" s="7"/>
      <c r="F21" s="7"/>
      <c r="G21" s="4"/>
      <c r="H21" s="4"/>
      <c r="I21" s="5"/>
      <c r="J21" s="5"/>
      <c r="K21" s="5"/>
      <c r="L21" s="5"/>
      <c r="M21" s="7"/>
      <c r="N21" s="7"/>
      <c r="O21" s="7"/>
      <c r="P21" s="7"/>
      <c r="Q21" s="7"/>
      <c r="R21" s="5"/>
      <c r="S21" s="5"/>
      <c r="T21" s="5"/>
      <c r="U21" s="5"/>
      <c r="V21" s="5"/>
      <c r="W21" s="5"/>
      <c r="X21" s="5"/>
    </row>
    <row r="22" spans="1:24" ht="21.95" customHeight="1">
      <c r="A22" s="4"/>
      <c r="B22" s="4"/>
      <c r="C22" s="4"/>
      <c r="D22" s="7"/>
      <c r="E22" s="7"/>
      <c r="F22" s="7"/>
      <c r="G22" s="4"/>
      <c r="H22" s="4"/>
      <c r="I22" s="5"/>
      <c r="J22" s="5"/>
      <c r="K22" s="5"/>
      <c r="L22" s="5"/>
      <c r="M22" s="7"/>
      <c r="N22" s="7"/>
      <c r="O22" s="7"/>
      <c r="P22" s="7"/>
      <c r="Q22" s="7"/>
      <c r="R22" s="5"/>
      <c r="S22" s="5"/>
      <c r="T22" s="5"/>
      <c r="U22" s="5"/>
      <c r="V22" s="5"/>
      <c r="W22" s="5"/>
      <c r="X22" s="5"/>
    </row>
    <row r="23" spans="1:24" ht="21.95" customHeight="1">
      <c r="A23" s="4"/>
      <c r="B23" s="4"/>
      <c r="C23" s="4"/>
      <c r="D23" s="7"/>
      <c r="E23" s="7"/>
      <c r="F23" s="7"/>
      <c r="G23" s="4"/>
      <c r="H23" s="4"/>
      <c r="I23" s="5"/>
      <c r="J23" s="5"/>
      <c r="K23" s="5"/>
      <c r="L23" s="5"/>
      <c r="M23" s="7"/>
      <c r="N23" s="7"/>
      <c r="O23" s="7"/>
      <c r="P23" s="7"/>
      <c r="Q23" s="7"/>
      <c r="R23" s="5"/>
      <c r="S23" s="5"/>
      <c r="T23" s="5"/>
      <c r="U23" s="5"/>
      <c r="V23" s="5"/>
      <c r="W23" s="5"/>
      <c r="X23" s="5"/>
    </row>
    <row r="24" spans="1:24" ht="21.95" customHeight="1">
      <c r="A24" s="4"/>
      <c r="B24" s="4"/>
      <c r="C24" s="4"/>
      <c r="D24" s="7"/>
      <c r="E24" s="7"/>
      <c r="F24" s="7"/>
      <c r="G24" s="4"/>
      <c r="H24" s="4"/>
      <c r="I24" s="5"/>
      <c r="J24" s="5"/>
      <c r="K24" s="5"/>
      <c r="L24" s="5"/>
      <c r="M24" s="7"/>
      <c r="N24" s="7"/>
      <c r="O24" s="7"/>
      <c r="P24" s="7"/>
      <c r="Q24" s="7"/>
      <c r="R24" s="5"/>
      <c r="S24" s="5"/>
      <c r="T24" s="5"/>
      <c r="U24" s="5"/>
      <c r="V24" s="5"/>
      <c r="W24" s="5"/>
      <c r="X24" s="5"/>
    </row>
    <row r="25" spans="1:24" ht="21.95" customHeight="1">
      <c r="A25" s="4"/>
      <c r="B25" s="4"/>
      <c r="C25" s="4"/>
      <c r="D25" s="7"/>
      <c r="E25" s="7"/>
      <c r="F25" s="7"/>
      <c r="G25" s="4"/>
      <c r="H25" s="4"/>
      <c r="I25" s="5"/>
      <c r="J25" s="5"/>
      <c r="K25" s="5"/>
      <c r="L25" s="5"/>
      <c r="M25" s="7"/>
      <c r="N25" s="7"/>
      <c r="O25" s="7"/>
      <c r="P25" s="7"/>
      <c r="Q25" s="7"/>
      <c r="R25" s="5"/>
      <c r="S25" s="5"/>
      <c r="T25" s="5"/>
      <c r="U25" s="5"/>
      <c r="V25" s="5"/>
      <c r="W25" s="5"/>
    </row>
    <row r="26" spans="1:24" ht="21.95" customHeight="1">
      <c r="A26" s="4"/>
      <c r="B26" s="4"/>
      <c r="C26" s="4"/>
      <c r="D26" s="7"/>
      <c r="E26" s="7"/>
      <c r="F26" s="7"/>
      <c r="G26" s="4"/>
      <c r="H26" s="4"/>
      <c r="I26" s="5"/>
      <c r="J26" s="5"/>
      <c r="K26" s="5"/>
      <c r="L26" s="5"/>
      <c r="M26" s="7"/>
      <c r="N26" s="7"/>
      <c r="O26" s="7"/>
      <c r="P26" s="7"/>
      <c r="Q26" s="7"/>
      <c r="R26" s="5"/>
      <c r="S26" s="5"/>
      <c r="T26" s="5"/>
      <c r="U26" s="5"/>
      <c r="V26" s="5"/>
      <c r="W26" s="5"/>
      <c r="X26" s="5"/>
    </row>
    <row r="27" spans="1:24" ht="21.95" customHeight="1">
      <c r="A27" s="4"/>
      <c r="B27" s="4"/>
      <c r="C27" s="4"/>
      <c r="D27" s="7"/>
      <c r="E27" s="7"/>
      <c r="F27" s="7"/>
      <c r="G27" s="4"/>
      <c r="H27" s="4"/>
      <c r="I27" s="5"/>
      <c r="J27" s="5"/>
      <c r="K27" s="5"/>
      <c r="L27" s="5"/>
      <c r="M27" s="7"/>
      <c r="N27" s="7"/>
      <c r="O27" s="7"/>
      <c r="P27" s="7"/>
      <c r="Q27" s="7"/>
      <c r="R27" s="5"/>
      <c r="S27" s="5"/>
      <c r="T27" s="5"/>
      <c r="U27" s="5"/>
      <c r="V27" s="5"/>
      <c r="W27" s="5"/>
      <c r="X27" s="5"/>
    </row>
    <row r="28" spans="1:24" ht="21.95" customHeight="1">
      <c r="A28" s="4"/>
      <c r="B28" s="4"/>
      <c r="C28" s="4"/>
      <c r="D28" s="7"/>
      <c r="E28" s="7"/>
      <c r="F28" s="7"/>
      <c r="G28" s="4"/>
      <c r="H28" s="4"/>
      <c r="I28" s="5"/>
      <c r="J28" s="5"/>
      <c r="K28" s="5"/>
      <c r="L28" s="5"/>
      <c r="M28" s="7"/>
      <c r="N28" s="7"/>
      <c r="O28" s="7"/>
      <c r="P28" s="7"/>
      <c r="Q28" s="7"/>
      <c r="R28" s="5"/>
      <c r="S28" s="5"/>
      <c r="T28" s="5"/>
      <c r="U28" s="5"/>
      <c r="V28" s="5"/>
      <c r="W28" s="5"/>
      <c r="X28" s="5"/>
    </row>
    <row r="29" spans="1:24" ht="21.95" customHeight="1">
      <c r="A29" s="4"/>
      <c r="B29" s="4"/>
      <c r="C29" s="4"/>
      <c r="D29" s="7"/>
      <c r="E29" s="7"/>
      <c r="F29" s="7"/>
      <c r="G29" s="4"/>
      <c r="H29" s="4"/>
      <c r="I29" s="5"/>
      <c r="J29" s="5"/>
      <c r="K29" s="5"/>
      <c r="L29" s="5"/>
      <c r="M29" s="7"/>
      <c r="N29" s="7"/>
      <c r="O29" s="7"/>
      <c r="P29" s="7"/>
      <c r="Q29" s="7"/>
      <c r="R29" s="5"/>
      <c r="S29" s="5"/>
      <c r="T29" s="5"/>
      <c r="U29" s="5"/>
      <c r="V29" s="5"/>
      <c r="W29" s="5"/>
      <c r="X29" s="5"/>
    </row>
    <row r="30" spans="1:24" ht="21.95" customHeight="1">
      <c r="A30" s="4"/>
      <c r="B30" s="4"/>
      <c r="C30" s="4"/>
      <c r="D30" s="7"/>
      <c r="E30" s="7"/>
      <c r="F30" s="7"/>
      <c r="G30" s="4"/>
      <c r="H30" s="4"/>
      <c r="I30" s="5"/>
      <c r="J30" s="5"/>
      <c r="K30" s="5"/>
      <c r="L30" s="5"/>
      <c r="M30" s="7"/>
      <c r="N30" s="7"/>
      <c r="O30" s="7"/>
      <c r="P30" s="7"/>
      <c r="Q30" s="7"/>
      <c r="R30" s="5"/>
      <c r="S30" s="5"/>
      <c r="T30" s="5"/>
      <c r="U30" s="5"/>
      <c r="V30" s="5"/>
      <c r="W30" s="5"/>
      <c r="X30" s="5"/>
    </row>
    <row r="31" spans="1:24" ht="21.95" customHeight="1">
      <c r="A31" s="4"/>
      <c r="B31" s="4"/>
      <c r="C31" s="4"/>
      <c r="D31" s="7"/>
      <c r="E31" s="7"/>
      <c r="F31" s="7"/>
      <c r="G31" s="4"/>
      <c r="H31" s="4"/>
      <c r="I31" s="5"/>
      <c r="J31" s="5"/>
      <c r="K31" s="5"/>
      <c r="L31" s="5"/>
      <c r="M31" s="7"/>
      <c r="N31" s="7"/>
      <c r="O31" s="7"/>
      <c r="P31" s="7"/>
      <c r="Q31" s="7"/>
      <c r="R31" s="5"/>
      <c r="S31" s="5"/>
      <c r="T31" s="5"/>
      <c r="U31" s="5"/>
      <c r="V31" s="5"/>
      <c r="W31" s="5"/>
      <c r="X31" s="5"/>
    </row>
    <row r="32" spans="1:24" ht="21.95" customHeight="1">
      <c r="A32" s="4"/>
      <c r="B32" s="4"/>
      <c r="C32" s="4"/>
      <c r="D32" s="7"/>
      <c r="E32" s="7"/>
      <c r="F32" s="7"/>
      <c r="G32" s="4"/>
      <c r="H32" s="4"/>
      <c r="I32" s="5"/>
      <c r="J32" s="5"/>
      <c r="K32" s="5"/>
      <c r="L32" s="5"/>
      <c r="M32" s="7"/>
      <c r="N32" s="7"/>
      <c r="O32" s="7"/>
      <c r="P32" s="7"/>
      <c r="Q32" s="7"/>
      <c r="R32" s="5"/>
      <c r="S32" s="5"/>
      <c r="T32" s="5"/>
      <c r="U32" s="5"/>
      <c r="V32" s="5"/>
      <c r="W32" s="5"/>
      <c r="X32" s="5"/>
    </row>
    <row r="33" spans="1:24" ht="21.95" customHeight="1">
      <c r="A33" s="4"/>
      <c r="B33" s="4"/>
      <c r="C33" s="4"/>
      <c r="D33" s="7"/>
      <c r="E33" s="7"/>
      <c r="F33" s="7"/>
      <c r="G33" s="4"/>
      <c r="H33" s="4"/>
      <c r="I33" s="5"/>
      <c r="J33" s="5"/>
      <c r="K33" s="5"/>
      <c r="L33" s="5"/>
      <c r="M33" s="7"/>
      <c r="N33" s="7"/>
      <c r="O33" s="7"/>
      <c r="P33" s="7"/>
      <c r="Q33" s="7"/>
      <c r="R33" s="5"/>
      <c r="S33" s="5"/>
      <c r="T33" s="5"/>
      <c r="U33" s="5"/>
      <c r="V33" s="5"/>
      <c r="W33" s="5"/>
      <c r="X33" s="5"/>
    </row>
    <row r="34" spans="1:24" ht="21.95" customHeight="1">
      <c r="A34" s="4"/>
      <c r="B34" s="4"/>
      <c r="C34" s="4"/>
      <c r="D34" s="7"/>
      <c r="E34" s="7"/>
      <c r="F34" s="7"/>
      <c r="G34" s="4"/>
      <c r="H34" s="4"/>
      <c r="I34" s="5"/>
      <c r="J34" s="5"/>
      <c r="K34" s="5"/>
      <c r="L34" s="5"/>
      <c r="M34" s="7"/>
      <c r="N34" s="7"/>
      <c r="O34" s="7"/>
      <c r="P34" s="7"/>
      <c r="Q34" s="7"/>
      <c r="R34" s="5"/>
      <c r="S34" s="5"/>
      <c r="T34" s="5"/>
      <c r="U34" s="5"/>
      <c r="V34" s="5"/>
      <c r="W34" s="5"/>
      <c r="X34" s="5"/>
    </row>
    <row r="35" spans="1:24" ht="21.95" customHeight="1">
      <c r="A35" s="4"/>
      <c r="B35" s="4"/>
      <c r="C35" s="4"/>
      <c r="D35" s="7"/>
      <c r="E35" s="7"/>
      <c r="F35" s="7"/>
      <c r="G35" s="4"/>
      <c r="H35" s="4"/>
      <c r="I35" s="5"/>
      <c r="J35" s="5"/>
      <c r="K35" s="5"/>
      <c r="L35" s="5"/>
      <c r="M35" s="7"/>
      <c r="N35" s="7"/>
      <c r="O35" s="7"/>
      <c r="P35" s="7"/>
      <c r="Q35" s="7"/>
      <c r="R35" s="5"/>
      <c r="S35" s="5"/>
      <c r="T35" s="5"/>
      <c r="U35" s="5"/>
      <c r="V35" s="5"/>
      <c r="W35" s="5"/>
      <c r="X35" s="5"/>
    </row>
    <row r="36" spans="1:24" ht="21.95" customHeight="1">
      <c r="A36" s="4"/>
      <c r="B36" s="4"/>
      <c r="C36" s="4"/>
      <c r="D36" s="81"/>
      <c r="E36" s="81"/>
      <c r="F36" s="81"/>
      <c r="G36" s="4"/>
      <c r="H36" s="4"/>
      <c r="I36" s="5"/>
      <c r="J36" s="5"/>
      <c r="K36" s="5"/>
      <c r="L36" s="5"/>
      <c r="M36" s="7"/>
      <c r="N36" s="7"/>
      <c r="O36" s="7"/>
      <c r="P36" s="7"/>
      <c r="Q36" s="7"/>
      <c r="R36" s="5"/>
      <c r="S36" s="5"/>
      <c r="T36" s="5"/>
      <c r="U36" s="5"/>
      <c r="V36" s="5"/>
      <c r="W36" s="5"/>
      <c r="X36" s="5"/>
    </row>
    <row r="37" spans="1:24" ht="21.95" customHeight="1">
      <c r="A37" s="4"/>
      <c r="B37" s="4"/>
      <c r="C37" s="4"/>
      <c r="D37" s="7"/>
      <c r="E37" s="7"/>
      <c r="F37" s="7"/>
      <c r="G37" s="4"/>
      <c r="H37" s="4"/>
      <c r="I37" s="5"/>
      <c r="J37" s="5"/>
      <c r="K37" s="5"/>
      <c r="L37" s="5"/>
      <c r="M37" s="7"/>
      <c r="N37" s="7"/>
      <c r="O37" s="7"/>
      <c r="P37" s="7"/>
      <c r="Q37" s="7"/>
      <c r="R37" s="5"/>
      <c r="S37" s="5"/>
      <c r="T37" s="5"/>
      <c r="U37" s="5"/>
      <c r="V37" s="5"/>
      <c r="W37" s="5"/>
      <c r="X37" s="5"/>
    </row>
    <row r="38" spans="1:24" ht="21.95" customHeight="1">
      <c r="A38" s="4"/>
      <c r="B38" s="4"/>
      <c r="C38" s="4"/>
      <c r="D38" s="7"/>
      <c r="E38" s="7"/>
      <c r="F38" s="7"/>
      <c r="G38" s="4"/>
      <c r="H38" s="4"/>
      <c r="I38" s="5"/>
      <c r="J38" s="5"/>
      <c r="K38" s="5"/>
      <c r="L38" s="5"/>
      <c r="M38" s="7"/>
      <c r="N38" s="7"/>
      <c r="O38" s="7"/>
      <c r="P38" s="7"/>
      <c r="Q38" s="7"/>
      <c r="R38" s="5"/>
      <c r="S38" s="5"/>
      <c r="T38" s="5"/>
      <c r="U38" s="5"/>
      <c r="V38" s="5"/>
      <c r="W38" s="5"/>
      <c r="X38" s="5"/>
    </row>
    <row r="39" spans="1:24" ht="21.95" customHeight="1">
      <c r="A39" s="4"/>
      <c r="B39" s="4"/>
      <c r="C39" s="4"/>
      <c r="D39" s="7"/>
      <c r="E39" s="7"/>
      <c r="F39" s="7"/>
      <c r="G39" s="4"/>
      <c r="H39" s="4"/>
      <c r="I39" s="5"/>
      <c r="J39" s="5"/>
      <c r="K39" s="5"/>
      <c r="L39" s="5"/>
      <c r="M39" s="7"/>
      <c r="N39" s="7"/>
      <c r="O39" s="7"/>
      <c r="P39" s="7"/>
      <c r="Q39" s="7"/>
      <c r="R39" s="5"/>
      <c r="S39" s="5"/>
      <c r="T39" s="5"/>
      <c r="U39" s="5"/>
      <c r="V39" s="5"/>
      <c r="W39" s="5"/>
      <c r="X39" s="5"/>
    </row>
    <row r="40" spans="1:24" ht="21.95" customHeight="1">
      <c r="A40" s="4"/>
      <c r="B40" s="4"/>
      <c r="C40" s="4"/>
      <c r="D40" s="7"/>
      <c r="E40" s="7"/>
      <c r="F40" s="7"/>
      <c r="G40" s="4"/>
      <c r="H40" s="4"/>
      <c r="I40" s="5"/>
      <c r="J40" s="5"/>
      <c r="K40" s="5"/>
      <c r="L40" s="5"/>
      <c r="M40" s="7"/>
      <c r="N40" s="7"/>
      <c r="O40" s="7"/>
      <c r="P40" s="7"/>
      <c r="Q40" s="7"/>
      <c r="R40" s="5"/>
      <c r="S40" s="5"/>
      <c r="T40" s="5"/>
      <c r="U40" s="5"/>
      <c r="V40" s="5"/>
      <c r="W40" s="5"/>
      <c r="X40" s="5"/>
    </row>
    <row r="41" spans="1:24">
      <c r="A41" s="4"/>
      <c r="B41" s="4"/>
      <c r="C41" s="4"/>
      <c r="D41" s="7"/>
      <c r="E41" s="7"/>
      <c r="F41" s="7"/>
      <c r="G41" s="4"/>
      <c r="H41" s="4"/>
      <c r="I41" s="5"/>
      <c r="J41" s="5"/>
      <c r="K41" s="5"/>
      <c r="L41" s="5"/>
      <c r="M41" s="7"/>
      <c r="N41" s="7"/>
      <c r="O41" s="7"/>
      <c r="P41" s="7"/>
      <c r="Q41" s="7"/>
      <c r="R41" s="5"/>
      <c r="S41" s="5"/>
      <c r="T41" s="5"/>
      <c r="U41" s="5"/>
      <c r="V41" s="5"/>
      <c r="W41" s="5"/>
      <c r="X41" s="5"/>
    </row>
    <row r="42" spans="1:24">
      <c r="A42" s="4"/>
      <c r="B42" s="4"/>
      <c r="C42" s="4"/>
      <c r="D42" s="7"/>
      <c r="E42" s="7"/>
      <c r="F42" s="7"/>
      <c r="G42" s="4"/>
      <c r="H42" s="4"/>
      <c r="I42" s="5"/>
      <c r="J42" s="5"/>
      <c r="K42" s="5"/>
      <c r="L42" s="5"/>
      <c r="M42" s="7"/>
      <c r="N42" s="7"/>
      <c r="O42" s="7"/>
      <c r="P42" s="7"/>
      <c r="Q42" s="7"/>
      <c r="R42" s="5"/>
      <c r="S42" s="5"/>
      <c r="T42" s="5"/>
      <c r="U42" s="5"/>
      <c r="V42" s="5"/>
      <c r="W42" s="5"/>
      <c r="X42" s="5"/>
    </row>
    <row r="43" spans="1:24">
      <c r="A43" s="4"/>
      <c r="B43" s="4"/>
      <c r="C43" s="4"/>
      <c r="D43" s="7"/>
      <c r="E43" s="7"/>
      <c r="F43" s="7"/>
      <c r="G43" s="4"/>
      <c r="H43" s="4"/>
      <c r="I43" s="5"/>
      <c r="J43" s="5"/>
      <c r="K43" s="5"/>
      <c r="L43" s="5"/>
      <c r="M43" s="7"/>
      <c r="N43" s="7"/>
      <c r="O43" s="7"/>
      <c r="P43" s="7"/>
      <c r="Q43" s="7"/>
      <c r="R43" s="5"/>
      <c r="S43" s="5"/>
      <c r="T43" s="5"/>
      <c r="U43" s="5"/>
      <c r="V43" s="5"/>
      <c r="W43" s="5"/>
      <c r="X43" s="5"/>
    </row>
    <row r="44" spans="1:24">
      <c r="A44" s="4"/>
      <c r="B44" s="4"/>
      <c r="C44" s="4"/>
      <c r="D44" s="7"/>
      <c r="E44" s="7"/>
      <c r="F44" s="7"/>
      <c r="G44" s="4"/>
      <c r="H44" s="4"/>
      <c r="I44" s="5"/>
      <c r="J44" s="5"/>
      <c r="K44" s="5"/>
      <c r="L44" s="5"/>
      <c r="M44" s="7"/>
      <c r="N44" s="7"/>
      <c r="O44" s="7"/>
      <c r="P44" s="7"/>
      <c r="Q44" s="7"/>
      <c r="R44" s="5"/>
      <c r="S44" s="5"/>
      <c r="T44" s="5"/>
      <c r="U44" s="5"/>
      <c r="V44" s="5"/>
      <c r="W44" s="5"/>
      <c r="X44" s="5"/>
    </row>
    <row r="45" spans="1:24">
      <c r="A45" s="4"/>
      <c r="B45" s="4"/>
      <c r="C45" s="4"/>
      <c r="D45" s="7"/>
      <c r="E45" s="7"/>
      <c r="F45" s="7"/>
      <c r="G45" s="4"/>
      <c r="H45" s="4"/>
      <c r="I45" s="5"/>
      <c r="J45" s="5"/>
      <c r="K45" s="5"/>
      <c r="L45" s="5"/>
      <c r="M45" s="7"/>
      <c r="N45" s="7"/>
      <c r="O45" s="7"/>
      <c r="P45" s="7"/>
      <c r="Q45" s="7"/>
      <c r="R45" s="5"/>
      <c r="S45" s="5"/>
      <c r="T45" s="5"/>
      <c r="U45" s="5"/>
      <c r="V45" s="5"/>
      <c r="W45" s="5"/>
      <c r="X45" s="5"/>
    </row>
    <row r="46" spans="1:24">
      <c r="A46" s="4"/>
      <c r="B46" s="4"/>
      <c r="C46" s="4"/>
      <c r="D46" s="7"/>
      <c r="E46" s="7"/>
      <c r="F46" s="7"/>
      <c r="G46" s="4"/>
      <c r="H46" s="4"/>
      <c r="I46" s="5"/>
      <c r="J46" s="5"/>
      <c r="K46" s="5"/>
      <c r="L46" s="5"/>
      <c r="M46" s="7"/>
      <c r="N46" s="7"/>
      <c r="O46" s="7"/>
      <c r="P46" s="7"/>
      <c r="Q46" s="7"/>
      <c r="R46" s="5"/>
      <c r="S46" s="5"/>
      <c r="T46" s="5"/>
      <c r="U46" s="5"/>
      <c r="V46" s="5"/>
      <c r="W46" s="5"/>
      <c r="X46" s="5"/>
    </row>
    <row r="47" spans="1:24">
      <c r="A47" s="4"/>
      <c r="B47" s="4"/>
      <c r="C47" s="4"/>
      <c r="D47" s="7"/>
      <c r="E47" s="7"/>
      <c r="F47" s="7"/>
      <c r="G47" s="4"/>
      <c r="H47" s="4"/>
      <c r="I47" s="5"/>
      <c r="J47" s="5"/>
      <c r="K47" s="5"/>
      <c r="L47" s="5"/>
      <c r="M47" s="7"/>
      <c r="N47" s="7"/>
      <c r="O47" s="7"/>
      <c r="P47" s="7"/>
      <c r="Q47" s="7"/>
      <c r="R47" s="5"/>
      <c r="S47" s="5"/>
      <c r="T47" s="5"/>
      <c r="U47" s="5"/>
      <c r="V47" s="5"/>
      <c r="W47" s="5"/>
      <c r="X47" s="5"/>
    </row>
    <row r="48" spans="1:24">
      <c r="A48" s="4"/>
      <c r="B48" s="4"/>
      <c r="C48" s="4"/>
      <c r="D48" s="7"/>
      <c r="E48" s="7"/>
      <c r="F48" s="7"/>
      <c r="G48" s="4"/>
      <c r="H48" s="4"/>
      <c r="I48" s="5"/>
      <c r="J48" s="5"/>
      <c r="K48" s="5"/>
      <c r="L48" s="5"/>
      <c r="M48" s="7"/>
      <c r="N48" s="7"/>
      <c r="O48" s="7"/>
      <c r="P48" s="7"/>
      <c r="Q48" s="7"/>
      <c r="R48" s="5"/>
      <c r="S48" s="5"/>
      <c r="T48" s="5"/>
      <c r="U48" s="5"/>
      <c r="V48" s="5"/>
      <c r="W48" s="5"/>
      <c r="X48" s="5"/>
    </row>
    <row r="49" spans="1:24">
      <c r="A49" s="4"/>
      <c r="B49" s="4"/>
      <c r="C49" s="4"/>
      <c r="D49" s="7"/>
      <c r="E49" s="7"/>
      <c r="F49" s="7"/>
      <c r="G49" s="4"/>
      <c r="H49" s="4"/>
      <c r="I49" s="5"/>
      <c r="J49" s="5"/>
      <c r="K49" s="5"/>
      <c r="L49" s="5"/>
      <c r="M49" s="7"/>
      <c r="N49" s="7"/>
      <c r="O49" s="7"/>
      <c r="P49" s="7"/>
      <c r="Q49" s="7"/>
      <c r="R49" s="5"/>
      <c r="S49" s="5"/>
      <c r="T49" s="5"/>
      <c r="U49" s="5"/>
      <c r="V49" s="5"/>
      <c r="W49" s="5"/>
      <c r="X49" s="5"/>
    </row>
    <row r="50" spans="1:24">
      <c r="A50" s="4"/>
      <c r="B50" s="4"/>
      <c r="C50" s="4"/>
      <c r="D50" s="7"/>
      <c r="E50" s="7"/>
      <c r="F50" s="7"/>
      <c r="G50" s="4"/>
      <c r="H50" s="4"/>
      <c r="I50" s="5"/>
      <c r="J50" s="5"/>
      <c r="K50" s="5"/>
      <c r="L50" s="5"/>
      <c r="M50" s="7"/>
      <c r="N50" s="7"/>
      <c r="O50" s="7"/>
      <c r="P50" s="7"/>
      <c r="Q50" s="7"/>
      <c r="R50" s="5"/>
      <c r="S50" s="5"/>
      <c r="T50" s="5"/>
      <c r="U50" s="5"/>
      <c r="V50" s="5"/>
      <c r="W50" s="5"/>
      <c r="X50" s="5"/>
    </row>
    <row r="51" spans="1:24">
      <c r="A51" s="4"/>
      <c r="B51" s="4"/>
      <c r="C51" s="4"/>
      <c r="D51" s="7"/>
      <c r="E51" s="7"/>
      <c r="F51" s="7"/>
      <c r="G51" s="4"/>
      <c r="H51" s="4"/>
      <c r="I51" s="5"/>
      <c r="J51" s="5"/>
      <c r="K51" s="5"/>
      <c r="L51" s="5"/>
      <c r="M51" s="7"/>
      <c r="N51" s="7"/>
      <c r="O51" s="7"/>
      <c r="P51" s="7"/>
      <c r="Q51" s="7"/>
      <c r="R51" s="5"/>
      <c r="S51" s="5"/>
      <c r="T51" s="5"/>
      <c r="U51" s="5"/>
      <c r="V51" s="5"/>
      <c r="W51" s="5"/>
      <c r="X51" s="5"/>
    </row>
    <row r="52" spans="1:24">
      <c r="A52" s="4"/>
      <c r="B52" s="4"/>
      <c r="C52" s="4"/>
      <c r="D52" s="7"/>
      <c r="E52" s="7"/>
      <c r="F52" s="7"/>
      <c r="G52" s="4"/>
      <c r="H52" s="4"/>
      <c r="I52" s="5"/>
      <c r="J52" s="5"/>
      <c r="K52" s="5"/>
      <c r="L52" s="5"/>
      <c r="M52" s="7"/>
      <c r="N52" s="7"/>
      <c r="O52" s="7"/>
      <c r="P52" s="7"/>
      <c r="Q52" s="7"/>
      <c r="R52" s="5"/>
      <c r="S52" s="5"/>
      <c r="T52" s="5"/>
      <c r="U52" s="5"/>
      <c r="V52" s="5"/>
      <c r="W52" s="5"/>
      <c r="X52" s="5"/>
    </row>
    <row r="53" spans="1:24">
      <c r="A53" s="4"/>
      <c r="B53" s="4"/>
      <c r="C53" s="4"/>
      <c r="D53" s="7"/>
      <c r="E53" s="7"/>
      <c r="F53" s="7"/>
      <c r="G53" s="4"/>
      <c r="H53" s="4"/>
      <c r="I53" s="5"/>
      <c r="J53" s="5"/>
      <c r="K53" s="5"/>
      <c r="L53" s="5"/>
      <c r="M53" s="7"/>
      <c r="N53" s="7"/>
      <c r="O53" s="7"/>
      <c r="P53" s="7"/>
      <c r="Q53" s="7"/>
      <c r="R53" s="5"/>
      <c r="S53" s="5"/>
      <c r="T53" s="5"/>
      <c r="U53" s="5"/>
      <c r="V53" s="5"/>
      <c r="W53" s="5"/>
      <c r="X53" s="5"/>
    </row>
    <row r="54" spans="1:24">
      <c r="A54" s="4"/>
      <c r="B54" s="4"/>
      <c r="C54" s="4"/>
      <c r="D54" s="7"/>
      <c r="E54" s="7"/>
      <c r="F54" s="7"/>
      <c r="G54" s="4"/>
      <c r="H54" s="4"/>
      <c r="I54" s="5"/>
      <c r="J54" s="5"/>
      <c r="K54" s="5"/>
      <c r="L54" s="5"/>
      <c r="M54" s="7"/>
      <c r="N54" s="7"/>
      <c r="O54" s="7"/>
      <c r="P54" s="7"/>
      <c r="Q54" s="7"/>
      <c r="R54" s="5"/>
      <c r="S54" s="5"/>
      <c r="T54" s="5"/>
      <c r="U54" s="5"/>
      <c r="V54" s="5"/>
      <c r="W54" s="5"/>
      <c r="X54" s="5"/>
    </row>
    <row r="55" spans="1:24">
      <c r="A55" s="4"/>
      <c r="B55" s="4"/>
      <c r="C55" s="4"/>
      <c r="D55" s="7"/>
      <c r="E55" s="7"/>
      <c r="F55" s="7"/>
      <c r="G55" s="4"/>
      <c r="H55" s="4"/>
      <c r="I55" s="5"/>
      <c r="J55" s="5"/>
      <c r="K55" s="5"/>
      <c r="L55" s="5"/>
      <c r="M55" s="7"/>
      <c r="N55" s="7"/>
      <c r="O55" s="7"/>
      <c r="P55" s="7"/>
      <c r="Q55" s="7"/>
      <c r="R55" s="5"/>
      <c r="S55" s="5"/>
      <c r="T55" s="5"/>
      <c r="U55" s="5"/>
      <c r="V55" s="5"/>
      <c r="W55" s="5"/>
      <c r="X55" s="5"/>
    </row>
    <row r="56" spans="1:24">
      <c r="A56" s="4"/>
      <c r="B56" s="4"/>
      <c r="C56" s="4"/>
      <c r="D56" s="7"/>
      <c r="E56" s="7"/>
      <c r="F56" s="7"/>
      <c r="G56" s="4"/>
      <c r="H56" s="4"/>
      <c r="I56" s="5"/>
      <c r="J56" s="5"/>
      <c r="K56" s="5"/>
      <c r="L56" s="5"/>
      <c r="M56" s="7"/>
      <c r="N56" s="7"/>
      <c r="O56" s="7"/>
      <c r="P56" s="7"/>
      <c r="Q56" s="7"/>
      <c r="R56" s="5"/>
      <c r="S56" s="5"/>
      <c r="T56" s="5"/>
      <c r="U56" s="5"/>
      <c r="V56" s="5"/>
      <c r="W56" s="5"/>
      <c r="X56" s="5"/>
    </row>
    <row r="57" spans="1:24">
      <c r="A57" s="4"/>
      <c r="B57" s="4"/>
      <c r="C57" s="4"/>
      <c r="D57" s="7"/>
      <c r="E57" s="7"/>
      <c r="F57" s="7"/>
      <c r="G57" s="4"/>
      <c r="H57" s="4"/>
      <c r="I57" s="5"/>
      <c r="J57" s="5"/>
      <c r="K57" s="5"/>
      <c r="L57" s="5"/>
      <c r="M57" s="7"/>
      <c r="N57" s="7"/>
      <c r="O57" s="7"/>
      <c r="P57" s="7"/>
      <c r="Q57" s="7"/>
      <c r="R57" s="5"/>
      <c r="S57" s="5"/>
      <c r="T57" s="5"/>
      <c r="U57" s="5"/>
      <c r="V57" s="5"/>
      <c r="W57" s="5"/>
      <c r="X57" s="5"/>
    </row>
    <row r="58" spans="1:24">
      <c r="A58" s="4"/>
      <c r="B58" s="4"/>
      <c r="C58" s="4"/>
      <c r="D58" s="7"/>
      <c r="E58" s="7"/>
      <c r="F58" s="7"/>
      <c r="G58" s="4"/>
      <c r="H58" s="4"/>
      <c r="I58" s="5"/>
      <c r="J58" s="5"/>
      <c r="K58" s="5"/>
      <c r="L58" s="5"/>
      <c r="M58" s="7"/>
      <c r="N58" s="7"/>
      <c r="O58" s="7"/>
      <c r="P58" s="7"/>
      <c r="Q58" s="7"/>
      <c r="R58" s="5"/>
      <c r="S58" s="5"/>
      <c r="T58" s="5"/>
      <c r="U58" s="5"/>
      <c r="V58" s="5"/>
      <c r="W58" s="5"/>
      <c r="X58" s="5"/>
    </row>
    <row r="59" spans="1:24">
      <c r="A59" s="4"/>
      <c r="B59" s="4"/>
      <c r="C59" s="4"/>
      <c r="D59" s="7"/>
      <c r="E59" s="7"/>
      <c r="F59" s="7"/>
      <c r="G59" s="4"/>
      <c r="H59" s="4"/>
      <c r="I59" s="5"/>
      <c r="J59" s="5"/>
      <c r="K59" s="5"/>
      <c r="L59" s="5"/>
      <c r="M59" s="7"/>
      <c r="N59" s="7"/>
      <c r="O59" s="7"/>
      <c r="P59" s="7"/>
      <c r="Q59" s="7"/>
      <c r="R59" s="5"/>
      <c r="S59" s="5"/>
      <c r="T59" s="5"/>
      <c r="U59" s="5"/>
      <c r="V59" s="5"/>
      <c r="W59" s="5"/>
      <c r="X59" s="5"/>
    </row>
    <row r="60" spans="1:24">
      <c r="A60" s="4"/>
      <c r="B60" s="4"/>
      <c r="C60" s="4"/>
      <c r="D60" s="7"/>
      <c r="E60" s="7"/>
      <c r="F60" s="7"/>
      <c r="G60" s="4"/>
      <c r="H60" s="4"/>
      <c r="I60" s="5"/>
      <c r="J60" s="5"/>
      <c r="K60" s="5"/>
      <c r="L60" s="5"/>
      <c r="M60" s="7"/>
      <c r="N60" s="7"/>
      <c r="O60" s="7"/>
      <c r="P60" s="7"/>
      <c r="Q60" s="7"/>
      <c r="R60" s="5"/>
      <c r="S60" s="5"/>
      <c r="T60" s="5"/>
      <c r="U60" s="5"/>
      <c r="V60" s="5"/>
      <c r="W60" s="5"/>
      <c r="X60" s="5"/>
    </row>
  </sheetData>
  <autoFilter ref="A2:X2" xr:uid="{C757F140-B8C2-435D-A99C-8DC03375BB7E}"/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27A5-D966-461F-AC65-83C6BB03267C}">
  <sheetPr>
    <pageSetUpPr fitToPage="1"/>
  </sheetPr>
  <dimension ref="A1:J55"/>
  <sheetViews>
    <sheetView zoomScale="80" zoomScaleNormal="80" workbookViewId="0">
      <pane ySplit="2" topLeftCell="A3" activePane="bottomLeft" state="frozen"/>
      <selection activeCell="H32" sqref="H32"/>
      <selection pane="bottomLeft" activeCell="J19" sqref="J19"/>
    </sheetView>
  </sheetViews>
  <sheetFormatPr defaultRowHeight="16.5"/>
  <cols>
    <col min="1" max="1" width="16.375" style="3" customWidth="1"/>
    <col min="2" max="2" width="15.75" style="10" customWidth="1"/>
    <col min="3" max="4" width="18.75" style="10" customWidth="1"/>
    <col min="5" max="8" width="15.75" style="2" customWidth="1"/>
    <col min="9" max="9" width="15.75" style="10" customWidth="1"/>
    <col min="10" max="10" width="30.875" style="10" customWidth="1"/>
    <col min="11" max="11" width="9" style="10"/>
    <col min="12" max="12" width="10.625" style="10" bestFit="1" customWidth="1"/>
    <col min="13" max="16384" width="9" style="10"/>
  </cols>
  <sheetData>
    <row r="1" spans="1:10" ht="15.75" customHeight="1">
      <c r="A1" s="4"/>
      <c r="B1" s="5"/>
      <c r="C1" s="5"/>
      <c r="D1" s="5"/>
      <c r="E1" s="7"/>
      <c r="F1" s="7"/>
      <c r="G1" s="7"/>
      <c r="H1" s="7"/>
      <c r="I1" s="5"/>
      <c r="J1" s="5"/>
    </row>
    <row r="2" spans="1:10" ht="30.75" customHeight="1">
      <c r="A2" s="78" t="s">
        <v>4</v>
      </c>
      <c r="B2" s="78" t="s">
        <v>0</v>
      </c>
      <c r="C2" s="79" t="s">
        <v>14</v>
      </c>
      <c r="D2" s="79" t="s">
        <v>15</v>
      </c>
      <c r="E2" s="79" t="s">
        <v>106</v>
      </c>
      <c r="F2" s="79" t="s">
        <v>80</v>
      </c>
      <c r="G2" s="79" t="s">
        <v>81</v>
      </c>
      <c r="H2" s="8" t="s">
        <v>9</v>
      </c>
      <c r="I2" s="78" t="s">
        <v>3</v>
      </c>
      <c r="J2" s="78" t="s">
        <v>10</v>
      </c>
    </row>
    <row r="3" spans="1:10" s="388" customFormat="1" ht="30" customHeight="1">
      <c r="A3" s="429">
        <v>46150</v>
      </c>
      <c r="B3" s="429" t="s">
        <v>33</v>
      </c>
      <c r="C3" s="430" t="s">
        <v>17</v>
      </c>
      <c r="D3" s="430" t="s">
        <v>186</v>
      </c>
      <c r="E3" s="781" t="s">
        <v>386</v>
      </c>
      <c r="F3" s="434">
        <v>13540</v>
      </c>
      <c r="G3" s="431">
        <v>13990</v>
      </c>
      <c r="H3" s="435">
        <f t="shared" ref="H3:H4" si="0">G3-F3</f>
        <v>450</v>
      </c>
      <c r="I3" s="724" t="s">
        <v>18</v>
      </c>
      <c r="J3" s="432" t="s">
        <v>387</v>
      </c>
    </row>
    <row r="4" spans="1:10" s="388" customFormat="1" ht="30" customHeight="1">
      <c r="A4" s="417">
        <v>46190</v>
      </c>
      <c r="B4" s="429" t="s">
        <v>33</v>
      </c>
      <c r="C4" s="430" t="s">
        <v>17</v>
      </c>
      <c r="D4" s="430" t="s">
        <v>186</v>
      </c>
      <c r="E4" s="415" t="s">
        <v>191</v>
      </c>
      <c r="F4" s="421">
        <v>13530</v>
      </c>
      <c r="G4" s="416">
        <v>15530</v>
      </c>
      <c r="H4" s="1573">
        <f t="shared" si="0"/>
        <v>2000</v>
      </c>
      <c r="I4" s="1572" t="s">
        <v>18</v>
      </c>
      <c r="J4" s="420" t="s">
        <v>710</v>
      </c>
    </row>
    <row r="5" spans="1:10" s="388" customFormat="1" ht="30" customHeight="1">
      <c r="A5" s="417"/>
      <c r="B5" s="417"/>
      <c r="C5" s="418"/>
      <c r="D5" s="418"/>
      <c r="E5" s="415"/>
      <c r="F5" s="421"/>
      <c r="G5" s="416"/>
      <c r="H5" s="419"/>
      <c r="I5" s="723"/>
      <c r="J5" s="420"/>
    </row>
    <row r="6" spans="1:10" ht="30" customHeight="1">
      <c r="A6" s="422"/>
      <c r="B6" s="423"/>
      <c r="C6" s="423"/>
      <c r="D6" s="423"/>
      <c r="E6" s="424"/>
      <c r="F6" s="424"/>
      <c r="G6" s="425"/>
      <c r="H6" s="426"/>
      <c r="I6" s="427"/>
      <c r="J6" s="428"/>
    </row>
    <row r="7" spans="1:10" ht="30" customHeight="1">
      <c r="A7" s="72"/>
      <c r="B7" s="73"/>
      <c r="C7" s="74"/>
      <c r="D7" s="74"/>
      <c r="E7" s="75"/>
      <c r="F7" s="75"/>
      <c r="G7" s="75"/>
      <c r="H7" s="11">
        <f>SUM(H3:H6)</f>
        <v>2450</v>
      </c>
      <c r="I7" s="74"/>
      <c r="J7" s="74"/>
    </row>
    <row r="8" spans="1:10" ht="21.95" customHeight="1">
      <c r="A8" s="4"/>
      <c r="B8" s="5"/>
      <c r="C8" s="5"/>
      <c r="D8" s="5"/>
      <c r="E8" s="7"/>
      <c r="F8" s="7"/>
      <c r="G8" s="7"/>
      <c r="H8" s="7"/>
      <c r="I8" s="5"/>
      <c r="J8" s="5"/>
    </row>
    <row r="9" spans="1:10" ht="21.95" customHeight="1">
      <c r="A9" s="4"/>
      <c r="B9" s="5"/>
      <c r="C9" s="5"/>
      <c r="D9" s="5"/>
      <c r="E9" s="7"/>
      <c r="F9" s="7"/>
      <c r="G9" s="7"/>
      <c r="H9" s="7"/>
      <c r="I9" s="5"/>
      <c r="J9" s="5"/>
    </row>
    <row r="10" spans="1:10" ht="21.95" customHeight="1">
      <c r="A10" s="4"/>
      <c r="B10" s="5"/>
      <c r="C10" s="5"/>
      <c r="D10" s="5"/>
      <c r="E10" s="7"/>
      <c r="F10" s="7"/>
      <c r="G10" s="7"/>
      <c r="H10" s="7"/>
      <c r="I10" s="5"/>
      <c r="J10" s="5"/>
    </row>
    <row r="11" spans="1:10" ht="21.95" customHeight="1">
      <c r="A11" s="4"/>
      <c r="B11" s="5"/>
      <c r="C11" s="5"/>
      <c r="D11" s="5"/>
      <c r="E11" s="7"/>
      <c r="F11" s="7"/>
      <c r="G11" s="7"/>
      <c r="H11" s="7"/>
      <c r="I11" s="5"/>
      <c r="J11" s="5"/>
    </row>
    <row r="12" spans="1:10" ht="21.95" customHeight="1">
      <c r="A12" s="4"/>
      <c r="B12" s="5"/>
      <c r="C12" s="5"/>
      <c r="D12" s="5"/>
      <c r="E12" s="7"/>
      <c r="F12" s="7"/>
      <c r="G12" s="7"/>
      <c r="H12" s="7"/>
      <c r="I12" s="5"/>
      <c r="J12" s="5"/>
    </row>
    <row r="13" spans="1:10" ht="21.95" customHeight="1">
      <c r="A13" s="4"/>
      <c r="B13" s="5"/>
      <c r="C13" s="5"/>
      <c r="D13" s="5"/>
      <c r="E13" s="7"/>
      <c r="F13" s="7"/>
      <c r="G13" s="7"/>
      <c r="H13" s="7"/>
      <c r="I13" s="5"/>
      <c r="J13" s="5"/>
    </row>
    <row r="14" spans="1:10" ht="21.95" customHeight="1">
      <c r="A14" s="4"/>
      <c r="B14" s="5"/>
      <c r="C14" s="5"/>
      <c r="D14" s="5"/>
      <c r="E14" s="7"/>
      <c r="F14" s="7"/>
      <c r="G14" s="7"/>
      <c r="H14" s="7"/>
      <c r="I14" s="5"/>
      <c r="J14" s="5"/>
    </row>
    <row r="15" spans="1:10" ht="21.95" customHeight="1">
      <c r="A15" s="4"/>
      <c r="B15" s="5"/>
      <c r="C15" s="5"/>
      <c r="D15" s="5"/>
      <c r="E15" s="7"/>
      <c r="F15" s="7"/>
      <c r="G15" s="7"/>
      <c r="H15" s="7"/>
      <c r="I15" s="5"/>
      <c r="J15" s="5"/>
    </row>
    <row r="16" spans="1:10" ht="21.95" customHeight="1">
      <c r="A16" s="4"/>
      <c r="B16" s="5"/>
      <c r="C16" s="5"/>
      <c r="D16" s="5"/>
      <c r="E16" s="7"/>
      <c r="F16" s="7"/>
      <c r="G16" s="7"/>
      <c r="H16" s="7"/>
      <c r="I16" s="5"/>
      <c r="J16" s="5"/>
    </row>
    <row r="17" spans="1:10" ht="21.95" customHeight="1">
      <c r="A17" s="4"/>
      <c r="B17" s="5"/>
      <c r="C17" s="5"/>
      <c r="D17" s="5"/>
      <c r="E17" s="7"/>
      <c r="F17" s="7"/>
      <c r="G17" s="7"/>
      <c r="H17" s="7"/>
      <c r="I17" s="5"/>
      <c r="J17" s="5"/>
    </row>
    <row r="18" spans="1:10" ht="21.95" customHeight="1">
      <c r="A18" s="4"/>
      <c r="B18" s="5"/>
      <c r="C18" s="5"/>
      <c r="D18" s="5"/>
      <c r="E18" s="7"/>
      <c r="F18" s="7"/>
      <c r="G18" s="7"/>
      <c r="H18" s="7"/>
      <c r="I18" s="5"/>
      <c r="J18" s="5"/>
    </row>
    <row r="19" spans="1:10" ht="21.95" customHeight="1">
      <c r="A19" s="4"/>
      <c r="B19" s="5"/>
      <c r="C19" s="5"/>
      <c r="D19" s="5"/>
      <c r="E19" s="7"/>
      <c r="F19" s="7"/>
      <c r="G19" s="7"/>
      <c r="H19" s="7"/>
      <c r="I19" s="5"/>
      <c r="J19" s="5"/>
    </row>
    <row r="20" spans="1:10" ht="21.95" customHeight="1">
      <c r="A20" s="4"/>
      <c r="B20" s="5"/>
      <c r="C20" s="5"/>
      <c r="D20" s="5"/>
      <c r="E20" s="7"/>
      <c r="F20" s="7"/>
      <c r="G20" s="7"/>
      <c r="H20" s="7"/>
      <c r="I20" s="5"/>
      <c r="J20" s="5"/>
    </row>
    <row r="21" spans="1:10" ht="21.95" customHeight="1">
      <c r="A21" s="4"/>
      <c r="B21" s="5"/>
      <c r="C21" s="5"/>
      <c r="D21" s="5"/>
      <c r="E21" s="7"/>
      <c r="F21" s="7"/>
      <c r="G21" s="7"/>
      <c r="H21" s="7"/>
      <c r="I21" s="5"/>
      <c r="J21" s="5"/>
    </row>
    <row r="22" spans="1:10" ht="21.95" customHeight="1">
      <c r="A22" s="4"/>
      <c r="B22" s="5"/>
      <c r="C22" s="5"/>
      <c r="D22" s="5"/>
      <c r="E22" s="7"/>
      <c r="F22" s="7"/>
      <c r="G22" s="7"/>
      <c r="H22" s="7"/>
      <c r="I22" s="5"/>
      <c r="J22" s="5"/>
    </row>
    <row r="23" spans="1:10" ht="21.95" customHeight="1">
      <c r="A23" s="4"/>
      <c r="B23" s="5"/>
      <c r="C23" s="5"/>
      <c r="D23" s="5"/>
      <c r="E23" s="7"/>
      <c r="F23" s="7"/>
      <c r="G23" s="7"/>
      <c r="H23" s="7"/>
      <c r="I23" s="5"/>
      <c r="J23" s="5"/>
    </row>
    <row r="24" spans="1:10" ht="21.95" customHeight="1">
      <c r="A24" s="4"/>
      <c r="B24" s="5"/>
      <c r="C24" s="5"/>
      <c r="D24" s="5"/>
      <c r="E24" s="7"/>
      <c r="F24" s="7"/>
      <c r="G24" s="7"/>
      <c r="H24" s="7"/>
      <c r="I24" s="5"/>
      <c r="J24" s="5"/>
    </row>
    <row r="25" spans="1:10" ht="21.95" customHeight="1">
      <c r="A25" s="4"/>
      <c r="B25" s="5"/>
      <c r="C25" s="5"/>
      <c r="D25" s="5"/>
      <c r="E25" s="7"/>
      <c r="F25" s="7"/>
      <c r="G25" s="7"/>
      <c r="H25" s="7"/>
      <c r="I25" s="5"/>
      <c r="J25" s="5"/>
    </row>
    <row r="26" spans="1:10" ht="21.95" customHeight="1">
      <c r="A26" s="4"/>
      <c r="B26" s="5"/>
      <c r="C26" s="5"/>
      <c r="D26" s="5"/>
      <c r="E26" s="7"/>
      <c r="F26" s="7"/>
      <c r="G26" s="7"/>
      <c r="H26" s="7"/>
      <c r="I26" s="5"/>
      <c r="J26" s="5"/>
    </row>
    <row r="27" spans="1:10" ht="21.95" customHeight="1">
      <c r="A27" s="4"/>
      <c r="B27" s="5"/>
      <c r="C27" s="5"/>
      <c r="D27" s="5"/>
      <c r="E27" s="7"/>
      <c r="F27" s="7"/>
      <c r="G27" s="7"/>
      <c r="H27" s="7"/>
      <c r="I27" s="5"/>
      <c r="J27" s="5"/>
    </row>
    <row r="28" spans="1:10" ht="21.95" customHeight="1">
      <c r="A28" s="4"/>
      <c r="B28" s="5"/>
      <c r="C28" s="5"/>
      <c r="D28" s="5"/>
      <c r="E28" s="7"/>
      <c r="F28" s="7"/>
      <c r="G28" s="7"/>
      <c r="H28" s="7"/>
      <c r="I28" s="5"/>
      <c r="J28" s="5"/>
    </row>
    <row r="29" spans="1:10" ht="21.95" customHeight="1">
      <c r="A29" s="4"/>
      <c r="B29" s="5"/>
      <c r="C29" s="5"/>
      <c r="D29" s="5"/>
      <c r="E29" s="7"/>
      <c r="F29" s="7"/>
      <c r="G29" s="7"/>
      <c r="H29" s="7"/>
      <c r="I29" s="5"/>
      <c r="J29" s="5"/>
    </row>
    <row r="30" spans="1:10" ht="21.95" customHeight="1">
      <c r="A30" s="4"/>
      <c r="B30" s="5"/>
      <c r="C30" s="5"/>
      <c r="D30" s="5"/>
      <c r="E30" s="7"/>
      <c r="F30" s="7"/>
      <c r="G30" s="7"/>
      <c r="H30" s="7"/>
      <c r="I30" s="5"/>
      <c r="J30" s="5"/>
    </row>
    <row r="31" spans="1:10" ht="21.95" customHeight="1">
      <c r="A31" s="4"/>
      <c r="B31" s="5"/>
      <c r="C31" s="5"/>
      <c r="D31" s="5"/>
      <c r="E31" s="7"/>
      <c r="F31" s="7"/>
      <c r="G31" s="7"/>
      <c r="H31" s="7"/>
      <c r="I31" s="5"/>
      <c r="J31" s="5"/>
    </row>
    <row r="32" spans="1:10" ht="21.95" customHeight="1">
      <c r="A32" s="4"/>
      <c r="B32" s="5"/>
      <c r="C32" s="5"/>
      <c r="D32" s="5"/>
      <c r="E32" s="7"/>
      <c r="F32" s="7"/>
      <c r="G32" s="7"/>
      <c r="H32" s="7"/>
      <c r="I32" s="5"/>
      <c r="J32" s="5"/>
    </row>
    <row r="33" spans="1:10" ht="21.95" customHeight="1">
      <c r="A33" s="4"/>
      <c r="B33" s="5"/>
      <c r="C33" s="5"/>
      <c r="D33" s="5"/>
      <c r="E33" s="7"/>
      <c r="F33" s="7"/>
      <c r="G33" s="7"/>
      <c r="H33" s="7"/>
      <c r="I33" s="5"/>
      <c r="J33" s="5"/>
    </row>
    <row r="34" spans="1:10" ht="21.95" customHeight="1">
      <c r="A34" s="4"/>
      <c r="B34" s="5"/>
      <c r="C34" s="5"/>
      <c r="D34" s="5"/>
      <c r="E34" s="7"/>
      <c r="F34" s="7"/>
      <c r="G34" s="7"/>
      <c r="H34" s="7"/>
      <c r="I34" s="5"/>
      <c r="J34" s="5"/>
    </row>
    <row r="35" spans="1:10" ht="21.95" customHeight="1">
      <c r="A35" s="4"/>
      <c r="B35" s="5"/>
      <c r="C35" s="5"/>
      <c r="D35" s="5"/>
      <c r="E35" s="7"/>
      <c r="F35" s="7"/>
      <c r="G35" s="7"/>
      <c r="H35" s="7"/>
      <c r="I35" s="5"/>
      <c r="J35" s="5"/>
    </row>
    <row r="36" spans="1:10">
      <c r="A36" s="4"/>
      <c r="B36" s="5"/>
      <c r="C36" s="5"/>
      <c r="D36" s="5"/>
      <c r="E36" s="7"/>
      <c r="F36" s="7"/>
      <c r="G36" s="7"/>
      <c r="H36" s="7"/>
      <c r="I36" s="5"/>
      <c r="J36" s="5"/>
    </row>
    <row r="37" spans="1:10">
      <c r="A37" s="4"/>
      <c r="B37" s="5"/>
      <c r="C37" s="5"/>
      <c r="D37" s="5"/>
      <c r="E37" s="7"/>
      <c r="F37" s="7"/>
      <c r="G37" s="7"/>
      <c r="H37" s="7"/>
      <c r="I37" s="5"/>
      <c r="J37" s="5"/>
    </row>
    <row r="38" spans="1:10">
      <c r="A38" s="4"/>
      <c r="B38" s="5"/>
      <c r="C38" s="5"/>
      <c r="D38" s="5"/>
      <c r="E38" s="7"/>
      <c r="F38" s="7"/>
      <c r="G38" s="7"/>
      <c r="H38" s="7"/>
      <c r="I38" s="5"/>
      <c r="J38" s="5"/>
    </row>
    <row r="39" spans="1:10">
      <c r="A39" s="4"/>
      <c r="B39" s="5"/>
      <c r="C39" s="5"/>
      <c r="D39" s="5"/>
      <c r="E39" s="7"/>
      <c r="F39" s="7"/>
      <c r="G39" s="7"/>
      <c r="H39" s="7"/>
      <c r="I39" s="5"/>
      <c r="J39" s="5"/>
    </row>
    <row r="40" spans="1:10">
      <c r="A40" s="4"/>
      <c r="B40" s="5"/>
      <c r="C40" s="5"/>
      <c r="D40" s="5"/>
      <c r="E40" s="7"/>
      <c r="F40" s="7"/>
      <c r="G40" s="7"/>
      <c r="H40" s="7"/>
      <c r="I40" s="5"/>
      <c r="J40" s="5"/>
    </row>
    <row r="41" spans="1:10">
      <c r="A41" s="4"/>
      <c r="B41" s="5"/>
      <c r="C41" s="5"/>
      <c r="D41" s="5"/>
      <c r="E41" s="7"/>
      <c r="F41" s="7"/>
      <c r="G41" s="7"/>
      <c r="H41" s="7"/>
      <c r="I41" s="5"/>
      <c r="J41" s="5"/>
    </row>
    <row r="42" spans="1:10">
      <c r="A42" s="4"/>
      <c r="B42" s="5"/>
      <c r="C42" s="5"/>
      <c r="D42" s="5"/>
      <c r="E42" s="7"/>
      <c r="F42" s="7"/>
      <c r="G42" s="7"/>
      <c r="H42" s="7"/>
      <c r="I42" s="5"/>
      <c r="J42" s="5"/>
    </row>
    <row r="43" spans="1:10">
      <c r="A43" s="4"/>
      <c r="B43" s="5"/>
      <c r="C43" s="5"/>
      <c r="D43" s="5"/>
      <c r="E43" s="7"/>
      <c r="F43" s="7"/>
      <c r="G43" s="7"/>
      <c r="H43" s="7"/>
      <c r="I43" s="5"/>
      <c r="J43" s="5"/>
    </row>
    <row r="44" spans="1:10">
      <c r="A44" s="4"/>
      <c r="B44" s="5"/>
      <c r="C44" s="5"/>
      <c r="D44" s="5"/>
      <c r="E44" s="7"/>
      <c r="F44" s="7"/>
      <c r="G44" s="7"/>
      <c r="H44" s="7"/>
      <c r="I44" s="5"/>
      <c r="J44" s="5"/>
    </row>
    <row r="45" spans="1:10">
      <c r="A45" s="4"/>
      <c r="B45" s="5"/>
      <c r="C45" s="5"/>
      <c r="D45" s="5"/>
      <c r="E45" s="7"/>
      <c r="F45" s="7"/>
      <c r="G45" s="7"/>
      <c r="H45" s="7"/>
      <c r="I45" s="5"/>
      <c r="J45" s="5"/>
    </row>
    <row r="46" spans="1:10">
      <c r="A46" s="4"/>
      <c r="B46" s="5"/>
      <c r="C46" s="5"/>
      <c r="D46" s="5"/>
      <c r="E46" s="7"/>
      <c r="F46" s="7"/>
      <c r="G46" s="7"/>
      <c r="H46" s="7"/>
      <c r="I46" s="5"/>
      <c r="J46" s="5"/>
    </row>
    <row r="47" spans="1:10">
      <c r="A47" s="4"/>
      <c r="B47" s="5"/>
      <c r="C47" s="5"/>
      <c r="D47" s="5"/>
      <c r="E47" s="7"/>
      <c r="F47" s="7"/>
      <c r="G47" s="7"/>
      <c r="H47" s="7"/>
      <c r="I47" s="5"/>
      <c r="J47" s="5"/>
    </row>
    <row r="48" spans="1:10">
      <c r="A48" s="4"/>
      <c r="B48" s="5"/>
      <c r="C48" s="5"/>
      <c r="D48" s="5"/>
      <c r="E48" s="7"/>
      <c r="F48" s="7"/>
      <c r="G48" s="7"/>
      <c r="H48" s="7"/>
      <c r="I48" s="5"/>
      <c r="J48" s="5"/>
    </row>
    <row r="49" spans="1:10">
      <c r="A49" s="4"/>
      <c r="B49" s="5"/>
      <c r="C49" s="5"/>
      <c r="D49" s="5"/>
      <c r="E49" s="7"/>
      <c r="F49" s="7"/>
      <c r="G49" s="7"/>
      <c r="H49" s="7"/>
      <c r="I49" s="5"/>
      <c r="J49" s="5"/>
    </row>
    <row r="50" spans="1:10">
      <c r="A50" s="4"/>
      <c r="B50" s="5"/>
      <c r="C50" s="5"/>
      <c r="D50" s="5"/>
      <c r="E50" s="7"/>
      <c r="F50" s="7"/>
      <c r="G50" s="7"/>
      <c r="H50" s="7"/>
      <c r="I50" s="5"/>
      <c r="J50" s="5"/>
    </row>
    <row r="51" spans="1:10">
      <c r="A51" s="4"/>
      <c r="B51" s="5"/>
      <c r="C51" s="5"/>
      <c r="D51" s="5"/>
      <c r="E51" s="7"/>
      <c r="F51" s="7"/>
      <c r="G51" s="7"/>
      <c r="H51" s="7"/>
      <c r="I51" s="5"/>
      <c r="J51" s="5"/>
    </row>
    <row r="52" spans="1:10">
      <c r="A52" s="4"/>
      <c r="B52" s="5"/>
      <c r="C52" s="5"/>
      <c r="D52" s="5"/>
      <c r="E52" s="7"/>
      <c r="F52" s="7"/>
      <c r="G52" s="7"/>
      <c r="H52" s="7"/>
      <c r="I52" s="5"/>
      <c r="J52" s="5"/>
    </row>
    <row r="53" spans="1:10">
      <c r="A53" s="4"/>
      <c r="B53" s="5"/>
      <c r="C53" s="5"/>
      <c r="D53" s="5"/>
      <c r="E53" s="7"/>
      <c r="F53" s="7"/>
      <c r="G53" s="7"/>
      <c r="H53" s="7"/>
      <c r="I53" s="5"/>
      <c r="J53" s="5"/>
    </row>
    <row r="54" spans="1:10">
      <c r="A54" s="4"/>
      <c r="B54" s="5"/>
      <c r="C54" s="5"/>
      <c r="D54" s="5"/>
      <c r="E54" s="7"/>
      <c r="F54" s="7"/>
      <c r="G54" s="7"/>
      <c r="H54" s="7"/>
      <c r="I54" s="5"/>
      <c r="J54" s="5"/>
    </row>
    <row r="55" spans="1:10">
      <c r="A55" s="4"/>
      <c r="B55" s="5"/>
      <c r="C55" s="5"/>
      <c r="D55" s="5"/>
      <c r="E55" s="7"/>
      <c r="F55" s="7"/>
      <c r="G55" s="7"/>
      <c r="H55" s="7"/>
      <c r="I55" s="5"/>
      <c r="J55" s="5"/>
    </row>
  </sheetData>
  <autoFilter ref="A2:J2" xr:uid="{B495C380-3747-43B0-B226-858EE8B124DE}"/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7DDC-235C-4D24-8AC4-61014FDF2E51}">
  <sheetPr>
    <pageSetUpPr fitToPage="1"/>
  </sheetPr>
  <dimension ref="A1:J58"/>
  <sheetViews>
    <sheetView zoomScale="80" zoomScaleNormal="80" workbookViewId="0">
      <pane ySplit="2" topLeftCell="A3" activePane="bottomLeft" state="frozen"/>
      <selection activeCell="H32" sqref="H32"/>
      <selection pane="bottomLeft" activeCell="G20" sqref="G20"/>
    </sheetView>
  </sheetViews>
  <sheetFormatPr defaultRowHeight="16.5"/>
  <cols>
    <col min="1" max="1" width="16.375" style="3" customWidth="1"/>
    <col min="2" max="2" width="15.75" style="10" customWidth="1"/>
    <col min="3" max="4" width="18.75" style="10" customWidth="1"/>
    <col min="5" max="8" width="15.75" style="2" customWidth="1"/>
    <col min="9" max="9" width="15.75" style="10" customWidth="1"/>
    <col min="10" max="10" width="30.875" style="10" customWidth="1"/>
    <col min="11" max="11" width="9" style="10"/>
    <col min="12" max="12" width="10.625" style="10" bestFit="1" customWidth="1"/>
    <col min="13" max="16384" width="9" style="10"/>
  </cols>
  <sheetData>
    <row r="1" spans="1:10" ht="15.75" customHeight="1">
      <c r="A1" s="4"/>
      <c r="B1" s="5"/>
      <c r="C1" s="5"/>
      <c r="D1" s="5"/>
      <c r="E1" s="7"/>
      <c r="F1" s="7"/>
      <c r="G1" s="7"/>
      <c r="H1" s="7"/>
      <c r="I1" s="5"/>
      <c r="J1" s="5"/>
    </row>
    <row r="2" spans="1:10" ht="30.75" customHeight="1">
      <c r="A2" s="78" t="s">
        <v>4</v>
      </c>
      <c r="B2" s="78" t="s">
        <v>0</v>
      </c>
      <c r="C2" s="79" t="s">
        <v>14</v>
      </c>
      <c r="D2" s="79" t="s">
        <v>15</v>
      </c>
      <c r="E2" s="79" t="s">
        <v>106</v>
      </c>
      <c r="F2" s="79" t="s">
        <v>80</v>
      </c>
      <c r="G2" s="79" t="s">
        <v>81</v>
      </c>
      <c r="H2" s="8" t="s">
        <v>9</v>
      </c>
      <c r="I2" s="78" t="s">
        <v>3</v>
      </c>
      <c r="J2" s="78" t="s">
        <v>10</v>
      </c>
    </row>
    <row r="3" spans="1:10" ht="30" customHeight="1">
      <c r="A3" s="109">
        <v>45945</v>
      </c>
      <c r="B3" s="109" t="s">
        <v>103</v>
      </c>
      <c r="C3" s="102" t="s">
        <v>17</v>
      </c>
      <c r="D3" s="102" t="s">
        <v>104</v>
      </c>
      <c r="E3" s="52" t="s">
        <v>105</v>
      </c>
      <c r="F3" s="107">
        <v>1950</v>
      </c>
      <c r="G3" s="107">
        <v>2270</v>
      </c>
      <c r="H3" s="28">
        <f t="shared" ref="H3" si="0">G3-F3</f>
        <v>320</v>
      </c>
      <c r="I3" s="108" t="s">
        <v>5</v>
      </c>
      <c r="J3" s="104"/>
    </row>
    <row r="4" spans="1:10" ht="30" customHeight="1">
      <c r="A4" s="118">
        <v>45952</v>
      </c>
      <c r="B4" s="118" t="s">
        <v>16</v>
      </c>
      <c r="C4" s="102" t="s">
        <v>104</v>
      </c>
      <c r="D4" s="102" t="s">
        <v>17</v>
      </c>
      <c r="E4" s="52" t="s">
        <v>92</v>
      </c>
      <c r="F4" s="117">
        <v>8070</v>
      </c>
      <c r="G4" s="117">
        <v>8490</v>
      </c>
      <c r="H4" s="157">
        <f>G4-F4</f>
        <v>420</v>
      </c>
      <c r="I4" s="170" t="s">
        <v>128</v>
      </c>
      <c r="J4" s="104"/>
    </row>
    <row r="5" spans="1:10" ht="40.5">
      <c r="A5" s="168">
        <v>46002</v>
      </c>
      <c r="B5" s="168" t="s">
        <v>16</v>
      </c>
      <c r="C5" s="171" t="s">
        <v>177</v>
      </c>
      <c r="D5" s="171" t="s">
        <v>104</v>
      </c>
      <c r="E5" s="165" t="s">
        <v>59</v>
      </c>
      <c r="F5" s="169"/>
      <c r="G5" s="169"/>
      <c r="H5" s="157">
        <v>500</v>
      </c>
      <c r="I5" s="170" t="s">
        <v>5</v>
      </c>
      <c r="J5" s="172" t="s">
        <v>195</v>
      </c>
    </row>
    <row r="6" spans="1:10" ht="30" customHeight="1">
      <c r="A6" s="212">
        <v>46051</v>
      </c>
      <c r="B6" s="212" t="s">
        <v>53</v>
      </c>
      <c r="C6" s="215" t="s">
        <v>104</v>
      </c>
      <c r="D6" s="215" t="s">
        <v>17</v>
      </c>
      <c r="E6" s="217" t="s">
        <v>84</v>
      </c>
      <c r="F6" s="213">
        <v>14040</v>
      </c>
      <c r="G6" s="213">
        <v>14950</v>
      </c>
      <c r="H6" s="157">
        <f>G6-F6</f>
        <v>910</v>
      </c>
      <c r="I6" s="214" t="s">
        <v>128</v>
      </c>
      <c r="J6" s="216"/>
    </row>
    <row r="7" spans="1:10" ht="30" customHeight="1">
      <c r="A7" s="276">
        <v>46115</v>
      </c>
      <c r="B7" s="276" t="s">
        <v>16</v>
      </c>
      <c r="C7" s="278" t="s">
        <v>17</v>
      </c>
      <c r="D7" s="278" t="s">
        <v>104</v>
      </c>
      <c r="E7" s="275" t="s">
        <v>301</v>
      </c>
      <c r="F7" s="274">
        <v>7980</v>
      </c>
      <c r="G7" s="274">
        <v>8500</v>
      </c>
      <c r="H7" s="157">
        <f>G7-F7</f>
        <v>520</v>
      </c>
      <c r="I7" s="277" t="s">
        <v>5</v>
      </c>
      <c r="J7" s="279" t="s">
        <v>302</v>
      </c>
    </row>
    <row r="8" spans="1:10" ht="30" customHeight="1">
      <c r="A8" s="302"/>
      <c r="B8" s="302"/>
      <c r="C8" s="301"/>
      <c r="D8" s="301"/>
      <c r="E8" s="297"/>
      <c r="F8" s="299"/>
      <c r="G8" s="299"/>
      <c r="H8" s="157"/>
      <c r="I8" s="298"/>
      <c r="J8" s="303"/>
    </row>
    <row r="9" spans="1:10" ht="30" customHeight="1">
      <c r="A9" s="105"/>
      <c r="B9" s="100"/>
      <c r="C9" s="100"/>
      <c r="D9" s="100"/>
      <c r="E9" s="106"/>
      <c r="F9" s="106"/>
      <c r="G9" s="52"/>
      <c r="H9" s="53"/>
      <c r="I9" s="95"/>
      <c r="J9" s="96"/>
    </row>
    <row r="10" spans="1:10" ht="30" customHeight="1">
      <c r="A10" s="72"/>
      <c r="B10" s="73"/>
      <c r="C10" s="74"/>
      <c r="D10" s="74"/>
      <c r="E10" s="75"/>
      <c r="F10" s="75"/>
      <c r="G10" s="75"/>
      <c r="H10" s="11">
        <f>SUM(H3:H9)</f>
        <v>2670</v>
      </c>
      <c r="I10" s="74"/>
      <c r="J10" s="74"/>
    </row>
    <row r="11" spans="1:10" ht="21.95" customHeight="1">
      <c r="A11" s="4"/>
      <c r="B11" s="5"/>
      <c r="C11" s="5"/>
      <c r="D11" s="5"/>
      <c r="E11" s="7"/>
      <c r="F11" s="7"/>
      <c r="G11" s="7"/>
      <c r="H11" s="7"/>
      <c r="I11" s="5"/>
      <c r="J11" s="5"/>
    </row>
    <row r="12" spans="1:10" ht="21.95" customHeight="1">
      <c r="A12" s="4"/>
      <c r="B12" s="5"/>
      <c r="C12" s="5"/>
      <c r="D12" s="5"/>
      <c r="E12" s="7"/>
      <c r="F12" s="7"/>
      <c r="G12" s="7"/>
      <c r="H12" s="7"/>
      <c r="I12" s="5"/>
      <c r="J12" s="5"/>
    </row>
    <row r="13" spans="1:10" ht="21.95" customHeight="1">
      <c r="A13" s="4"/>
      <c r="B13" s="5"/>
      <c r="C13" s="5"/>
      <c r="D13" s="5"/>
      <c r="E13" s="7"/>
      <c r="F13" s="7"/>
      <c r="G13" s="7"/>
      <c r="H13" s="7"/>
      <c r="I13" s="5"/>
      <c r="J13" s="5"/>
    </row>
    <row r="14" spans="1:10" ht="21.95" customHeight="1">
      <c r="A14" s="4"/>
      <c r="B14" s="5"/>
      <c r="C14" s="5"/>
      <c r="D14" s="5"/>
      <c r="E14" s="7"/>
      <c r="F14" s="7"/>
      <c r="G14" s="7"/>
      <c r="H14" s="7"/>
      <c r="I14" s="5"/>
      <c r="J14" s="5"/>
    </row>
    <row r="15" spans="1:10" ht="21.95" customHeight="1">
      <c r="A15" s="4"/>
      <c r="B15" s="5"/>
      <c r="C15" s="5"/>
      <c r="D15" s="5"/>
      <c r="E15" s="7"/>
      <c r="F15" s="7"/>
      <c r="G15" s="7"/>
      <c r="H15" s="7"/>
      <c r="I15" s="5"/>
      <c r="J15" s="5"/>
    </row>
    <row r="16" spans="1:10" ht="21.95" customHeight="1">
      <c r="A16" s="4"/>
      <c r="B16" s="5"/>
      <c r="C16" s="5"/>
      <c r="D16" s="5"/>
      <c r="E16" s="7"/>
      <c r="F16" s="7"/>
      <c r="G16" s="7"/>
      <c r="H16" s="7"/>
      <c r="I16" s="5"/>
      <c r="J16" s="5"/>
    </row>
    <row r="17" spans="1:10" ht="21.95" customHeight="1">
      <c r="A17" s="4"/>
      <c r="B17" s="5"/>
      <c r="C17" s="5"/>
      <c r="D17" s="5"/>
      <c r="E17" s="7"/>
      <c r="F17" s="7"/>
      <c r="G17" s="7"/>
      <c r="H17" s="7"/>
      <c r="I17" s="5"/>
      <c r="J17" s="5"/>
    </row>
    <row r="18" spans="1:10" ht="21.95" customHeight="1">
      <c r="A18" s="4"/>
      <c r="B18" s="5"/>
      <c r="C18" s="5"/>
      <c r="D18" s="5"/>
      <c r="E18" s="7"/>
      <c r="F18" s="7"/>
      <c r="G18" s="7"/>
      <c r="H18" s="7"/>
      <c r="I18" s="5"/>
      <c r="J18" s="5"/>
    </row>
    <row r="19" spans="1:10" ht="21.95" customHeight="1">
      <c r="A19" s="4"/>
      <c r="B19" s="5"/>
      <c r="C19" s="5"/>
      <c r="D19" s="5"/>
      <c r="E19" s="7"/>
      <c r="F19" s="7"/>
      <c r="G19" s="7"/>
      <c r="H19" s="7"/>
      <c r="I19" s="5"/>
      <c r="J19" s="5"/>
    </row>
    <row r="20" spans="1:10" ht="21.95" customHeight="1">
      <c r="A20" s="4"/>
      <c r="B20" s="5"/>
      <c r="C20" s="5"/>
      <c r="D20" s="5"/>
      <c r="E20" s="7"/>
      <c r="F20" s="7"/>
      <c r="G20" s="7"/>
      <c r="H20" s="7"/>
      <c r="I20" s="5"/>
      <c r="J20" s="5"/>
    </row>
    <row r="21" spans="1:10" ht="21.95" customHeight="1">
      <c r="A21" s="4"/>
      <c r="B21" s="5"/>
      <c r="C21" s="5"/>
      <c r="D21" s="5"/>
      <c r="E21" s="7"/>
      <c r="F21" s="7"/>
      <c r="G21" s="7"/>
      <c r="H21" s="7"/>
      <c r="I21" s="5"/>
      <c r="J21" s="5"/>
    </row>
    <row r="22" spans="1:10" ht="21.95" customHeight="1">
      <c r="A22" s="4"/>
      <c r="B22" s="5"/>
      <c r="C22" s="5"/>
      <c r="D22" s="5"/>
      <c r="E22" s="7"/>
      <c r="F22" s="7"/>
      <c r="G22" s="7"/>
      <c r="H22" s="7"/>
      <c r="I22" s="5"/>
      <c r="J22" s="5"/>
    </row>
    <row r="23" spans="1:10" ht="21.95" customHeight="1">
      <c r="A23" s="4"/>
      <c r="B23" s="5"/>
      <c r="C23" s="5"/>
      <c r="D23" s="5"/>
      <c r="E23" s="7"/>
      <c r="F23" s="7"/>
      <c r="G23" s="7"/>
      <c r="H23" s="7"/>
      <c r="I23" s="5"/>
      <c r="J23" s="5"/>
    </row>
    <row r="24" spans="1:10" ht="21.95" customHeight="1">
      <c r="A24" s="4"/>
      <c r="B24" s="5"/>
      <c r="C24" s="5"/>
      <c r="D24" s="5"/>
      <c r="E24" s="7"/>
      <c r="F24" s="7"/>
      <c r="G24" s="7"/>
      <c r="H24" s="7"/>
      <c r="I24" s="5"/>
      <c r="J24" s="5"/>
    </row>
    <row r="25" spans="1:10" ht="21.95" customHeight="1">
      <c r="A25" s="4"/>
      <c r="B25" s="5"/>
      <c r="C25" s="5"/>
      <c r="D25" s="5"/>
      <c r="E25" s="7"/>
      <c r="F25" s="7"/>
      <c r="G25" s="7"/>
      <c r="H25" s="7"/>
      <c r="I25" s="5"/>
      <c r="J25" s="5"/>
    </row>
    <row r="26" spans="1:10" ht="21.95" customHeight="1">
      <c r="A26" s="4"/>
      <c r="B26" s="5"/>
      <c r="C26" s="5"/>
      <c r="D26" s="5"/>
      <c r="E26" s="7"/>
      <c r="F26" s="7"/>
      <c r="G26" s="7"/>
      <c r="H26" s="7"/>
      <c r="I26" s="5"/>
      <c r="J26" s="5"/>
    </row>
    <row r="27" spans="1:10" ht="21.95" customHeight="1">
      <c r="A27" s="4"/>
      <c r="B27" s="5"/>
      <c r="C27" s="5"/>
      <c r="D27" s="5"/>
      <c r="E27" s="7"/>
      <c r="F27" s="7"/>
      <c r="G27" s="7"/>
      <c r="H27" s="7"/>
      <c r="I27" s="5"/>
      <c r="J27" s="5"/>
    </row>
    <row r="28" spans="1:10" ht="21.95" customHeight="1">
      <c r="A28" s="4"/>
      <c r="B28" s="5"/>
      <c r="C28" s="5"/>
      <c r="D28" s="5"/>
      <c r="E28" s="7"/>
      <c r="F28" s="7"/>
      <c r="G28" s="7"/>
      <c r="H28" s="7"/>
      <c r="I28" s="5"/>
      <c r="J28" s="5"/>
    </row>
    <row r="29" spans="1:10" ht="21.95" customHeight="1">
      <c r="A29" s="4"/>
      <c r="B29" s="5"/>
      <c r="C29" s="5"/>
      <c r="D29" s="5"/>
      <c r="E29" s="7"/>
      <c r="F29" s="7"/>
      <c r="G29" s="7"/>
      <c r="H29" s="7"/>
      <c r="I29" s="5"/>
      <c r="J29" s="5"/>
    </row>
    <row r="30" spans="1:10" ht="21.95" customHeight="1">
      <c r="A30" s="4"/>
      <c r="B30" s="5"/>
      <c r="C30" s="5"/>
      <c r="D30" s="5"/>
      <c r="E30" s="7"/>
      <c r="F30" s="7"/>
      <c r="G30" s="7"/>
      <c r="H30" s="7"/>
      <c r="I30" s="5"/>
      <c r="J30" s="5"/>
    </row>
    <row r="31" spans="1:10" ht="21.95" customHeight="1">
      <c r="A31" s="4"/>
      <c r="B31" s="5"/>
      <c r="C31" s="5"/>
      <c r="D31" s="5"/>
      <c r="E31" s="7"/>
      <c r="F31" s="7"/>
      <c r="G31" s="7"/>
      <c r="H31" s="7"/>
      <c r="I31" s="5"/>
      <c r="J31" s="5"/>
    </row>
    <row r="32" spans="1:10" ht="21.95" customHeight="1">
      <c r="A32" s="4"/>
      <c r="B32" s="5"/>
      <c r="C32" s="5"/>
      <c r="D32" s="5"/>
      <c r="E32" s="7"/>
      <c r="F32" s="7"/>
      <c r="G32" s="7"/>
      <c r="H32" s="7"/>
      <c r="I32" s="5"/>
      <c r="J32" s="5"/>
    </row>
    <row r="33" spans="1:10" ht="21.95" customHeight="1">
      <c r="A33" s="4"/>
      <c r="B33" s="5"/>
      <c r="C33" s="5"/>
      <c r="D33" s="5"/>
      <c r="E33" s="7"/>
      <c r="F33" s="7"/>
      <c r="G33" s="7"/>
      <c r="H33" s="7"/>
      <c r="I33" s="5"/>
      <c r="J33" s="5"/>
    </row>
    <row r="34" spans="1:10" ht="21.95" customHeight="1">
      <c r="A34" s="4"/>
      <c r="B34" s="5"/>
      <c r="C34" s="5"/>
      <c r="D34" s="5"/>
      <c r="E34" s="7"/>
      <c r="F34" s="7"/>
      <c r="G34" s="7"/>
      <c r="H34" s="7"/>
      <c r="I34" s="5"/>
      <c r="J34" s="5"/>
    </row>
    <row r="35" spans="1:10" ht="21.95" customHeight="1">
      <c r="A35" s="4"/>
      <c r="B35" s="5"/>
      <c r="C35" s="5"/>
      <c r="D35" s="5"/>
      <c r="E35" s="7"/>
      <c r="F35" s="7"/>
      <c r="G35" s="7"/>
      <c r="H35" s="7"/>
      <c r="I35" s="5"/>
      <c r="J35" s="5"/>
    </row>
    <row r="36" spans="1:10" ht="21.95" customHeight="1">
      <c r="A36" s="4"/>
      <c r="B36" s="5"/>
      <c r="C36" s="5"/>
      <c r="D36" s="5"/>
      <c r="E36" s="7"/>
      <c r="F36" s="7"/>
      <c r="G36" s="7"/>
      <c r="H36" s="7"/>
      <c r="I36" s="5"/>
      <c r="J36" s="5"/>
    </row>
    <row r="37" spans="1:10" ht="21.95" customHeight="1">
      <c r="A37" s="4"/>
      <c r="B37" s="5"/>
      <c r="C37" s="5"/>
      <c r="D37" s="5"/>
      <c r="E37" s="7"/>
      <c r="F37" s="7"/>
      <c r="G37" s="7"/>
      <c r="H37" s="7"/>
      <c r="I37" s="5"/>
      <c r="J37" s="5"/>
    </row>
    <row r="38" spans="1:10" ht="21.95" customHeight="1">
      <c r="A38" s="4"/>
      <c r="B38" s="5"/>
      <c r="C38" s="5"/>
      <c r="D38" s="5"/>
      <c r="E38" s="7"/>
      <c r="F38" s="7"/>
      <c r="G38" s="7"/>
      <c r="H38" s="7"/>
      <c r="I38" s="5"/>
      <c r="J38" s="5"/>
    </row>
    <row r="39" spans="1:10">
      <c r="A39" s="4"/>
      <c r="B39" s="5"/>
      <c r="C39" s="5"/>
      <c r="D39" s="5"/>
      <c r="E39" s="7"/>
      <c r="F39" s="7"/>
      <c r="G39" s="7"/>
      <c r="H39" s="7"/>
      <c r="I39" s="5"/>
      <c r="J39" s="5"/>
    </row>
    <row r="40" spans="1:10">
      <c r="A40" s="4"/>
      <c r="B40" s="5"/>
      <c r="C40" s="5"/>
      <c r="D40" s="5"/>
      <c r="E40" s="7"/>
      <c r="F40" s="7"/>
      <c r="G40" s="7"/>
      <c r="H40" s="7"/>
      <c r="I40" s="5"/>
      <c r="J40" s="5"/>
    </row>
    <row r="41" spans="1:10">
      <c r="A41" s="4"/>
      <c r="B41" s="5"/>
      <c r="C41" s="5"/>
      <c r="D41" s="5"/>
      <c r="E41" s="7"/>
      <c r="F41" s="7"/>
      <c r="G41" s="7"/>
      <c r="H41" s="7"/>
      <c r="I41" s="5"/>
      <c r="J41" s="5"/>
    </row>
    <row r="42" spans="1:10">
      <c r="A42" s="4"/>
      <c r="B42" s="5"/>
      <c r="C42" s="5"/>
      <c r="D42" s="5"/>
      <c r="E42" s="7"/>
      <c r="F42" s="7"/>
      <c r="G42" s="7"/>
      <c r="H42" s="7"/>
      <c r="I42" s="5"/>
      <c r="J42" s="5"/>
    </row>
    <row r="43" spans="1:10">
      <c r="A43" s="4"/>
      <c r="B43" s="5"/>
      <c r="C43" s="5"/>
      <c r="D43" s="5"/>
      <c r="E43" s="7"/>
      <c r="F43" s="7"/>
      <c r="G43" s="7"/>
      <c r="H43" s="7"/>
      <c r="I43" s="5"/>
      <c r="J43" s="5"/>
    </row>
    <row r="44" spans="1:10">
      <c r="A44" s="4"/>
      <c r="B44" s="5"/>
      <c r="C44" s="5"/>
      <c r="D44" s="5"/>
      <c r="E44" s="7"/>
      <c r="F44" s="7"/>
      <c r="G44" s="7"/>
      <c r="H44" s="7"/>
      <c r="I44" s="5"/>
      <c r="J44" s="5"/>
    </row>
    <row r="45" spans="1:10">
      <c r="A45" s="4"/>
      <c r="B45" s="5"/>
      <c r="C45" s="5"/>
      <c r="D45" s="5"/>
      <c r="E45" s="7"/>
      <c r="F45" s="7"/>
      <c r="G45" s="7"/>
      <c r="H45" s="7"/>
      <c r="I45" s="5"/>
      <c r="J45" s="5"/>
    </row>
    <row r="46" spans="1:10">
      <c r="A46" s="4"/>
      <c r="B46" s="5"/>
      <c r="C46" s="5"/>
      <c r="D46" s="5"/>
      <c r="E46" s="7"/>
      <c r="F46" s="7"/>
      <c r="G46" s="7"/>
      <c r="H46" s="7"/>
      <c r="I46" s="5"/>
      <c r="J46" s="5"/>
    </row>
    <row r="47" spans="1:10">
      <c r="A47" s="4"/>
      <c r="B47" s="5"/>
      <c r="C47" s="5"/>
      <c r="D47" s="5"/>
      <c r="E47" s="7"/>
      <c r="F47" s="7"/>
      <c r="G47" s="7"/>
      <c r="H47" s="7"/>
      <c r="I47" s="5"/>
      <c r="J47" s="5"/>
    </row>
    <row r="48" spans="1:10">
      <c r="A48" s="4"/>
      <c r="B48" s="5"/>
      <c r="C48" s="5"/>
      <c r="D48" s="5"/>
      <c r="E48" s="7"/>
      <c r="F48" s="7"/>
      <c r="G48" s="7"/>
      <c r="H48" s="7"/>
      <c r="I48" s="5"/>
      <c r="J48" s="5"/>
    </row>
    <row r="49" spans="1:10">
      <c r="A49" s="4"/>
      <c r="B49" s="5"/>
      <c r="C49" s="5"/>
      <c r="D49" s="5"/>
      <c r="E49" s="7"/>
      <c r="F49" s="7"/>
      <c r="G49" s="7"/>
      <c r="H49" s="7"/>
      <c r="I49" s="5"/>
      <c r="J49" s="5"/>
    </row>
    <row r="50" spans="1:10">
      <c r="A50" s="4"/>
      <c r="B50" s="5"/>
      <c r="C50" s="5"/>
      <c r="D50" s="5"/>
      <c r="E50" s="7"/>
      <c r="F50" s="7"/>
      <c r="G50" s="7"/>
      <c r="H50" s="7"/>
      <c r="I50" s="5"/>
      <c r="J50" s="5"/>
    </row>
    <row r="51" spans="1:10">
      <c r="A51" s="4"/>
      <c r="B51" s="5"/>
      <c r="C51" s="5"/>
      <c r="D51" s="5"/>
      <c r="E51" s="7"/>
      <c r="F51" s="7"/>
      <c r="G51" s="7"/>
      <c r="H51" s="7"/>
      <c r="I51" s="5"/>
      <c r="J51" s="5"/>
    </row>
    <row r="52" spans="1:10">
      <c r="A52" s="4"/>
      <c r="B52" s="5"/>
      <c r="C52" s="5"/>
      <c r="D52" s="5"/>
      <c r="E52" s="7"/>
      <c r="F52" s="7"/>
      <c r="G52" s="7"/>
      <c r="H52" s="7"/>
      <c r="I52" s="5"/>
      <c r="J52" s="5"/>
    </row>
    <row r="53" spans="1:10">
      <c r="A53" s="4"/>
      <c r="B53" s="5"/>
      <c r="C53" s="5"/>
      <c r="D53" s="5"/>
      <c r="E53" s="7"/>
      <c r="F53" s="7"/>
      <c r="G53" s="7"/>
      <c r="H53" s="7"/>
      <c r="I53" s="5"/>
      <c r="J53" s="5"/>
    </row>
    <row r="54" spans="1:10">
      <c r="A54" s="4"/>
      <c r="B54" s="5"/>
      <c r="C54" s="5"/>
      <c r="D54" s="5"/>
      <c r="E54" s="7"/>
      <c r="F54" s="7"/>
      <c r="G54" s="7"/>
      <c r="H54" s="7"/>
      <c r="I54" s="5"/>
      <c r="J54" s="5"/>
    </row>
    <row r="55" spans="1:10">
      <c r="A55" s="4"/>
      <c r="B55" s="5"/>
      <c r="C55" s="5"/>
      <c r="D55" s="5"/>
      <c r="E55" s="7"/>
      <c r="F55" s="7"/>
      <c r="G55" s="7"/>
      <c r="H55" s="7"/>
      <c r="I55" s="5"/>
      <c r="J55" s="5"/>
    </row>
    <row r="56" spans="1:10">
      <c r="A56" s="4"/>
      <c r="B56" s="5"/>
      <c r="C56" s="5"/>
      <c r="D56" s="5"/>
      <c r="E56" s="7"/>
      <c r="F56" s="7"/>
      <c r="G56" s="7"/>
      <c r="H56" s="7"/>
      <c r="I56" s="5"/>
      <c r="J56" s="5"/>
    </row>
    <row r="57" spans="1:10">
      <c r="A57" s="4"/>
      <c r="B57" s="5"/>
      <c r="C57" s="5"/>
      <c r="D57" s="5"/>
      <c r="E57" s="7"/>
      <c r="F57" s="7"/>
      <c r="G57" s="7"/>
      <c r="H57" s="7"/>
      <c r="I57" s="5"/>
      <c r="J57" s="5"/>
    </row>
    <row r="58" spans="1:10">
      <c r="A58" s="4"/>
      <c r="B58" s="5"/>
      <c r="C58" s="5"/>
      <c r="D58" s="5"/>
      <c r="E58" s="7"/>
      <c r="F58" s="7"/>
      <c r="G58" s="7"/>
      <c r="H58" s="7"/>
      <c r="I58" s="5"/>
      <c r="J58" s="5"/>
    </row>
  </sheetData>
  <autoFilter ref="A2:J2" xr:uid="{B495C380-3747-43B0-B226-858EE8B124DE}"/>
  <phoneticPr fontId="2" type="noConversion"/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B5D2-2218-4E46-AED1-E3EB2A8BA1C7}">
  <sheetPr filterMode="1">
    <pageSetUpPr fitToPage="1"/>
  </sheetPr>
  <dimension ref="A1:M665"/>
  <sheetViews>
    <sheetView zoomScale="90" zoomScaleNormal="90" workbookViewId="0">
      <pane ySplit="2" topLeftCell="A27" activePane="bottomLeft" state="frozen"/>
      <selection activeCell="G41" sqref="G41"/>
      <selection pane="bottomLeft" activeCell="G41" sqref="G41"/>
    </sheetView>
  </sheetViews>
  <sheetFormatPr defaultRowHeight="16.5"/>
  <cols>
    <col min="1" max="1" width="16.375" style="3" customWidth="1"/>
    <col min="2" max="2" width="15.75" style="10" customWidth="1"/>
    <col min="3" max="3" width="16.875" style="10" customWidth="1"/>
    <col min="4" max="4" width="15.75" style="10" customWidth="1"/>
    <col min="5" max="5" width="20.625" style="2" bestFit="1" customWidth="1"/>
    <col min="6" max="6" width="12" style="2" bestFit="1" customWidth="1"/>
    <col min="7" max="10" width="15.75" style="10" customWidth="1"/>
    <col min="11" max="16384" width="9" style="10"/>
  </cols>
  <sheetData>
    <row r="1" spans="1:13" ht="15.75" customHeight="1">
      <c r="G1" s="1"/>
      <c r="H1" s="1"/>
    </row>
    <row r="2" spans="1:13" ht="30" customHeight="1">
      <c r="A2" s="78" t="s">
        <v>4</v>
      </c>
      <c r="B2" s="78" t="s">
        <v>0</v>
      </c>
      <c r="C2" s="79" t="s">
        <v>14</v>
      </c>
      <c r="D2" s="78" t="s">
        <v>15</v>
      </c>
      <c r="E2" s="79" t="s">
        <v>2</v>
      </c>
      <c r="F2" s="79" t="s">
        <v>58</v>
      </c>
      <c r="G2" s="78" t="s">
        <v>20</v>
      </c>
      <c r="H2" s="78" t="s">
        <v>21</v>
      </c>
      <c r="I2" s="8" t="s">
        <v>9</v>
      </c>
      <c r="J2" s="78" t="s">
        <v>3</v>
      </c>
      <c r="K2" s="2038" t="s">
        <v>10</v>
      </c>
      <c r="L2" s="2039"/>
      <c r="M2" s="2040"/>
    </row>
    <row r="3" spans="1:13" ht="30" customHeight="1">
      <c r="A3" s="34">
        <v>45915</v>
      </c>
      <c r="B3" s="35" t="s">
        <v>22</v>
      </c>
      <c r="C3" s="35" t="s">
        <v>17</v>
      </c>
      <c r="D3" s="35" t="s">
        <v>69</v>
      </c>
      <c r="E3" s="35" t="s">
        <v>59</v>
      </c>
      <c r="F3" s="35">
        <v>6</v>
      </c>
      <c r="G3" s="35">
        <v>8300</v>
      </c>
      <c r="H3" s="35">
        <v>11110</v>
      </c>
      <c r="I3" s="36">
        <f>H3-G3</f>
        <v>2810</v>
      </c>
      <c r="J3" s="35" t="s">
        <v>18</v>
      </c>
      <c r="K3" s="2041"/>
      <c r="L3" s="2041"/>
      <c r="M3" s="2041"/>
    </row>
    <row r="4" spans="1:13" ht="30" customHeight="1">
      <c r="A4" s="37">
        <v>45915</v>
      </c>
      <c r="B4" s="32" t="s">
        <v>23</v>
      </c>
      <c r="C4" s="25" t="s">
        <v>17</v>
      </c>
      <c r="D4" s="131" t="s">
        <v>69</v>
      </c>
      <c r="E4" s="38" t="s">
        <v>59</v>
      </c>
      <c r="F4" s="38">
        <v>6</v>
      </c>
      <c r="G4" s="25">
        <v>8200</v>
      </c>
      <c r="H4" s="25">
        <v>11020</v>
      </c>
      <c r="I4" s="39">
        <f>H4-G4</f>
        <v>2820</v>
      </c>
      <c r="J4" s="25" t="s">
        <v>18</v>
      </c>
      <c r="K4" s="2042"/>
      <c r="L4" s="2043"/>
      <c r="M4" s="2044"/>
    </row>
    <row r="5" spans="1:13" ht="30" customHeight="1">
      <c r="A5" s="37">
        <v>45918</v>
      </c>
      <c r="B5" s="42" t="s">
        <v>24</v>
      </c>
      <c r="C5" s="25" t="s">
        <v>17</v>
      </c>
      <c r="D5" s="131" t="s">
        <v>69</v>
      </c>
      <c r="E5" s="38" t="s">
        <v>59</v>
      </c>
      <c r="F5" s="55">
        <v>6</v>
      </c>
      <c r="G5" s="25">
        <v>8450</v>
      </c>
      <c r="H5" s="25">
        <v>11300</v>
      </c>
      <c r="I5" s="39">
        <f t="shared" ref="I5:I7" si="0">H5-G5</f>
        <v>2850</v>
      </c>
      <c r="J5" s="25" t="s">
        <v>18</v>
      </c>
      <c r="K5" s="2042"/>
      <c r="L5" s="2043"/>
      <c r="M5" s="2044"/>
    </row>
    <row r="6" spans="1:13" ht="30" customHeight="1">
      <c r="A6" s="37">
        <v>45918</v>
      </c>
      <c r="B6" s="42" t="s">
        <v>25</v>
      </c>
      <c r="C6" s="25" t="s">
        <v>17</v>
      </c>
      <c r="D6" s="131" t="s">
        <v>69</v>
      </c>
      <c r="E6" s="38" t="s">
        <v>59</v>
      </c>
      <c r="F6" s="55">
        <v>6</v>
      </c>
      <c r="G6" s="25">
        <v>9020</v>
      </c>
      <c r="H6" s="25">
        <v>11890</v>
      </c>
      <c r="I6" s="39">
        <f t="shared" si="0"/>
        <v>2870</v>
      </c>
      <c r="J6" s="25" t="s">
        <v>18</v>
      </c>
      <c r="K6" s="2042"/>
      <c r="L6" s="2043"/>
      <c r="M6" s="2044"/>
    </row>
    <row r="7" spans="1:13" ht="30" customHeight="1">
      <c r="A7" s="37">
        <v>45918</v>
      </c>
      <c r="B7" s="25" t="s">
        <v>19</v>
      </c>
      <c r="C7" s="25" t="s">
        <v>17</v>
      </c>
      <c r="D7" s="131" t="s">
        <v>69</v>
      </c>
      <c r="E7" s="38" t="s">
        <v>59</v>
      </c>
      <c r="F7" s="55">
        <v>5</v>
      </c>
      <c r="G7" s="25">
        <v>8640</v>
      </c>
      <c r="H7" s="25">
        <v>11040</v>
      </c>
      <c r="I7" s="48">
        <f t="shared" si="0"/>
        <v>2400</v>
      </c>
      <c r="J7" s="25" t="s">
        <v>18</v>
      </c>
      <c r="K7" s="2045"/>
      <c r="L7" s="2046"/>
      <c r="M7" s="2047"/>
    </row>
    <row r="8" spans="1:13" ht="30" customHeight="1">
      <c r="A8" s="43">
        <v>45919</v>
      </c>
      <c r="B8" s="44" t="s">
        <v>16</v>
      </c>
      <c r="C8" s="44" t="s">
        <v>69</v>
      </c>
      <c r="D8" s="44" t="s">
        <v>17</v>
      </c>
      <c r="E8" s="44" t="s">
        <v>59</v>
      </c>
      <c r="F8" s="44">
        <v>-2</v>
      </c>
      <c r="G8" s="44">
        <v>8090</v>
      </c>
      <c r="H8" s="44">
        <v>9020</v>
      </c>
      <c r="I8" s="51">
        <f>-(H8-G8)</f>
        <v>-930</v>
      </c>
      <c r="J8" s="44" t="s">
        <v>26</v>
      </c>
      <c r="K8" s="45"/>
      <c r="L8" s="46"/>
      <c r="M8" s="47"/>
    </row>
    <row r="9" spans="1:13" ht="30" customHeight="1">
      <c r="A9" s="49">
        <v>45926</v>
      </c>
      <c r="B9" s="40" t="s">
        <v>33</v>
      </c>
      <c r="C9" s="40" t="s">
        <v>17</v>
      </c>
      <c r="D9" s="131" t="s">
        <v>69</v>
      </c>
      <c r="E9" s="40" t="s">
        <v>59</v>
      </c>
      <c r="F9" s="40">
        <v>3</v>
      </c>
      <c r="G9" s="40"/>
      <c r="H9" s="40"/>
      <c r="I9" s="39"/>
      <c r="J9" s="40" t="s">
        <v>18</v>
      </c>
      <c r="K9" s="2032"/>
      <c r="L9" s="2033"/>
      <c r="M9" s="2034"/>
    </row>
    <row r="10" spans="1:13" ht="30" customHeight="1">
      <c r="A10" s="49">
        <v>45926</v>
      </c>
      <c r="B10" s="40" t="s">
        <v>19</v>
      </c>
      <c r="C10" s="40" t="s">
        <v>17</v>
      </c>
      <c r="D10" s="131" t="s">
        <v>69</v>
      </c>
      <c r="E10" s="40" t="s">
        <v>59</v>
      </c>
      <c r="F10" s="40">
        <v>5</v>
      </c>
      <c r="G10" s="40"/>
      <c r="H10" s="40"/>
      <c r="I10" s="50"/>
      <c r="J10" s="40" t="s">
        <v>18</v>
      </c>
      <c r="K10" s="2032"/>
      <c r="L10" s="2033"/>
      <c r="M10" s="2034"/>
    </row>
    <row r="11" spans="1:13" ht="30" customHeight="1">
      <c r="A11" s="49">
        <v>45927</v>
      </c>
      <c r="B11" s="40" t="s">
        <v>50</v>
      </c>
      <c r="C11" s="40" t="s">
        <v>17</v>
      </c>
      <c r="D11" s="131" t="s">
        <v>69</v>
      </c>
      <c r="E11" s="40" t="s">
        <v>59</v>
      </c>
      <c r="F11" s="40">
        <v>6</v>
      </c>
      <c r="G11" s="40"/>
      <c r="H11" s="40"/>
      <c r="I11" s="39"/>
      <c r="J11" s="40" t="s">
        <v>18</v>
      </c>
      <c r="K11" s="2032"/>
      <c r="L11" s="2033"/>
      <c r="M11" s="2034"/>
    </row>
    <row r="12" spans="1:13" ht="30" customHeight="1">
      <c r="A12" s="49">
        <v>45927</v>
      </c>
      <c r="B12" s="40" t="s">
        <v>51</v>
      </c>
      <c r="C12" s="40" t="s">
        <v>17</v>
      </c>
      <c r="D12" s="131" t="s">
        <v>69</v>
      </c>
      <c r="E12" s="40" t="s">
        <v>59</v>
      </c>
      <c r="F12" s="40">
        <v>6</v>
      </c>
      <c r="G12" s="40"/>
      <c r="H12" s="40"/>
      <c r="I12" s="48"/>
      <c r="J12" s="40" t="s">
        <v>18</v>
      </c>
      <c r="K12" s="2045" t="s">
        <v>49</v>
      </c>
      <c r="L12" s="2046"/>
      <c r="M12" s="2047"/>
    </row>
    <row r="13" spans="1:13" ht="30" customHeight="1">
      <c r="A13" s="49">
        <v>45929</v>
      </c>
      <c r="B13" s="40" t="s">
        <v>25</v>
      </c>
      <c r="C13" s="40" t="s">
        <v>17</v>
      </c>
      <c r="D13" s="131" t="s">
        <v>69</v>
      </c>
      <c r="E13" s="40" t="s">
        <v>59</v>
      </c>
      <c r="F13" s="40">
        <v>6</v>
      </c>
      <c r="G13" s="40"/>
      <c r="H13" s="40"/>
      <c r="I13" s="48"/>
      <c r="J13" s="40" t="s">
        <v>18</v>
      </c>
      <c r="K13" s="2032"/>
      <c r="L13" s="2033"/>
      <c r="M13" s="2034"/>
    </row>
    <row r="14" spans="1:13" ht="30" customHeight="1">
      <c r="A14" s="49">
        <v>45929</v>
      </c>
      <c r="B14" s="40" t="s">
        <v>19</v>
      </c>
      <c r="C14" s="40" t="s">
        <v>17</v>
      </c>
      <c r="D14" s="131" t="s">
        <v>69</v>
      </c>
      <c r="E14" s="40" t="s">
        <v>59</v>
      </c>
      <c r="F14" s="40">
        <v>6</v>
      </c>
      <c r="G14" s="40"/>
      <c r="H14" s="40"/>
      <c r="I14" s="48"/>
      <c r="J14" s="40" t="s">
        <v>18</v>
      </c>
      <c r="K14" s="2032"/>
      <c r="L14" s="2033"/>
      <c r="M14" s="2034"/>
    </row>
    <row r="15" spans="1:13" ht="30" customHeight="1">
      <c r="A15" s="49">
        <v>45929</v>
      </c>
      <c r="B15" s="40" t="s">
        <v>52</v>
      </c>
      <c r="C15" s="40" t="s">
        <v>17</v>
      </c>
      <c r="D15" s="131" t="s">
        <v>69</v>
      </c>
      <c r="E15" s="40" t="s">
        <v>59</v>
      </c>
      <c r="F15" s="40">
        <v>6</v>
      </c>
      <c r="G15" s="40"/>
      <c r="H15" s="40"/>
      <c r="I15" s="48"/>
      <c r="J15" s="40" t="s">
        <v>18</v>
      </c>
      <c r="K15" s="2032"/>
      <c r="L15" s="2033"/>
      <c r="M15" s="2034"/>
    </row>
    <row r="16" spans="1:13" ht="30" customHeight="1">
      <c r="A16" s="49">
        <v>45930</v>
      </c>
      <c r="B16" s="40" t="s">
        <v>61</v>
      </c>
      <c r="C16" s="40" t="s">
        <v>17</v>
      </c>
      <c r="D16" s="131" t="s">
        <v>69</v>
      </c>
      <c r="E16" s="40" t="s">
        <v>59</v>
      </c>
      <c r="F16" s="40">
        <v>5</v>
      </c>
      <c r="G16" s="40"/>
      <c r="H16" s="40"/>
      <c r="I16" s="48"/>
      <c r="J16" s="40" t="s">
        <v>18</v>
      </c>
      <c r="K16" s="2032"/>
      <c r="L16" s="2033"/>
      <c r="M16" s="2034"/>
    </row>
    <row r="17" spans="1:13" ht="30" customHeight="1">
      <c r="A17" s="49">
        <v>45930</v>
      </c>
      <c r="B17" s="40" t="s">
        <v>66</v>
      </c>
      <c r="C17" s="40" t="s">
        <v>17</v>
      </c>
      <c r="D17" s="40" t="s">
        <v>69</v>
      </c>
      <c r="E17" s="40" t="s">
        <v>59</v>
      </c>
      <c r="F17" s="40">
        <v>6</v>
      </c>
      <c r="G17" s="40"/>
      <c r="H17" s="40"/>
      <c r="I17" s="39"/>
      <c r="J17" s="40" t="s">
        <v>18</v>
      </c>
      <c r="K17" s="2032"/>
      <c r="L17" s="2033"/>
      <c r="M17" s="2034"/>
    </row>
    <row r="18" spans="1:13" ht="30" customHeight="1">
      <c r="A18" s="57">
        <v>45930</v>
      </c>
      <c r="B18" s="27" t="s">
        <v>72</v>
      </c>
      <c r="C18" s="27" t="s">
        <v>17</v>
      </c>
      <c r="D18" s="27" t="s">
        <v>69</v>
      </c>
      <c r="E18" s="27" t="s">
        <v>59</v>
      </c>
      <c r="F18" s="27">
        <v>8</v>
      </c>
      <c r="G18" s="27"/>
      <c r="H18" s="27"/>
      <c r="I18" s="30"/>
      <c r="J18" s="27" t="s">
        <v>18</v>
      </c>
      <c r="K18" s="2029" t="s">
        <v>73</v>
      </c>
      <c r="L18" s="2030"/>
      <c r="M18" s="2031"/>
    </row>
    <row r="19" spans="1:13" ht="30" customHeight="1">
      <c r="A19" s="113">
        <v>45947</v>
      </c>
      <c r="B19" s="90" t="s">
        <v>113</v>
      </c>
      <c r="C19" s="90" t="s">
        <v>17</v>
      </c>
      <c r="D19" s="90" t="s">
        <v>69</v>
      </c>
      <c r="E19" s="90" t="s">
        <v>114</v>
      </c>
      <c r="F19" s="90"/>
      <c r="G19" s="90">
        <v>9430</v>
      </c>
      <c r="H19" s="90">
        <v>13080</v>
      </c>
      <c r="I19" s="114">
        <v>3650</v>
      </c>
      <c r="J19" s="90" t="s">
        <v>18</v>
      </c>
      <c r="K19" s="2025" t="s">
        <v>115</v>
      </c>
      <c r="L19" s="2026"/>
      <c r="M19" s="2027"/>
    </row>
    <row r="20" spans="1:13" ht="30" customHeight="1">
      <c r="A20" s="113">
        <v>45951</v>
      </c>
      <c r="B20" s="90" t="s">
        <v>120</v>
      </c>
      <c r="C20" s="90" t="s">
        <v>17</v>
      </c>
      <c r="D20" s="90" t="s">
        <v>69</v>
      </c>
      <c r="E20" s="90" t="s">
        <v>121</v>
      </c>
      <c r="F20" s="90"/>
      <c r="G20" s="90">
        <v>2270</v>
      </c>
      <c r="H20" s="90">
        <v>3370</v>
      </c>
      <c r="I20" s="114">
        <f>H20-G20</f>
        <v>1100</v>
      </c>
      <c r="J20" s="90" t="s">
        <v>18</v>
      </c>
      <c r="K20" s="2028" t="s">
        <v>122</v>
      </c>
      <c r="L20" s="2028"/>
      <c r="M20" s="2028"/>
    </row>
    <row r="21" spans="1:13" ht="30" customHeight="1">
      <c r="A21" s="115">
        <v>45958</v>
      </c>
      <c r="B21" s="130" t="s">
        <v>136</v>
      </c>
      <c r="C21" s="130" t="s">
        <v>17</v>
      </c>
      <c r="D21" s="130" t="s">
        <v>69</v>
      </c>
      <c r="E21" s="130" t="s">
        <v>134</v>
      </c>
      <c r="F21" s="130">
        <v>2</v>
      </c>
      <c r="G21" s="130"/>
      <c r="H21" s="130"/>
      <c r="I21" s="36"/>
      <c r="J21" s="130" t="s">
        <v>18</v>
      </c>
      <c r="K21" s="2051"/>
      <c r="L21" s="2052"/>
      <c r="M21" s="2053"/>
    </row>
    <row r="22" spans="1:13" ht="30" customHeight="1">
      <c r="A22" s="57">
        <v>45958</v>
      </c>
      <c r="B22" s="27" t="s">
        <v>24</v>
      </c>
      <c r="C22" s="27" t="s">
        <v>17</v>
      </c>
      <c r="D22" s="27" t="s">
        <v>69</v>
      </c>
      <c r="E22" s="27" t="s">
        <v>137</v>
      </c>
      <c r="F22" s="27"/>
      <c r="G22" s="27"/>
      <c r="H22" s="27"/>
      <c r="I22" s="30"/>
      <c r="J22" s="27" t="s">
        <v>18</v>
      </c>
      <c r="K22" s="2054"/>
      <c r="L22" s="2055"/>
      <c r="M22" s="2056"/>
    </row>
    <row r="23" spans="1:13" ht="30" customHeight="1">
      <c r="A23" s="122">
        <v>45960</v>
      </c>
      <c r="B23" s="134" t="s">
        <v>142</v>
      </c>
      <c r="C23" s="134" t="s">
        <v>17</v>
      </c>
      <c r="D23" s="134" t="s">
        <v>69</v>
      </c>
      <c r="E23" s="134" t="s">
        <v>141</v>
      </c>
      <c r="F23" s="134"/>
      <c r="G23" s="134"/>
      <c r="H23" s="134"/>
      <c r="I23" s="53"/>
      <c r="J23" s="134" t="s">
        <v>18</v>
      </c>
      <c r="K23" s="2025" t="s">
        <v>143</v>
      </c>
      <c r="L23" s="2026"/>
      <c r="M23" s="2027"/>
    </row>
    <row r="24" spans="1:13" ht="30" customHeight="1">
      <c r="A24" s="122">
        <v>45961</v>
      </c>
      <c r="B24" s="136" t="s">
        <v>148</v>
      </c>
      <c r="C24" s="136" t="s">
        <v>17</v>
      </c>
      <c r="D24" s="136" t="s">
        <v>69</v>
      </c>
      <c r="E24" s="136" t="s">
        <v>149</v>
      </c>
      <c r="F24" s="136"/>
      <c r="G24" s="136"/>
      <c r="H24" s="136"/>
      <c r="I24" s="53"/>
      <c r="J24" s="136" t="s">
        <v>18</v>
      </c>
      <c r="K24" s="140"/>
      <c r="L24" s="141"/>
      <c r="M24" s="142"/>
    </row>
    <row r="25" spans="1:13" ht="30" customHeight="1">
      <c r="A25" s="122">
        <v>45962</v>
      </c>
      <c r="B25" s="136" t="s">
        <v>150</v>
      </c>
      <c r="C25" s="136" t="s">
        <v>17</v>
      </c>
      <c r="D25" s="136" t="s">
        <v>69</v>
      </c>
      <c r="E25" s="136" t="s">
        <v>125</v>
      </c>
      <c r="F25" s="136">
        <v>2</v>
      </c>
      <c r="G25" s="136"/>
      <c r="H25" s="136"/>
      <c r="I25" s="53"/>
      <c r="J25" s="136" t="s">
        <v>18</v>
      </c>
      <c r="K25" s="2025" t="s">
        <v>151</v>
      </c>
      <c r="L25" s="2026"/>
      <c r="M25" s="2027"/>
    </row>
    <row r="26" spans="1:13" ht="30" customHeight="1">
      <c r="A26" s="122">
        <v>46331</v>
      </c>
      <c r="B26" s="201" t="s">
        <v>215</v>
      </c>
      <c r="C26" s="201" t="s">
        <v>69</v>
      </c>
      <c r="D26" s="201" t="s">
        <v>17</v>
      </c>
      <c r="E26" s="201" t="s">
        <v>125</v>
      </c>
      <c r="F26" s="201">
        <v>4</v>
      </c>
      <c r="G26" s="201"/>
      <c r="H26" s="201"/>
      <c r="I26" s="53"/>
      <c r="J26" s="201" t="s">
        <v>18</v>
      </c>
      <c r="K26" s="140"/>
      <c r="L26" s="141"/>
      <c r="M26" s="142"/>
    </row>
    <row r="27" spans="1:13" ht="30" customHeight="1">
      <c r="A27" s="122"/>
      <c r="B27" s="119"/>
      <c r="C27" s="119"/>
      <c r="D27" s="119"/>
      <c r="E27" s="120"/>
      <c r="F27" s="120"/>
      <c r="G27" s="119"/>
      <c r="H27" s="119"/>
      <c r="I27" s="121"/>
      <c r="J27" s="119"/>
      <c r="K27" s="2048"/>
      <c r="L27" s="2049"/>
      <c r="M27" s="2050"/>
    </row>
    <row r="28" spans="1:13" ht="30" customHeight="1">
      <c r="A28" s="72"/>
      <c r="B28" s="73"/>
      <c r="C28" s="74"/>
      <c r="D28" s="74"/>
      <c r="E28" s="75"/>
      <c r="F28" s="75">
        <f>SUM(F3:F27)</f>
        <v>92</v>
      </c>
      <c r="G28" s="76"/>
      <c r="H28" s="76"/>
      <c r="I28" s="11">
        <f>SUM(I3:I27)</f>
        <v>17570</v>
      </c>
      <c r="J28" s="74"/>
      <c r="K28" s="2035"/>
      <c r="L28" s="2036"/>
      <c r="M28" s="2037"/>
    </row>
    <row r="29" spans="1:13">
      <c r="A29" s="4"/>
      <c r="B29" s="5"/>
      <c r="C29" s="5"/>
      <c r="D29" s="5"/>
      <c r="E29" s="7"/>
      <c r="F29" s="7"/>
      <c r="G29" s="6"/>
      <c r="H29" s="6"/>
      <c r="I29" s="5"/>
      <c r="J29" s="5"/>
      <c r="K29" s="6"/>
      <c r="L29" s="5"/>
      <c r="M29" s="5"/>
    </row>
    <row r="30" spans="1:13">
      <c r="A30" s="4"/>
      <c r="B30" s="5"/>
      <c r="C30" s="5"/>
      <c r="D30" s="5"/>
      <c r="E30" s="7"/>
      <c r="F30" s="7"/>
      <c r="G30" s="5"/>
      <c r="H30" s="5"/>
      <c r="I30" s="5"/>
      <c r="J30" s="5"/>
    </row>
    <row r="31" spans="1:13">
      <c r="A31" s="4"/>
      <c r="B31" s="5"/>
      <c r="C31" s="5"/>
      <c r="D31" s="5"/>
      <c r="E31" s="7"/>
      <c r="F31" s="7"/>
      <c r="G31" s="5"/>
      <c r="H31" s="5"/>
      <c r="I31" s="5"/>
      <c r="J31" s="5"/>
    </row>
    <row r="32" spans="1:13">
      <c r="A32" s="4"/>
      <c r="B32" s="5"/>
      <c r="C32" s="5"/>
      <c r="D32" s="5"/>
      <c r="E32" s="7"/>
      <c r="F32" s="7"/>
      <c r="G32" s="5"/>
      <c r="H32" s="5"/>
      <c r="I32" s="5"/>
      <c r="J32" s="5"/>
    </row>
    <row r="33" spans="1:10">
      <c r="A33" s="4"/>
      <c r="B33" s="5"/>
      <c r="C33" s="5"/>
      <c r="D33" s="5"/>
      <c r="E33" s="7"/>
      <c r="F33" s="7"/>
      <c r="G33" s="5"/>
      <c r="H33" s="5"/>
      <c r="I33" s="5"/>
      <c r="J33" s="5"/>
    </row>
    <row r="34" spans="1:10">
      <c r="A34" s="4"/>
      <c r="B34" s="5"/>
      <c r="C34" s="5"/>
      <c r="D34" s="5"/>
      <c r="E34" s="7"/>
      <c r="F34" s="7"/>
      <c r="G34" s="5"/>
      <c r="H34" s="5"/>
      <c r="I34" s="5"/>
      <c r="J34" s="5"/>
    </row>
    <row r="35" spans="1:10">
      <c r="A35" s="4"/>
      <c r="B35" s="5"/>
      <c r="C35" s="5"/>
      <c r="D35" s="5"/>
      <c r="E35" s="7"/>
      <c r="F35" s="7"/>
      <c r="G35" s="5"/>
      <c r="H35" s="5"/>
      <c r="I35" s="5"/>
      <c r="J35" s="5"/>
    </row>
    <row r="36" spans="1:10">
      <c r="A36" s="4"/>
      <c r="B36" s="5"/>
      <c r="C36" s="5"/>
      <c r="D36" s="5"/>
      <c r="E36" s="7"/>
      <c r="F36" s="7"/>
      <c r="G36" s="5"/>
      <c r="H36" s="5"/>
      <c r="I36" s="5"/>
      <c r="J36" s="5"/>
    </row>
    <row r="37" spans="1:10">
      <c r="A37" s="4"/>
      <c r="B37" s="5"/>
      <c r="C37" s="5"/>
      <c r="D37" s="5"/>
      <c r="E37" s="7"/>
      <c r="F37" s="7"/>
      <c r="G37" s="5"/>
      <c r="H37" s="5"/>
      <c r="I37" s="5"/>
      <c r="J37" s="5"/>
    </row>
    <row r="38" spans="1:10">
      <c r="A38" s="4"/>
      <c r="B38" s="5"/>
      <c r="C38" s="5"/>
      <c r="D38" s="5"/>
      <c r="E38" s="7"/>
      <c r="F38" s="7"/>
      <c r="G38" s="5"/>
      <c r="H38" s="5"/>
      <c r="I38" s="5"/>
      <c r="J38" s="5"/>
    </row>
    <row r="39" spans="1:10">
      <c r="A39" s="4"/>
      <c r="B39" s="5"/>
      <c r="C39" s="5"/>
      <c r="D39" s="5"/>
      <c r="E39" s="7"/>
      <c r="F39" s="7"/>
      <c r="G39" s="5"/>
      <c r="H39" s="5"/>
      <c r="I39" s="5"/>
      <c r="J39" s="5"/>
    </row>
    <row r="40" spans="1:10">
      <c r="A40" s="4"/>
      <c r="B40" s="5"/>
      <c r="C40" s="5"/>
      <c r="D40" s="5"/>
      <c r="E40" s="7"/>
      <c r="F40" s="7"/>
      <c r="G40" s="5"/>
      <c r="H40" s="5"/>
      <c r="I40" s="5"/>
      <c r="J40" s="5"/>
    </row>
    <row r="41" spans="1:10">
      <c r="A41" s="4"/>
      <c r="B41" s="5"/>
      <c r="C41" s="5"/>
      <c r="D41" s="5"/>
      <c r="E41" s="7"/>
      <c r="F41" s="7"/>
      <c r="G41" s="5"/>
      <c r="H41" s="5"/>
      <c r="I41" s="5"/>
      <c r="J41" s="5"/>
    </row>
    <row r="42" spans="1:10">
      <c r="A42" s="4"/>
      <c r="B42" s="5"/>
      <c r="C42" s="5"/>
      <c r="D42" s="5"/>
      <c r="E42" s="7"/>
      <c r="F42" s="7"/>
      <c r="G42" s="5"/>
      <c r="H42" s="5"/>
      <c r="I42" s="5"/>
      <c r="J42" s="5"/>
    </row>
    <row r="43" spans="1:10">
      <c r="A43" s="4"/>
      <c r="B43" s="5"/>
      <c r="C43" s="5"/>
      <c r="D43" s="5"/>
      <c r="E43" s="7"/>
      <c r="F43" s="7"/>
      <c r="G43" s="5"/>
      <c r="H43" s="5"/>
      <c r="I43" s="5"/>
      <c r="J43" s="5"/>
    </row>
    <row r="44" spans="1:10">
      <c r="A44" s="4"/>
      <c r="B44" s="5"/>
      <c r="C44" s="5"/>
      <c r="D44" s="5"/>
      <c r="E44" s="7"/>
      <c r="F44" s="7"/>
      <c r="G44" s="5"/>
      <c r="H44" s="5"/>
      <c r="I44" s="5"/>
      <c r="J44" s="5"/>
    </row>
    <row r="45" spans="1:10">
      <c r="A45" s="4"/>
      <c r="B45" s="5"/>
      <c r="C45" s="5"/>
      <c r="D45" s="5"/>
      <c r="E45" s="7"/>
      <c r="F45" s="7"/>
      <c r="G45" s="5"/>
      <c r="H45" s="5"/>
      <c r="I45" s="5"/>
      <c r="J45" s="5"/>
    </row>
    <row r="46" spans="1:10">
      <c r="A46" s="4"/>
      <c r="B46" s="5"/>
      <c r="C46" s="5"/>
      <c r="D46" s="5"/>
      <c r="E46" s="7"/>
      <c r="F46" s="7"/>
      <c r="G46" s="5"/>
      <c r="H46" s="5"/>
      <c r="I46" s="5"/>
      <c r="J46" s="5"/>
    </row>
    <row r="47" spans="1:10">
      <c r="A47" s="4"/>
      <c r="B47" s="5"/>
      <c r="C47" s="5"/>
      <c r="D47" s="5"/>
      <c r="E47" s="7"/>
      <c r="F47" s="7"/>
      <c r="G47" s="5"/>
      <c r="H47" s="5"/>
      <c r="I47" s="5"/>
      <c r="J47" s="5"/>
    </row>
    <row r="48" spans="1:10">
      <c r="A48" s="4"/>
      <c r="B48" s="5"/>
      <c r="C48" s="5"/>
      <c r="D48" s="5"/>
      <c r="E48" s="7"/>
      <c r="F48" s="7"/>
      <c r="G48" s="5"/>
      <c r="H48" s="5"/>
      <c r="I48" s="5"/>
      <c r="J48" s="5"/>
    </row>
    <row r="49" spans="1:13">
      <c r="A49" s="4"/>
      <c r="B49" s="5"/>
      <c r="C49" s="5"/>
      <c r="D49" s="5"/>
      <c r="E49" s="7"/>
      <c r="F49" s="7"/>
      <c r="G49" s="5"/>
      <c r="H49" s="5"/>
      <c r="I49" s="5"/>
      <c r="J49" s="5"/>
    </row>
    <row r="50" spans="1:13">
      <c r="A50" s="4"/>
      <c r="B50" s="5"/>
      <c r="C50" s="5"/>
      <c r="D50" s="5"/>
      <c r="E50" s="7"/>
      <c r="F50" s="7"/>
      <c r="G50" s="5"/>
      <c r="H50" s="5"/>
      <c r="I50" s="5"/>
      <c r="J50" s="5"/>
    </row>
    <row r="51" spans="1:13">
      <c r="A51" s="4"/>
      <c r="B51" s="5"/>
      <c r="C51" s="5"/>
      <c r="D51" s="5"/>
      <c r="E51" s="7"/>
      <c r="F51" s="7"/>
      <c r="G51" s="5"/>
      <c r="H51" s="5"/>
      <c r="I51" s="5"/>
      <c r="J51" s="5"/>
    </row>
    <row r="52" spans="1:13">
      <c r="A52" s="4"/>
      <c r="B52" s="5"/>
      <c r="C52" s="5"/>
      <c r="D52" s="5"/>
      <c r="E52" s="7"/>
      <c r="F52" s="7"/>
      <c r="G52" s="5"/>
      <c r="H52" s="5"/>
      <c r="I52" s="5"/>
      <c r="J52" s="5"/>
    </row>
    <row r="53" spans="1:13">
      <c r="A53" s="4"/>
      <c r="B53" s="5"/>
      <c r="C53" s="5"/>
      <c r="D53" s="5"/>
      <c r="E53" s="7"/>
      <c r="F53" s="7"/>
      <c r="G53" s="5"/>
      <c r="H53" s="5"/>
      <c r="I53" s="5"/>
      <c r="J53" s="5"/>
    </row>
    <row r="54" spans="1:13">
      <c r="A54" s="4"/>
      <c r="B54" s="5"/>
      <c r="C54" s="5"/>
      <c r="D54" s="5"/>
      <c r="E54" s="7"/>
      <c r="F54" s="7"/>
      <c r="G54" s="5"/>
      <c r="H54" s="5"/>
      <c r="I54" s="5"/>
      <c r="J54" s="5"/>
    </row>
    <row r="55" spans="1:13">
      <c r="A55" s="4"/>
      <c r="B55" s="5"/>
      <c r="C55" s="5"/>
      <c r="D55" s="5"/>
      <c r="E55" s="7"/>
      <c r="F55" s="7"/>
      <c r="G55" s="5"/>
      <c r="H55" s="5"/>
      <c r="I55" s="5"/>
      <c r="J55" s="5"/>
    </row>
    <row r="56" spans="1:13">
      <c r="A56" s="4"/>
      <c r="B56" s="5"/>
      <c r="C56" s="5"/>
      <c r="D56" s="5"/>
      <c r="E56" s="7"/>
      <c r="F56" s="7"/>
      <c r="G56" s="5"/>
      <c r="H56" s="5"/>
      <c r="I56" s="5"/>
      <c r="J56" s="5"/>
    </row>
    <row r="57" spans="1:13">
      <c r="A57" s="14"/>
      <c r="B57" s="15"/>
      <c r="C57" s="15"/>
      <c r="D57" s="5"/>
      <c r="E57" s="16"/>
      <c r="F57" s="16"/>
      <c r="G57" s="15"/>
      <c r="H57" s="15"/>
      <c r="I57" s="5"/>
      <c r="J57" s="15"/>
      <c r="K57" s="17"/>
      <c r="L57" s="17"/>
      <c r="M57" s="17"/>
    </row>
    <row r="58" spans="1:13">
      <c r="A58" s="14"/>
      <c r="B58" s="15"/>
      <c r="C58" s="15"/>
      <c r="D58" s="5"/>
      <c r="E58" s="16"/>
      <c r="F58" s="16"/>
      <c r="G58" s="15"/>
      <c r="H58" s="15"/>
      <c r="I58" s="5"/>
      <c r="J58" s="15"/>
      <c r="K58" s="17"/>
      <c r="L58" s="17"/>
      <c r="M58" s="17"/>
    </row>
    <row r="59" spans="1:13">
      <c r="A59" s="14"/>
      <c r="B59" s="15"/>
      <c r="C59" s="15"/>
      <c r="D59" s="5"/>
      <c r="E59" s="16"/>
      <c r="F59" s="16"/>
      <c r="G59" s="15"/>
      <c r="H59" s="15"/>
      <c r="I59" s="5"/>
      <c r="J59" s="15"/>
      <c r="K59" s="17"/>
      <c r="L59" s="17"/>
      <c r="M59" s="17"/>
    </row>
    <row r="60" spans="1:13">
      <c r="A60" s="14"/>
      <c r="B60" s="15"/>
      <c r="C60" s="15"/>
      <c r="D60" s="5"/>
      <c r="E60" s="16"/>
      <c r="F60" s="16"/>
      <c r="G60" s="15"/>
      <c r="H60" s="15"/>
      <c r="I60" s="5"/>
      <c r="J60" s="15"/>
      <c r="K60" s="17"/>
      <c r="L60" s="17"/>
      <c r="M60" s="17"/>
    </row>
    <row r="61" spans="1:13">
      <c r="A61" s="4"/>
      <c r="B61" s="5"/>
      <c r="C61" s="5"/>
      <c r="D61" s="5"/>
      <c r="E61" s="7"/>
      <c r="F61" s="7"/>
      <c r="G61" s="5"/>
      <c r="H61" s="5"/>
      <c r="I61" s="5"/>
      <c r="J61" s="5"/>
    </row>
    <row r="62" spans="1:13">
      <c r="A62" s="4"/>
      <c r="B62" s="5"/>
      <c r="C62" s="5"/>
      <c r="D62" s="5"/>
      <c r="E62" s="7"/>
      <c r="F62" s="7"/>
      <c r="G62" s="5"/>
      <c r="H62" s="5"/>
      <c r="I62" s="5"/>
      <c r="J62" s="5"/>
    </row>
    <row r="63" spans="1:13">
      <c r="A63" s="4"/>
      <c r="B63" s="5"/>
      <c r="C63" s="5"/>
      <c r="D63" s="5"/>
      <c r="E63" s="7"/>
      <c r="F63" s="7"/>
      <c r="G63" s="5"/>
      <c r="H63" s="5"/>
      <c r="I63" s="5"/>
      <c r="J63" s="5"/>
    </row>
    <row r="64" spans="1:13">
      <c r="A64" s="4"/>
      <c r="B64" s="5"/>
      <c r="C64" s="5"/>
      <c r="D64" s="5"/>
      <c r="E64" s="7"/>
      <c r="F64" s="7"/>
      <c r="G64" s="5"/>
      <c r="H64" s="5"/>
      <c r="I64" s="5"/>
      <c r="J64" s="5"/>
    </row>
    <row r="65" spans="1:10">
      <c r="A65" s="4"/>
      <c r="B65" s="5"/>
      <c r="C65" s="5"/>
      <c r="D65" s="5"/>
      <c r="E65" s="7"/>
      <c r="F65" s="7"/>
      <c r="G65" s="5"/>
      <c r="H65" s="5"/>
      <c r="I65" s="5"/>
      <c r="J65" s="5"/>
    </row>
    <row r="66" spans="1:10">
      <c r="A66" s="4"/>
      <c r="B66" s="5"/>
      <c r="C66" s="5"/>
      <c r="D66" s="5"/>
      <c r="E66" s="7"/>
      <c r="F66" s="7"/>
      <c r="G66" s="5"/>
      <c r="H66" s="5"/>
      <c r="I66" s="5"/>
      <c r="J66" s="5"/>
    </row>
    <row r="67" spans="1:10">
      <c r="A67" s="4"/>
      <c r="B67" s="5"/>
      <c r="C67" s="5"/>
      <c r="D67" s="5"/>
      <c r="E67" s="7"/>
      <c r="F67" s="7"/>
      <c r="G67" s="5"/>
      <c r="H67" s="5"/>
      <c r="I67" s="5"/>
      <c r="J67" s="5"/>
    </row>
    <row r="68" spans="1:10">
      <c r="A68" s="4"/>
      <c r="B68" s="5"/>
      <c r="C68" s="5"/>
      <c r="D68" s="5"/>
      <c r="E68" s="7"/>
      <c r="F68" s="7"/>
      <c r="G68" s="5"/>
      <c r="H68" s="5"/>
      <c r="I68" s="5"/>
      <c r="J68" s="5"/>
    </row>
    <row r="69" spans="1:10">
      <c r="A69" s="4"/>
      <c r="B69" s="5"/>
      <c r="C69" s="5"/>
      <c r="D69" s="5"/>
      <c r="E69" s="7"/>
      <c r="F69" s="7"/>
      <c r="G69" s="5"/>
      <c r="H69" s="5"/>
      <c r="I69" s="5"/>
      <c r="J69" s="5"/>
    </row>
    <row r="70" spans="1:10">
      <c r="A70" s="4"/>
      <c r="B70" s="5"/>
      <c r="C70" s="5"/>
      <c r="D70" s="5"/>
      <c r="E70" s="7"/>
      <c r="F70" s="7"/>
      <c r="G70" s="5"/>
      <c r="H70" s="5"/>
      <c r="I70" s="5"/>
      <c r="J70" s="5"/>
    </row>
    <row r="71" spans="1:10">
      <c r="A71" s="4"/>
      <c r="B71" s="5"/>
      <c r="C71" s="5"/>
      <c r="D71" s="5"/>
      <c r="E71" s="7"/>
      <c r="F71" s="7"/>
      <c r="G71" s="5"/>
      <c r="H71" s="5"/>
      <c r="I71" s="5"/>
      <c r="J71" s="5"/>
    </row>
    <row r="72" spans="1:10">
      <c r="A72" s="4"/>
      <c r="B72" s="5"/>
      <c r="C72" s="5"/>
      <c r="D72" s="5"/>
      <c r="E72" s="7"/>
      <c r="F72" s="7"/>
      <c r="G72" s="5"/>
      <c r="H72" s="5"/>
      <c r="I72" s="5"/>
      <c r="J72" s="5"/>
    </row>
    <row r="94" spans="1:11">
      <c r="A94" s="18"/>
      <c r="B94" s="17"/>
      <c r="C94" s="17"/>
      <c r="E94" s="19"/>
      <c r="F94" s="19"/>
      <c r="G94" s="17"/>
      <c r="H94" s="17"/>
      <c r="J94" s="17"/>
      <c r="K94" s="17"/>
    </row>
    <row r="95" spans="1:11">
      <c r="A95" s="18"/>
      <c r="B95" s="17"/>
      <c r="C95" s="17"/>
      <c r="E95" s="19"/>
      <c r="F95" s="19"/>
      <c r="G95" s="17"/>
      <c r="H95" s="17"/>
      <c r="J95" s="17"/>
      <c r="K95" s="17"/>
    </row>
    <row r="96" spans="1:11">
      <c r="A96" s="18"/>
      <c r="B96" s="17"/>
      <c r="C96" s="17"/>
      <c r="E96" s="19"/>
      <c r="F96" s="19"/>
      <c r="G96" s="17"/>
      <c r="H96" s="17"/>
      <c r="J96" s="17"/>
      <c r="K96" s="17"/>
    </row>
    <row r="97" spans="1:11">
      <c r="A97" s="18"/>
      <c r="B97" s="17"/>
      <c r="C97" s="17"/>
      <c r="E97" s="19"/>
      <c r="F97" s="19"/>
      <c r="G97" s="17"/>
      <c r="H97" s="17"/>
      <c r="J97" s="17"/>
      <c r="K97" s="17"/>
    </row>
    <row r="98" spans="1:11">
      <c r="A98" s="18"/>
      <c r="B98" s="17"/>
      <c r="C98" s="17"/>
      <c r="E98" s="19"/>
      <c r="F98" s="19"/>
      <c r="G98" s="17"/>
      <c r="H98" s="17"/>
      <c r="J98" s="17"/>
      <c r="K98" s="17"/>
    </row>
    <row r="665" spans="1:12">
      <c r="A665" s="18"/>
      <c r="B665" s="17"/>
      <c r="C665" s="17"/>
      <c r="D665" s="17"/>
      <c r="E665" s="19"/>
      <c r="F665" s="19"/>
      <c r="G665" s="17"/>
      <c r="H665" s="17"/>
      <c r="I665" s="17"/>
      <c r="K665" s="17"/>
      <c r="L665" s="17"/>
    </row>
  </sheetData>
  <autoFilter ref="A2:M4" xr:uid="{00000000-0009-0000-0000-000016000000}">
    <filterColumn colId="0">
      <iconFilter iconSet="3Arrows"/>
    </filterColumn>
    <filterColumn colId="10" showButton="0"/>
    <filterColumn colId="11" showButton="0"/>
  </autoFilter>
  <mergeCells count="24">
    <mergeCell ref="K28:M28"/>
    <mergeCell ref="K2:M2"/>
    <mergeCell ref="K3:M3"/>
    <mergeCell ref="K4:M4"/>
    <mergeCell ref="K7:M7"/>
    <mergeCell ref="K27:M27"/>
    <mergeCell ref="K5:M5"/>
    <mergeCell ref="K6:M6"/>
    <mergeCell ref="K9:M9"/>
    <mergeCell ref="K11:M11"/>
    <mergeCell ref="K12:M12"/>
    <mergeCell ref="K10:M10"/>
    <mergeCell ref="K19:M19"/>
    <mergeCell ref="K21:M21"/>
    <mergeCell ref="K22:M22"/>
    <mergeCell ref="K25:M25"/>
    <mergeCell ref="K23:M23"/>
    <mergeCell ref="K20:M20"/>
    <mergeCell ref="K18:M18"/>
    <mergeCell ref="K13:M13"/>
    <mergeCell ref="K14:M14"/>
    <mergeCell ref="K15:M15"/>
    <mergeCell ref="K16:M16"/>
    <mergeCell ref="K17:M1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EE7A-9C50-4C16-9D51-3D5EB793EC3A}">
  <sheetPr filterMode="1">
    <pageSetUpPr fitToPage="1"/>
  </sheetPr>
  <dimension ref="A1:M645"/>
  <sheetViews>
    <sheetView zoomScale="90" zoomScaleNormal="90" workbookViewId="0">
      <pane ySplit="2" topLeftCell="A3" activePane="bottomLeft" state="frozen"/>
      <selection activeCell="G41" sqref="G41"/>
      <selection pane="bottomLeft" activeCell="M26" sqref="M26"/>
    </sheetView>
  </sheetViews>
  <sheetFormatPr defaultRowHeight="16.5"/>
  <cols>
    <col min="1" max="1" width="16.375" style="3" customWidth="1"/>
    <col min="2" max="2" width="15.75" style="10" customWidth="1"/>
    <col min="3" max="3" width="16.875" style="10" customWidth="1"/>
    <col min="4" max="4" width="15.75" style="10" customWidth="1"/>
    <col min="5" max="5" width="14" style="2" bestFit="1" customWidth="1"/>
    <col min="6" max="6" width="12" style="2" bestFit="1" customWidth="1"/>
    <col min="7" max="10" width="15.75" style="10" customWidth="1"/>
    <col min="11" max="16384" width="9" style="10"/>
  </cols>
  <sheetData>
    <row r="1" spans="1:13" ht="15.75" customHeight="1">
      <c r="G1" s="1"/>
      <c r="H1" s="1"/>
    </row>
    <row r="2" spans="1:13" ht="30" customHeight="1">
      <c r="A2" s="78" t="s">
        <v>4</v>
      </c>
      <c r="B2" s="78" t="s">
        <v>0</v>
      </c>
      <c r="C2" s="79" t="s">
        <v>14</v>
      </c>
      <c r="D2" s="78" t="s">
        <v>15</v>
      </c>
      <c r="E2" s="79" t="s">
        <v>2</v>
      </c>
      <c r="F2" s="79" t="s">
        <v>58</v>
      </c>
      <c r="G2" s="78" t="s">
        <v>20</v>
      </c>
      <c r="H2" s="78" t="s">
        <v>21</v>
      </c>
      <c r="I2" s="8" t="s">
        <v>9</v>
      </c>
      <c r="J2" s="78" t="s">
        <v>3</v>
      </c>
      <c r="K2" s="2038" t="s">
        <v>10</v>
      </c>
      <c r="L2" s="2039"/>
      <c r="M2" s="2040"/>
    </row>
    <row r="3" spans="1:13" ht="30" customHeight="1">
      <c r="A3" s="115">
        <v>45952</v>
      </c>
      <c r="B3" s="125" t="s">
        <v>126</v>
      </c>
      <c r="C3" s="125" t="s">
        <v>17</v>
      </c>
      <c r="D3" s="125" t="s">
        <v>124</v>
      </c>
      <c r="E3" s="125" t="s">
        <v>127</v>
      </c>
      <c r="F3" s="125">
        <v>1</v>
      </c>
      <c r="G3" s="125"/>
      <c r="H3" s="125"/>
      <c r="I3" s="36">
        <f>H3-G3</f>
        <v>0</v>
      </c>
      <c r="J3" s="125" t="s">
        <v>18</v>
      </c>
      <c r="K3" s="2057" t="s">
        <v>129</v>
      </c>
      <c r="L3" s="2058"/>
      <c r="M3" s="2059"/>
    </row>
    <row r="4" spans="1:13" ht="30" customHeight="1">
      <c r="A4" s="57">
        <v>45952</v>
      </c>
      <c r="B4" s="27" t="s">
        <v>19</v>
      </c>
      <c r="C4" s="27" t="s">
        <v>17</v>
      </c>
      <c r="D4" s="27" t="s">
        <v>124</v>
      </c>
      <c r="E4" s="27" t="s">
        <v>125</v>
      </c>
      <c r="F4" s="27">
        <v>2</v>
      </c>
      <c r="G4" s="27"/>
      <c r="H4" s="27"/>
      <c r="I4" s="30">
        <v>0</v>
      </c>
      <c r="J4" s="27" t="s">
        <v>18</v>
      </c>
      <c r="K4" s="2029" t="s">
        <v>130</v>
      </c>
      <c r="L4" s="2030"/>
      <c r="M4" s="2031"/>
    </row>
    <row r="5" spans="1:13" ht="30" customHeight="1">
      <c r="A5" s="115">
        <v>45958</v>
      </c>
      <c r="B5" s="219" t="s">
        <v>136</v>
      </c>
      <c r="C5" s="219" t="s">
        <v>17</v>
      </c>
      <c r="D5" s="219" t="s">
        <v>124</v>
      </c>
      <c r="E5" s="219" t="s">
        <v>135</v>
      </c>
      <c r="F5" s="219"/>
      <c r="G5" s="219"/>
      <c r="H5" s="219"/>
      <c r="I5" s="36"/>
      <c r="J5" s="219" t="s">
        <v>18</v>
      </c>
      <c r="K5" s="2057" t="s">
        <v>139</v>
      </c>
      <c r="L5" s="2058"/>
      <c r="M5" s="2059"/>
    </row>
    <row r="6" spans="1:13" ht="30" customHeight="1">
      <c r="A6" s="37">
        <v>46027</v>
      </c>
      <c r="B6" s="218" t="s">
        <v>214</v>
      </c>
      <c r="C6" s="218" t="s">
        <v>160</v>
      </c>
      <c r="D6" s="218" t="s">
        <v>17</v>
      </c>
      <c r="E6" s="218" t="s">
        <v>213</v>
      </c>
      <c r="F6" s="218"/>
      <c r="G6" s="218"/>
      <c r="H6" s="218"/>
      <c r="I6" s="39"/>
      <c r="J6" s="218" t="s">
        <v>18</v>
      </c>
      <c r="K6" s="2045"/>
      <c r="L6" s="2046"/>
      <c r="M6" s="2047"/>
    </row>
    <row r="7" spans="1:13" ht="30" customHeight="1">
      <c r="A7" s="122"/>
      <c r="B7" s="221"/>
      <c r="C7" s="221"/>
      <c r="D7" s="221"/>
      <c r="E7" s="220"/>
      <c r="F7" s="220"/>
      <c r="G7" s="221"/>
      <c r="H7" s="221"/>
      <c r="I7" s="157"/>
      <c r="J7" s="221"/>
      <c r="K7" s="2048"/>
      <c r="L7" s="2049"/>
      <c r="M7" s="2050"/>
    </row>
    <row r="8" spans="1:13" ht="30" customHeight="1">
      <c r="A8" s="72"/>
      <c r="B8" s="73"/>
      <c r="C8" s="74"/>
      <c r="D8" s="74"/>
      <c r="E8" s="75"/>
      <c r="F8" s="75"/>
      <c r="G8" s="76"/>
      <c r="H8" s="76"/>
      <c r="I8" s="11">
        <f>SUM(I3:I7)</f>
        <v>0</v>
      </c>
      <c r="J8" s="74"/>
      <c r="K8" s="2035"/>
      <c r="L8" s="2036"/>
      <c r="M8" s="2037"/>
    </row>
    <row r="9" spans="1:13">
      <c r="A9" s="4"/>
      <c r="B9" s="5"/>
      <c r="C9" s="5"/>
      <c r="D9" s="5"/>
      <c r="E9" s="7"/>
      <c r="F9" s="7"/>
      <c r="G9" s="6"/>
      <c r="H9" s="6"/>
      <c r="I9" s="5"/>
      <c r="J9" s="5"/>
      <c r="K9" s="6"/>
      <c r="L9" s="5"/>
      <c r="M9" s="5"/>
    </row>
    <row r="10" spans="1:13">
      <c r="A10" s="4"/>
      <c r="B10" s="5"/>
      <c r="C10" s="5"/>
      <c r="D10" s="5"/>
      <c r="E10" s="7"/>
      <c r="F10" s="7"/>
      <c r="G10" s="5"/>
      <c r="H10" s="5"/>
      <c r="I10" s="5"/>
      <c r="J10" s="5"/>
    </row>
    <row r="11" spans="1:13">
      <c r="A11" s="4"/>
      <c r="B11" s="5"/>
      <c r="C11" s="5"/>
      <c r="D11" s="5"/>
      <c r="E11" s="7"/>
      <c r="F11" s="7"/>
      <c r="G11" s="5"/>
      <c r="H11" s="5"/>
      <c r="I11" s="5"/>
      <c r="J11" s="5"/>
    </row>
    <row r="12" spans="1:13">
      <c r="A12" s="4"/>
      <c r="B12" s="5"/>
      <c r="C12" s="5"/>
      <c r="D12" s="5"/>
      <c r="E12" s="7"/>
      <c r="F12" s="7"/>
      <c r="G12" s="5"/>
      <c r="H12" s="5"/>
      <c r="I12" s="5"/>
      <c r="J12" s="5"/>
    </row>
    <row r="13" spans="1:13">
      <c r="A13" s="4"/>
      <c r="B13" s="5"/>
      <c r="C13" s="5"/>
      <c r="D13" s="5"/>
      <c r="E13" s="7"/>
      <c r="F13" s="7"/>
      <c r="G13" s="5"/>
      <c r="H13" s="5"/>
      <c r="I13" s="5"/>
      <c r="J13" s="5"/>
    </row>
    <row r="14" spans="1:13">
      <c r="A14" s="4"/>
      <c r="B14" s="5"/>
      <c r="C14" s="5"/>
      <c r="D14" s="5"/>
      <c r="E14" s="7"/>
      <c r="F14" s="7"/>
      <c r="G14" s="5"/>
      <c r="H14" s="5"/>
      <c r="I14" s="5"/>
      <c r="J14" s="5"/>
    </row>
    <row r="15" spans="1:13">
      <c r="A15" s="4"/>
      <c r="B15" s="5"/>
      <c r="C15" s="5"/>
      <c r="D15" s="5"/>
      <c r="E15" s="7"/>
      <c r="F15" s="7"/>
      <c r="G15" s="5"/>
      <c r="H15" s="5"/>
      <c r="I15" s="5"/>
      <c r="J15" s="5"/>
    </row>
    <row r="16" spans="1:13">
      <c r="A16" s="4"/>
      <c r="B16" s="5"/>
      <c r="C16" s="5"/>
      <c r="D16" s="5"/>
      <c r="E16" s="7"/>
      <c r="F16" s="7"/>
      <c r="G16" s="5"/>
      <c r="H16" s="5"/>
      <c r="I16" s="5"/>
      <c r="J16" s="5"/>
    </row>
    <row r="17" spans="1:10">
      <c r="A17" s="4"/>
      <c r="B17" s="5"/>
      <c r="C17" s="5"/>
      <c r="D17" s="5"/>
      <c r="E17" s="7"/>
      <c r="F17" s="7"/>
      <c r="G17" s="5"/>
      <c r="H17" s="5"/>
      <c r="I17" s="5"/>
      <c r="J17" s="5"/>
    </row>
    <row r="18" spans="1:10">
      <c r="A18" s="4"/>
      <c r="B18" s="5"/>
      <c r="C18" s="5"/>
      <c r="D18" s="5"/>
      <c r="E18" s="7"/>
      <c r="F18" s="7"/>
      <c r="G18" s="5"/>
      <c r="H18" s="5"/>
      <c r="I18" s="5"/>
      <c r="J18" s="5"/>
    </row>
    <row r="19" spans="1:10">
      <c r="A19" s="4"/>
      <c r="B19" s="5"/>
      <c r="C19" s="5"/>
      <c r="D19" s="5"/>
      <c r="E19" s="7"/>
      <c r="F19" s="7"/>
      <c r="G19" s="5"/>
      <c r="H19" s="5"/>
      <c r="I19" s="5"/>
      <c r="J19" s="5"/>
    </row>
    <row r="20" spans="1:10">
      <c r="A20" s="4"/>
      <c r="B20" s="5"/>
      <c r="C20" s="5"/>
      <c r="D20" s="5"/>
      <c r="E20" s="7"/>
      <c r="F20" s="7"/>
      <c r="G20" s="5"/>
      <c r="H20" s="5"/>
      <c r="I20" s="5"/>
      <c r="J20" s="5"/>
    </row>
    <row r="21" spans="1:10">
      <c r="A21" s="4"/>
      <c r="B21" s="5"/>
      <c r="C21" s="5"/>
      <c r="D21" s="5"/>
      <c r="E21" s="7"/>
      <c r="F21" s="7"/>
      <c r="G21" s="5"/>
      <c r="H21" s="5"/>
      <c r="I21" s="5"/>
      <c r="J21" s="5"/>
    </row>
    <row r="22" spans="1:10">
      <c r="A22" s="4"/>
      <c r="B22" s="5"/>
      <c r="C22" s="5"/>
      <c r="D22" s="5"/>
      <c r="E22" s="7"/>
      <c r="F22" s="7"/>
      <c r="G22" s="5"/>
      <c r="H22" s="5"/>
      <c r="I22" s="5"/>
      <c r="J22" s="5"/>
    </row>
    <row r="23" spans="1:10">
      <c r="A23" s="4"/>
      <c r="B23" s="5"/>
      <c r="C23" s="5"/>
      <c r="D23" s="5"/>
      <c r="E23" s="7"/>
      <c r="F23" s="7"/>
      <c r="G23" s="5"/>
      <c r="H23" s="5"/>
      <c r="I23" s="5"/>
      <c r="J23" s="5"/>
    </row>
    <row r="24" spans="1:10">
      <c r="A24" s="4"/>
      <c r="B24" s="5"/>
      <c r="C24" s="5"/>
      <c r="D24" s="5"/>
      <c r="E24" s="7"/>
      <c r="F24" s="7"/>
      <c r="G24" s="5"/>
      <c r="H24" s="5"/>
      <c r="I24" s="5"/>
      <c r="J24" s="5"/>
    </row>
    <row r="25" spans="1:10">
      <c r="A25" s="4"/>
      <c r="B25" s="5"/>
      <c r="C25" s="5"/>
      <c r="D25" s="5"/>
      <c r="E25" s="7"/>
      <c r="F25" s="7"/>
      <c r="G25" s="5"/>
      <c r="H25" s="5"/>
      <c r="I25" s="5"/>
      <c r="J25" s="5"/>
    </row>
    <row r="26" spans="1:10">
      <c r="A26" s="4"/>
      <c r="B26" s="5"/>
      <c r="C26" s="5"/>
      <c r="D26" s="5"/>
      <c r="E26" s="7"/>
      <c r="F26" s="7"/>
      <c r="G26" s="5"/>
      <c r="H26" s="5"/>
      <c r="I26" s="5"/>
      <c r="J26" s="5"/>
    </row>
    <row r="27" spans="1:10">
      <c r="A27" s="4"/>
      <c r="B27" s="5"/>
      <c r="C27" s="5"/>
      <c r="D27" s="5"/>
      <c r="E27" s="7"/>
      <c r="F27" s="7"/>
      <c r="G27" s="5"/>
      <c r="H27" s="5"/>
      <c r="I27" s="5"/>
      <c r="J27" s="5"/>
    </row>
    <row r="28" spans="1:10">
      <c r="A28" s="4"/>
      <c r="B28" s="5"/>
      <c r="C28" s="5"/>
      <c r="D28" s="5"/>
      <c r="E28" s="7"/>
      <c r="F28" s="7"/>
      <c r="G28" s="5"/>
      <c r="H28" s="5"/>
      <c r="I28" s="5"/>
      <c r="J28" s="5"/>
    </row>
    <row r="29" spans="1:10">
      <c r="A29" s="4"/>
      <c r="B29" s="5"/>
      <c r="C29" s="5"/>
      <c r="D29" s="5"/>
      <c r="E29" s="7"/>
      <c r="F29" s="7"/>
      <c r="G29" s="5"/>
      <c r="H29" s="5"/>
      <c r="I29" s="5"/>
      <c r="J29" s="5"/>
    </row>
    <row r="30" spans="1:10">
      <c r="A30" s="4"/>
      <c r="B30" s="5"/>
      <c r="C30" s="5"/>
      <c r="D30" s="5"/>
      <c r="E30" s="7"/>
      <c r="F30" s="7"/>
      <c r="G30" s="5"/>
      <c r="H30" s="5"/>
      <c r="I30" s="5"/>
      <c r="J30" s="5"/>
    </row>
    <row r="31" spans="1:10">
      <c r="A31" s="4"/>
      <c r="B31" s="5"/>
      <c r="C31" s="5"/>
      <c r="D31" s="5"/>
      <c r="E31" s="7"/>
      <c r="F31" s="7"/>
      <c r="G31" s="5"/>
      <c r="H31" s="5"/>
      <c r="I31" s="5"/>
      <c r="J31" s="5"/>
    </row>
    <row r="32" spans="1:10">
      <c r="A32" s="4"/>
      <c r="B32" s="5"/>
      <c r="C32" s="5"/>
      <c r="D32" s="5"/>
      <c r="E32" s="7"/>
      <c r="F32" s="7"/>
      <c r="G32" s="5"/>
      <c r="H32" s="5"/>
      <c r="I32" s="5"/>
      <c r="J32" s="5"/>
    </row>
    <row r="33" spans="1:13">
      <c r="A33" s="4"/>
      <c r="B33" s="5"/>
      <c r="C33" s="5"/>
      <c r="D33" s="5"/>
      <c r="E33" s="7"/>
      <c r="F33" s="7"/>
      <c r="G33" s="5"/>
      <c r="H33" s="5"/>
      <c r="I33" s="5"/>
      <c r="J33" s="5"/>
    </row>
    <row r="34" spans="1:13">
      <c r="A34" s="4"/>
      <c r="B34" s="5"/>
      <c r="C34" s="5"/>
      <c r="D34" s="5"/>
      <c r="E34" s="7"/>
      <c r="F34" s="7"/>
      <c r="G34" s="5"/>
      <c r="H34" s="5"/>
      <c r="I34" s="5"/>
      <c r="J34" s="5"/>
    </row>
    <row r="35" spans="1:13">
      <c r="A35" s="4"/>
      <c r="B35" s="5"/>
      <c r="C35" s="5"/>
      <c r="D35" s="5"/>
      <c r="E35" s="7"/>
      <c r="F35" s="7"/>
      <c r="G35" s="5"/>
      <c r="H35" s="5"/>
      <c r="I35" s="5"/>
      <c r="J35" s="5"/>
    </row>
    <row r="36" spans="1:13">
      <c r="A36" s="4"/>
      <c r="B36" s="5"/>
      <c r="C36" s="5"/>
      <c r="D36" s="5"/>
      <c r="E36" s="7"/>
      <c r="F36" s="7"/>
      <c r="G36" s="5"/>
      <c r="H36" s="5"/>
      <c r="I36" s="5"/>
      <c r="J36" s="5"/>
    </row>
    <row r="37" spans="1:13">
      <c r="A37" s="14"/>
      <c r="B37" s="15"/>
      <c r="C37" s="15"/>
      <c r="D37" s="5"/>
      <c r="E37" s="16"/>
      <c r="F37" s="16"/>
      <c r="G37" s="15"/>
      <c r="H37" s="15"/>
      <c r="I37" s="5"/>
      <c r="J37" s="15"/>
      <c r="K37" s="17"/>
      <c r="L37" s="17"/>
      <c r="M37" s="17"/>
    </row>
    <row r="38" spans="1:13">
      <c r="A38" s="14"/>
      <c r="B38" s="15"/>
      <c r="C38" s="15"/>
      <c r="D38" s="5"/>
      <c r="E38" s="16"/>
      <c r="F38" s="16"/>
      <c r="G38" s="15"/>
      <c r="H38" s="15"/>
      <c r="I38" s="5"/>
      <c r="J38" s="15"/>
      <c r="K38" s="17"/>
      <c r="L38" s="17"/>
      <c r="M38" s="17"/>
    </row>
    <row r="39" spans="1:13">
      <c r="A39" s="14"/>
      <c r="B39" s="15"/>
      <c r="C39" s="15"/>
      <c r="D39" s="5"/>
      <c r="E39" s="16"/>
      <c r="F39" s="16"/>
      <c r="G39" s="15"/>
      <c r="H39" s="15"/>
      <c r="I39" s="5"/>
      <c r="J39" s="15"/>
      <c r="K39" s="17"/>
      <c r="L39" s="17"/>
      <c r="M39" s="17"/>
    </row>
    <row r="40" spans="1:13">
      <c r="A40" s="14"/>
      <c r="B40" s="15"/>
      <c r="C40" s="15"/>
      <c r="D40" s="5"/>
      <c r="E40" s="16"/>
      <c r="F40" s="16"/>
      <c r="G40" s="15"/>
      <c r="H40" s="15"/>
      <c r="I40" s="5"/>
      <c r="J40" s="15"/>
      <c r="K40" s="17"/>
      <c r="L40" s="17"/>
      <c r="M40" s="17"/>
    </row>
    <row r="41" spans="1:13">
      <c r="A41" s="4"/>
      <c r="B41" s="5"/>
      <c r="C41" s="5"/>
      <c r="D41" s="5"/>
      <c r="E41" s="7"/>
      <c r="F41" s="7"/>
      <c r="G41" s="5"/>
      <c r="H41" s="5"/>
      <c r="I41" s="5"/>
      <c r="J41" s="5"/>
    </row>
    <row r="42" spans="1:13">
      <c r="A42" s="4"/>
      <c r="B42" s="5"/>
      <c r="C42" s="5"/>
      <c r="D42" s="5"/>
      <c r="E42" s="7"/>
      <c r="F42" s="7"/>
      <c r="G42" s="5"/>
      <c r="H42" s="5"/>
      <c r="I42" s="5"/>
      <c r="J42" s="5"/>
    </row>
    <row r="43" spans="1:13">
      <c r="A43" s="4"/>
      <c r="B43" s="5"/>
      <c r="C43" s="5"/>
      <c r="D43" s="5"/>
      <c r="E43" s="7"/>
      <c r="F43" s="7"/>
      <c r="G43" s="5"/>
      <c r="H43" s="5"/>
      <c r="I43" s="5"/>
      <c r="J43" s="5"/>
    </row>
    <row r="44" spans="1:13">
      <c r="A44" s="4"/>
      <c r="B44" s="5"/>
      <c r="C44" s="5"/>
      <c r="D44" s="5"/>
      <c r="E44" s="7"/>
      <c r="F44" s="7"/>
      <c r="G44" s="5"/>
      <c r="H44" s="5"/>
      <c r="I44" s="5"/>
      <c r="J44" s="5"/>
    </row>
    <row r="45" spans="1:13">
      <c r="A45" s="4"/>
      <c r="B45" s="5"/>
      <c r="C45" s="5"/>
      <c r="D45" s="5"/>
      <c r="E45" s="7"/>
      <c r="F45" s="7"/>
      <c r="G45" s="5"/>
      <c r="H45" s="5"/>
      <c r="I45" s="5"/>
      <c r="J45" s="5"/>
    </row>
    <row r="46" spans="1:13">
      <c r="A46" s="4"/>
      <c r="B46" s="5"/>
      <c r="C46" s="5"/>
      <c r="D46" s="5"/>
      <c r="E46" s="7"/>
      <c r="F46" s="7"/>
      <c r="G46" s="5"/>
      <c r="H46" s="5"/>
      <c r="I46" s="5"/>
      <c r="J46" s="5"/>
    </row>
    <row r="47" spans="1:13">
      <c r="A47" s="4"/>
      <c r="B47" s="5"/>
      <c r="C47" s="5"/>
      <c r="D47" s="5"/>
      <c r="E47" s="7"/>
      <c r="F47" s="7"/>
      <c r="G47" s="5"/>
      <c r="H47" s="5"/>
      <c r="I47" s="5"/>
      <c r="J47" s="5"/>
    </row>
    <row r="48" spans="1:13">
      <c r="A48" s="4"/>
      <c r="B48" s="5"/>
      <c r="C48" s="5"/>
      <c r="D48" s="5"/>
      <c r="E48" s="7"/>
      <c r="F48" s="7"/>
      <c r="G48" s="5"/>
      <c r="H48" s="5"/>
      <c r="I48" s="5"/>
      <c r="J48" s="5"/>
    </row>
    <row r="49" spans="1:10">
      <c r="A49" s="4"/>
      <c r="B49" s="5"/>
      <c r="C49" s="5"/>
      <c r="D49" s="5"/>
      <c r="E49" s="7"/>
      <c r="F49" s="7"/>
      <c r="G49" s="5"/>
      <c r="H49" s="5"/>
      <c r="I49" s="5"/>
      <c r="J49" s="5"/>
    </row>
    <row r="50" spans="1:10">
      <c r="A50" s="4"/>
      <c r="B50" s="5"/>
      <c r="C50" s="5"/>
      <c r="D50" s="5"/>
      <c r="E50" s="7"/>
      <c r="F50" s="7"/>
      <c r="G50" s="5"/>
      <c r="H50" s="5"/>
      <c r="I50" s="5"/>
      <c r="J50" s="5"/>
    </row>
    <row r="51" spans="1:10">
      <c r="A51" s="4"/>
      <c r="B51" s="5"/>
      <c r="C51" s="5"/>
      <c r="D51" s="5"/>
      <c r="E51" s="7"/>
      <c r="F51" s="7"/>
      <c r="G51" s="5"/>
      <c r="H51" s="5"/>
      <c r="I51" s="5"/>
      <c r="J51" s="5"/>
    </row>
    <row r="52" spans="1:10">
      <c r="A52" s="4"/>
      <c r="B52" s="5"/>
      <c r="C52" s="5"/>
      <c r="D52" s="5"/>
      <c r="E52" s="7"/>
      <c r="F52" s="7"/>
      <c r="G52" s="5"/>
      <c r="H52" s="5"/>
      <c r="I52" s="5"/>
      <c r="J52" s="5"/>
    </row>
    <row r="74" spans="1:11">
      <c r="A74" s="18"/>
      <c r="B74" s="17"/>
      <c r="C74" s="17"/>
      <c r="E74" s="19"/>
      <c r="F74" s="19"/>
      <c r="G74" s="17"/>
      <c r="H74" s="17"/>
      <c r="J74" s="17"/>
      <c r="K74" s="17"/>
    </row>
    <row r="75" spans="1:11">
      <c r="A75" s="18"/>
      <c r="B75" s="17"/>
      <c r="C75" s="17"/>
      <c r="E75" s="19"/>
      <c r="F75" s="19"/>
      <c r="G75" s="17"/>
      <c r="H75" s="17"/>
      <c r="J75" s="17"/>
      <c r="K75" s="17"/>
    </row>
    <row r="76" spans="1:11">
      <c r="A76" s="18"/>
      <c r="B76" s="17"/>
      <c r="C76" s="17"/>
      <c r="E76" s="19"/>
      <c r="F76" s="19"/>
      <c r="G76" s="17"/>
      <c r="H76" s="17"/>
      <c r="J76" s="17"/>
      <c r="K76" s="17"/>
    </row>
    <row r="77" spans="1:11">
      <c r="A77" s="18"/>
      <c r="B77" s="17"/>
      <c r="C77" s="17"/>
      <c r="E77" s="19"/>
      <c r="F77" s="19"/>
      <c r="G77" s="17"/>
      <c r="H77" s="17"/>
      <c r="J77" s="17"/>
      <c r="K77" s="17"/>
    </row>
    <row r="78" spans="1:11">
      <c r="A78" s="18"/>
      <c r="B78" s="17"/>
      <c r="C78" s="17"/>
      <c r="E78" s="19"/>
      <c r="F78" s="19"/>
      <c r="G78" s="17"/>
      <c r="H78" s="17"/>
      <c r="J78" s="17"/>
      <c r="K78" s="17"/>
    </row>
    <row r="645" spans="1:12">
      <c r="A645" s="18"/>
      <c r="B645" s="17"/>
      <c r="C645" s="17"/>
      <c r="D645" s="17"/>
      <c r="E645" s="19"/>
      <c r="F645" s="19"/>
      <c r="G645" s="17"/>
      <c r="H645" s="17"/>
      <c r="I645" s="17"/>
      <c r="K645" s="17"/>
      <c r="L645" s="17"/>
    </row>
  </sheetData>
  <autoFilter ref="A2:M2" xr:uid="{00000000-0009-0000-0000-000016000000}">
    <filterColumn colId="0">
      <iconFilter iconSet="3Arrows"/>
    </filterColumn>
    <filterColumn colId="10" showButton="0"/>
    <filterColumn colId="11" showButton="0"/>
  </autoFilter>
  <mergeCells count="7">
    <mergeCell ref="K7:M7"/>
    <mergeCell ref="K8:M8"/>
    <mergeCell ref="K3:M3"/>
    <mergeCell ref="K2:M2"/>
    <mergeCell ref="K4:M4"/>
    <mergeCell ref="K5:M5"/>
    <mergeCell ref="K6:M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17</vt:i4>
      </vt:variant>
    </vt:vector>
  </HeadingPairs>
  <TitlesOfParts>
    <vt:vector size="34" baseType="lpstr">
      <vt:lpstr>갑지</vt:lpstr>
      <vt:lpstr>스크랩출고량</vt:lpstr>
      <vt:lpstr>대신에스티에스</vt:lpstr>
      <vt:lpstr>다옴금속</vt:lpstr>
      <vt:lpstr>다문산업</vt:lpstr>
      <vt:lpstr>세화철강</vt:lpstr>
      <vt:lpstr>선진알앤디</vt:lpstr>
      <vt:lpstr>기타</vt:lpstr>
      <vt:lpstr>폐기물출고량</vt:lpstr>
      <vt:lpstr>주원(폐기물)</vt:lpstr>
      <vt:lpstr>투플러스(폐판넬)</vt:lpstr>
      <vt:lpstr>도솔환경(폐콘)</vt:lpstr>
      <vt:lpstr>폐기물 기타업체</vt:lpstr>
      <vt:lpstr>재고이동(원방&lt;-&gt;투플)</vt:lpstr>
      <vt:lpstr>재고이동(원방&lt;-&gt;크로스창고)</vt:lpstr>
      <vt:lpstr>재고이동_(원방 &lt;-&gt;SR5 현장)</vt:lpstr>
      <vt:lpstr>재고이동_(원방 &lt;-&gt;어린이집)</vt:lpstr>
      <vt:lpstr>갑지!Print_Area</vt:lpstr>
      <vt:lpstr>스크랩출고량!Print_Area</vt:lpstr>
      <vt:lpstr>'재고이동_(원방 &lt;-&gt;SR5 현장)'!Print_Area</vt:lpstr>
      <vt:lpstr>'재고이동_(원방 &lt;-&gt;어린이집)'!Print_Area</vt:lpstr>
      <vt:lpstr>기타!Print_Titles</vt:lpstr>
      <vt:lpstr>다문산업!Print_Titles</vt:lpstr>
      <vt:lpstr>다옴금속!Print_Titles</vt:lpstr>
      <vt:lpstr>대신에스티에스!Print_Titles</vt:lpstr>
      <vt:lpstr>'도솔환경(폐콘)'!Print_Titles</vt:lpstr>
      <vt:lpstr>선진알앤디!Print_Titles</vt:lpstr>
      <vt:lpstr>세화철강!Print_Titles</vt:lpstr>
      <vt:lpstr>스크랩출고량!Print_Titles</vt:lpstr>
      <vt:lpstr>'재고이동(원방&lt;-&gt;크로스창고)'!Print_Titles</vt:lpstr>
      <vt:lpstr>'재고이동(원방&lt;-&gt;투플)'!Print_Titles</vt:lpstr>
      <vt:lpstr>'주원(폐기물)'!Print_Titles</vt:lpstr>
      <vt:lpstr>'투플러스(폐판넬)'!Print_Titles</vt:lpstr>
      <vt:lpstr>'폐기물 기타업체'!Print_Titles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</dc:creator>
  <cp:lastModifiedBy>user</cp:lastModifiedBy>
  <cp:lastPrinted>2026-06-19T05:54:32Z</cp:lastPrinted>
  <dcterms:created xsi:type="dcterms:W3CDTF">2023-10-30T00:00:57Z</dcterms:created>
  <dcterms:modified xsi:type="dcterms:W3CDTF">2026-07-09T02:24:29Z</dcterms:modified>
</cp:coreProperties>
</file>