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3.xml" ContentType="application/vnd.openxmlformats-officedocument.spreadsheetml.comment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799EBC4-B903-4780-9443-9B0C1D2110C6}" xr6:coauthVersionLast="47" xr6:coauthVersionMax="47" xr10:uidLastSave="{00000000-0000-0000-0000-000000000000}"/>
  <bookViews>
    <workbookView xWindow="28680" yWindow="-120" windowWidth="29040" windowHeight="15720" tabRatio="650" xr2:uid="{00000000-000D-0000-FFFF-FFFF00000000}"/>
  </bookViews>
  <sheets>
    <sheet name="갑지" sheetId="15" r:id="rId1"/>
    <sheet name="폐기물 입고" sheetId="14" r:id="rId2"/>
    <sheet name="스크랩입고량" sheetId="4" r:id="rId3"/>
    <sheet name="현대_대도_당진" sheetId="12" r:id="rId4"/>
    <sheet name="선진_진천식품기계" sheetId="17" r:id="rId5"/>
    <sheet name="기타 현장" sheetId="11" r:id="rId6"/>
    <sheet name="단발성(기타 현장)" sheetId="13" r:id="rId7"/>
    <sheet name="삼성_이텍솔루션_안성" sheetId="16" r:id="rId8"/>
    <sheet name="동우PL1_평택" sheetId="1" r:id="rId9"/>
    <sheet name="포스코_KM안산" sheetId="2" r:id="rId10"/>
    <sheet name="서식" sheetId="10" r:id="rId11"/>
  </sheets>
  <externalReferences>
    <externalReference r:id="rId12"/>
    <externalReference r:id="rId13"/>
    <externalReference r:id="rId14"/>
  </externalReferences>
  <definedNames>
    <definedName name="_1__123Graph_Aｸﾞﾗﾌ_1" hidden="1">'[1]3CH'!$C$9:$H$9</definedName>
    <definedName name="_2__123Graph_Aｸﾞﾗﾌ_2" hidden="1">#REF!</definedName>
    <definedName name="_3__123Graph_Aｸﾞﾗﾌ_3" hidden="1">#REF!</definedName>
    <definedName name="_4__123Graph_Aｸﾞﾗﾌ_5" hidden="1">#REF!</definedName>
    <definedName name="_5__123Graph_Aｸﾞﾗﾌ_6" hidden="1">#REF!</definedName>
    <definedName name="_6__123Graph_Bｸﾞﾗﾌ_6" hidden="1">#REF!</definedName>
    <definedName name="_xlnm._FilterDatabase" localSheetId="5" hidden="1">'기타 현장'!$A$3:$O$59</definedName>
    <definedName name="_xlnm._FilterDatabase" localSheetId="8" hidden="1">동우PL1_평택!$A$3:$O$24</definedName>
    <definedName name="_xlnm._FilterDatabase" localSheetId="2" hidden="1">스크랩입고량!$A$3:$O$228</definedName>
    <definedName name="_xlnm._FilterDatabase" localSheetId="1" hidden="1">'폐기물 입고'!$A$3:$Q$69</definedName>
    <definedName name="_xlnm._FilterDatabase" localSheetId="9" hidden="1">포스코_KM안산!$A$3:$O$113</definedName>
    <definedName name="_xlnm._FilterDatabase" localSheetId="3" hidden="1">현대_대도_당진!$A$3:$O$27</definedName>
    <definedName name="_xlnm._FilterDatabase" hidden="1">#REF!</definedName>
    <definedName name="fddf" hidden="1">#REF!</definedName>
    <definedName name="_xlnm.Print_Area" localSheetId="0">갑지!$A$1:$N$75</definedName>
    <definedName name="_xlnm.Print_Area" localSheetId="6">'단발성(기타 현장)'!$A$1:$N$22</definedName>
    <definedName name="_xlnm.Print_Area" localSheetId="2">스크랩입고량!$A$1:$P$229</definedName>
    <definedName name="_xlnm.Print_Area" localSheetId="1">'폐기물 입고'!$A$1:$Q$70</definedName>
    <definedName name="ㅁㅁ" hidden="1">#REF!</definedName>
    <definedName name="슬라이서_프로젝트명">#N/A</definedName>
    <definedName name="중국어" hidden="1">#REF!</definedName>
    <definedName name="품목" localSheetId="6">[2]구분표!#REF!</definedName>
    <definedName name="품목">'[3]-'!#REF!</definedName>
  </definedNames>
  <calcPr calcId="191029"/>
  <pivotCaches>
    <pivotCache cacheId="6" r:id="rId15"/>
    <pivotCache cacheId="24" r:id="rId16"/>
    <pivotCache cacheId="27" r:id="rId17"/>
    <pivotCache cacheId="31" r:id="rId18"/>
    <pivotCache cacheId="35" r:id="rId19"/>
    <pivotCache cacheId="50" r:id="rId2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1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4" i="15" l="1"/>
  <c r="C34" i="15"/>
  <c r="D34" i="15"/>
  <c r="B35" i="15"/>
  <c r="C35" i="15"/>
  <c r="D35" i="15"/>
  <c r="B36" i="15"/>
  <c r="C36" i="15"/>
  <c r="D36" i="15"/>
  <c r="B37" i="15"/>
  <c r="C37" i="15"/>
  <c r="D37" i="15"/>
  <c r="F34" i="15"/>
  <c r="G34" i="15"/>
  <c r="H34" i="15"/>
  <c r="F35" i="15"/>
  <c r="G35" i="15"/>
  <c r="H35" i="15"/>
  <c r="F36" i="15"/>
  <c r="G36" i="15"/>
  <c r="H36" i="15"/>
  <c r="F37" i="15"/>
  <c r="G37" i="15"/>
  <c r="H37" i="15"/>
  <c r="F38" i="15"/>
  <c r="H38" i="15"/>
  <c r="H121" i="2"/>
  <c r="G120" i="2"/>
  <c r="G119" i="2"/>
  <c r="G118" i="2"/>
  <c r="G30" i="1"/>
  <c r="G29" i="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N19" i="11"/>
  <c r="A20" i="11"/>
  <c r="N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N41" i="11"/>
  <c r="A42" i="11"/>
  <c r="A43" i="11"/>
  <c r="A44" i="11"/>
  <c r="A45" i="11"/>
  <c r="A46" i="11"/>
  <c r="A47" i="11"/>
  <c r="A48" i="11"/>
  <c r="A49" i="11"/>
  <c r="A50" i="11"/>
  <c r="A51" i="11"/>
  <c r="N52" i="11"/>
  <c r="A53" i="11"/>
  <c r="N2" i="13"/>
  <c r="G33" i="12"/>
  <c r="G32" i="12"/>
  <c r="H119" i="2"/>
  <c r="H120" i="2"/>
  <c r="H118" i="2"/>
  <c r="G34" i="12" l="1"/>
  <c r="A226" i="4"/>
  <c r="A225" i="4"/>
  <c r="A224" i="4"/>
  <c r="N18" i="13"/>
  <c r="N17" i="13"/>
  <c r="A11" i="13"/>
  <c r="A12" i="13"/>
  <c r="A13" i="13"/>
  <c r="A14" i="13"/>
  <c r="A15" i="13"/>
  <c r="A16" i="13"/>
  <c r="A17" i="13"/>
  <c r="A18" i="13"/>
  <c r="A4" i="13"/>
  <c r="A5" i="13"/>
  <c r="A6" i="13"/>
  <c r="A7" i="13"/>
  <c r="A8" i="13"/>
  <c r="A9" i="13"/>
  <c r="A10" i="13"/>
  <c r="C7" i="15"/>
  <c r="D7" i="15" s="1"/>
  <c r="F7" i="15"/>
  <c r="G7" i="15" s="1"/>
  <c r="A7" i="15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H33" i="12"/>
  <c r="H34" i="12" l="1"/>
  <c r="E7" i="15"/>
  <c r="H7" i="15"/>
  <c r="I7" i="15" l="1"/>
  <c r="N27" i="17" l="1"/>
  <c r="N28" i="17"/>
  <c r="N29" i="17"/>
  <c r="N30" i="17"/>
  <c r="N31" i="17"/>
  <c r="N32" i="17"/>
  <c r="N33" i="17"/>
  <c r="N34" i="17"/>
  <c r="A34" i="17"/>
  <c r="A33" i="17"/>
  <c r="A32" i="17"/>
  <c r="A31" i="17"/>
  <c r="A30" i="17"/>
  <c r="A29" i="17"/>
  <c r="A28" i="17"/>
  <c r="A27" i="17"/>
  <c r="N36" i="17" l="1"/>
  <c r="A36" i="17"/>
  <c r="N35" i="17"/>
  <c r="A35" i="17"/>
  <c r="N26" i="17"/>
  <c r="A26" i="17"/>
  <c r="N25" i="17"/>
  <c r="A25" i="17"/>
  <c r="N24" i="17"/>
  <c r="A24" i="17"/>
  <c r="N23" i="17"/>
  <c r="A23" i="17"/>
  <c r="N22" i="17"/>
  <c r="A22" i="17"/>
  <c r="N21" i="17"/>
  <c r="A21" i="17"/>
  <c r="N20" i="17"/>
  <c r="A20" i="17"/>
  <c r="N19" i="17"/>
  <c r="A19" i="17"/>
  <c r="N18" i="17"/>
  <c r="A18" i="17"/>
  <c r="N17" i="17"/>
  <c r="A17" i="17"/>
  <c r="N16" i="17"/>
  <c r="A16" i="17"/>
  <c r="N15" i="17"/>
  <c r="A15" i="17"/>
  <c r="N14" i="17"/>
  <c r="A14" i="17"/>
  <c r="N13" i="17"/>
  <c r="A13" i="17"/>
  <c r="N12" i="17"/>
  <c r="A12" i="17"/>
  <c r="N11" i="17"/>
  <c r="A11" i="17"/>
  <c r="N10" i="17"/>
  <c r="A10" i="17"/>
  <c r="N9" i="17"/>
  <c r="A9" i="17"/>
  <c r="N8" i="17"/>
  <c r="A8" i="17"/>
  <c r="N7" i="17"/>
  <c r="A7" i="17"/>
  <c r="N6" i="17"/>
  <c r="A6" i="17"/>
  <c r="N5" i="17"/>
  <c r="A5" i="17"/>
  <c r="N4" i="17"/>
  <c r="A4" i="17"/>
  <c r="M2" i="17"/>
  <c r="N2" i="17" l="1"/>
  <c r="P66" i="14" l="1"/>
  <c r="P65" i="14" l="1"/>
  <c r="P64" i="14" l="1"/>
  <c r="A66" i="14"/>
  <c r="A67" i="14"/>
  <c r="A65" i="14"/>
  <c r="A64" i="14"/>
  <c r="A227" i="4" l="1"/>
  <c r="A223" i="4"/>
  <c r="N11" i="13" l="1"/>
  <c r="P62" i="14"/>
  <c r="P63" i="14"/>
  <c r="A63" i="14"/>
  <c r="A62" i="14"/>
  <c r="B42" i="15" l="1"/>
  <c r="C42" i="15"/>
  <c r="D42" i="15"/>
  <c r="B43" i="15"/>
  <c r="B44" i="15"/>
  <c r="B45" i="15"/>
  <c r="C43" i="15"/>
  <c r="P61" i="14" l="1"/>
  <c r="P60" i="14"/>
  <c r="A61" i="14"/>
  <c r="A60" i="14"/>
  <c r="H32" i="12" l="1"/>
  <c r="H29" i="1"/>
  <c r="D43" i="15" l="1"/>
  <c r="C44" i="15" l="1"/>
  <c r="G31" i="1"/>
  <c r="C45" i="15" s="1"/>
  <c r="P59" i="14"/>
  <c r="P58" i="14"/>
  <c r="A59" i="14"/>
  <c r="A58" i="14"/>
  <c r="P57" i="14"/>
  <c r="P56" i="14"/>
  <c r="A57" i="14"/>
  <c r="A56" i="14"/>
  <c r="P55" i="14"/>
  <c r="A55" i="14"/>
  <c r="H30" i="1"/>
  <c r="D44" i="15" l="1"/>
  <c r="H31" i="1"/>
  <c r="D45" i="15" s="1"/>
  <c r="N187" i="4"/>
  <c r="N10" i="13"/>
  <c r="N184" i="4"/>
  <c r="A185" i="4"/>
  <c r="N185" i="4"/>
  <c r="P54" i="14" l="1"/>
  <c r="P53" i="14"/>
  <c r="A52" i="14"/>
  <c r="A53" i="14"/>
  <c r="A54" i="14"/>
  <c r="P52" i="14"/>
  <c r="N186" i="4"/>
  <c r="P51" i="14"/>
  <c r="A51" i="14"/>
  <c r="N26" i="16"/>
  <c r="A26" i="16"/>
  <c r="N183" i="4"/>
  <c r="N182" i="4" l="1"/>
  <c r="N181" i="4"/>
  <c r="A192" i="4"/>
  <c r="A191" i="4"/>
  <c r="A190" i="4"/>
  <c r="A189" i="4"/>
  <c r="A188" i="4"/>
  <c r="A187" i="4"/>
  <c r="A186" i="4"/>
  <c r="A184" i="4"/>
  <c r="A183" i="4"/>
  <c r="A182" i="4"/>
  <c r="N26" i="12"/>
  <c r="N25" i="12"/>
  <c r="N23" i="12"/>
  <c r="N24" i="12"/>
  <c r="A24" i="12"/>
  <c r="A23" i="12"/>
  <c r="P50" i="14"/>
  <c r="P49" i="14"/>
  <c r="A49" i="14"/>
  <c r="N180" i="4" l="1"/>
  <c r="N179" i="4"/>
  <c r="A180" i="4"/>
  <c r="A179" i="4"/>
  <c r="P48" i="14"/>
  <c r="P47" i="14"/>
  <c r="A50" i="14"/>
  <c r="A48" i="14"/>
  <c r="A47" i="14"/>
  <c r="N178" i="4" l="1"/>
  <c r="N22" i="12"/>
  <c r="N21" i="12"/>
  <c r="A22" i="12"/>
  <c r="A21" i="12"/>
  <c r="N25" i="16"/>
  <c r="N177" i="4"/>
  <c r="N176" i="4" l="1"/>
  <c r="N175" i="4"/>
  <c r="N174" i="4"/>
  <c r="N173" i="4"/>
  <c r="N172" i="4"/>
  <c r="A181" i="4"/>
  <c r="A178" i="4"/>
  <c r="A177" i="4"/>
  <c r="A176" i="4"/>
  <c r="A175" i="4"/>
  <c r="A174" i="4"/>
  <c r="A173" i="4"/>
  <c r="A172" i="4" l="1"/>
  <c r="A171" i="4"/>
  <c r="N9" i="13"/>
  <c r="N8" i="13"/>
  <c r="N169" i="4" l="1"/>
  <c r="N168" i="4"/>
  <c r="N167" i="4"/>
  <c r="N166" i="4"/>
  <c r="N165" i="4"/>
  <c r="N164" i="4"/>
  <c r="N163" i="4"/>
  <c r="A169" i="4"/>
  <c r="A168" i="4"/>
  <c r="A167" i="4"/>
  <c r="A166" i="4"/>
  <c r="A165" i="4"/>
  <c r="A164" i="4"/>
  <c r="A163" i="4"/>
  <c r="P44" i="14" l="1"/>
  <c r="P45" i="14"/>
  <c r="P46" i="14"/>
  <c r="A46" i="14"/>
  <c r="A45" i="14"/>
  <c r="A44" i="14"/>
  <c r="N13" i="16"/>
  <c r="N14" i="16"/>
  <c r="N15" i="16"/>
  <c r="N16" i="16"/>
  <c r="N17" i="16"/>
  <c r="N18" i="16"/>
  <c r="N19" i="16"/>
  <c r="A19" i="16"/>
  <c r="A18" i="16"/>
  <c r="A17" i="16"/>
  <c r="A16" i="16"/>
  <c r="A15" i="16"/>
  <c r="A14" i="16"/>
  <c r="A13" i="16"/>
  <c r="N19" i="12"/>
  <c r="A20" i="12"/>
  <c r="N160" i="4"/>
  <c r="N18" i="12"/>
  <c r="N159" i="4" l="1"/>
  <c r="N158" i="4"/>
  <c r="N157" i="4"/>
  <c r="N156" i="4"/>
  <c r="A162" i="4"/>
  <c r="A161" i="4"/>
  <c r="A160" i="4"/>
  <c r="P43" i="14"/>
  <c r="P42" i="14"/>
  <c r="P41" i="14"/>
  <c r="N155" i="4" l="1"/>
  <c r="N154" i="4"/>
  <c r="N153" i="4"/>
  <c r="N152" i="4"/>
  <c r="N151" i="4"/>
  <c r="C8" i="15" s="1"/>
  <c r="A157" i="4"/>
  <c r="A156" i="4"/>
  <c r="A155" i="4"/>
  <c r="A154" i="4"/>
  <c r="A153" i="4"/>
  <c r="A152" i="4"/>
  <c r="N5" i="16"/>
  <c r="N4" i="16"/>
  <c r="F8" i="15"/>
  <c r="G8" i="15" s="1"/>
  <c r="H8" i="15" l="1"/>
  <c r="A12" i="15"/>
  <c r="A11" i="15"/>
  <c r="A10" i="15"/>
  <c r="A9" i="15"/>
  <c r="A8" i="15"/>
  <c r="A6" i="15"/>
  <c r="A5" i="15"/>
  <c r="N28" i="16"/>
  <c r="A28" i="16"/>
  <c r="N27" i="16"/>
  <c r="A27" i="16"/>
  <c r="A25" i="16"/>
  <c r="N24" i="16"/>
  <c r="A24" i="16"/>
  <c r="N23" i="16"/>
  <c r="A23" i="16"/>
  <c r="N22" i="16"/>
  <c r="A22" i="16"/>
  <c r="N21" i="16"/>
  <c r="A21" i="16"/>
  <c r="N20" i="16"/>
  <c r="A20" i="16"/>
  <c r="N12" i="16"/>
  <c r="A12" i="16"/>
  <c r="N11" i="16"/>
  <c r="A11" i="16"/>
  <c r="N10" i="16"/>
  <c r="A10" i="16"/>
  <c r="N9" i="16"/>
  <c r="A9" i="16"/>
  <c r="N8" i="16"/>
  <c r="A8" i="16"/>
  <c r="N7" i="16"/>
  <c r="A7" i="16"/>
  <c r="N6" i="16"/>
  <c r="N2" i="16" s="1"/>
  <c r="D8" i="15" s="1"/>
  <c r="E8" i="15" s="1"/>
  <c r="A6" i="16"/>
  <c r="A5" i="16"/>
  <c r="A4" i="16"/>
  <c r="M2" i="16"/>
  <c r="I8" i="15" l="1"/>
  <c r="N149" i="4"/>
  <c r="N148" i="4"/>
  <c r="N147" i="4"/>
  <c r="N17" i="12"/>
  <c r="N16" i="12"/>
  <c r="N15" i="12"/>
  <c r="A25" i="12"/>
  <c r="A19" i="12"/>
  <c r="A18" i="12"/>
  <c r="A17" i="12"/>
  <c r="A16" i="12"/>
  <c r="A15" i="12"/>
  <c r="A26" i="12" l="1"/>
  <c r="A170" i="4" l="1"/>
  <c r="A159" i="4"/>
  <c r="A158" i="4"/>
  <c r="A151" i="4"/>
  <c r="A149" i="4"/>
  <c r="A148" i="4"/>
  <c r="A147" i="4"/>
  <c r="N146" i="4" l="1"/>
  <c r="N145" i="4"/>
  <c r="N14" i="12"/>
  <c r="N13" i="12"/>
  <c r="A12" i="12"/>
  <c r="N11" i="12"/>
  <c r="A13" i="12"/>
  <c r="A14" i="12"/>
  <c r="N144" i="4"/>
  <c r="N143" i="4"/>
  <c r="N142" i="4"/>
  <c r="N141" i="4"/>
  <c r="N140" i="4"/>
  <c r="N139" i="4"/>
  <c r="N138" i="4"/>
  <c r="A145" i="4"/>
  <c r="A144" i="4"/>
  <c r="A143" i="4"/>
  <c r="N5" i="12"/>
  <c r="N6" i="12"/>
  <c r="N7" i="12"/>
  <c r="N8" i="12"/>
  <c r="N9" i="12"/>
  <c r="N10" i="12"/>
  <c r="A5" i="12"/>
  <c r="A6" i="12"/>
  <c r="A7" i="12"/>
  <c r="A8" i="12"/>
  <c r="A9" i="12"/>
  <c r="A10" i="12"/>
  <c r="A11" i="12"/>
  <c r="M137" i="4" l="1"/>
  <c r="N137" i="4" s="1"/>
  <c r="M111" i="2"/>
  <c r="N111" i="2" s="1"/>
  <c r="A146" i="4"/>
  <c r="A142" i="4"/>
  <c r="A141" i="4"/>
  <c r="A140" i="4"/>
  <c r="A139" i="4"/>
  <c r="A138" i="4"/>
  <c r="N110" i="2"/>
  <c r="N109" i="2"/>
  <c r="N108" i="2"/>
  <c r="A111" i="2"/>
  <c r="N7" i="13"/>
  <c r="N6" i="13"/>
  <c r="N5" i="13"/>
  <c r="A43" i="14"/>
  <c r="A42" i="14"/>
  <c r="A41" i="14"/>
  <c r="P40" i="14"/>
  <c r="A40" i="14"/>
  <c r="N133" i="4"/>
  <c r="N132" i="4"/>
  <c r="N131" i="4"/>
  <c r="N130" i="4"/>
  <c r="N129" i="4"/>
  <c r="P39" i="14"/>
  <c r="A137" i="4"/>
  <c r="A136" i="4"/>
  <c r="A135" i="4"/>
  <c r="A134" i="4"/>
  <c r="A133" i="4"/>
  <c r="A132" i="4"/>
  <c r="N4" i="13"/>
  <c r="P37" i="14" l="1"/>
  <c r="A37" i="14"/>
  <c r="P38" i="14"/>
  <c r="N128" i="4"/>
  <c r="N127" i="4"/>
  <c r="N126" i="4"/>
  <c r="N125" i="4"/>
  <c r="N124" i="4"/>
  <c r="N122" i="4" l="1"/>
  <c r="N123" i="4"/>
  <c r="N121" i="4"/>
  <c r="N120" i="4"/>
  <c r="N119" i="4"/>
  <c r="N118" i="4"/>
  <c r="N117" i="4"/>
  <c r="N116" i="4"/>
  <c r="N115" i="4"/>
  <c r="A120" i="4"/>
  <c r="A119" i="4"/>
  <c r="A118" i="4"/>
  <c r="A117" i="4"/>
  <c r="A116" i="4"/>
  <c r="A115" i="4"/>
  <c r="A126" i="4"/>
  <c r="A125" i="4"/>
  <c r="A124" i="4"/>
  <c r="A122" i="4"/>
  <c r="A123" i="4"/>
  <c r="A121" i="4"/>
  <c r="A129" i="4"/>
  <c r="A128" i="4"/>
  <c r="A127" i="4"/>
  <c r="N103" i="2"/>
  <c r="A103" i="2"/>
  <c r="N102" i="2"/>
  <c r="A102" i="2"/>
  <c r="N101" i="2"/>
  <c r="A101" i="2"/>
  <c r="N100" i="2"/>
  <c r="A100" i="2"/>
  <c r="N99" i="2"/>
  <c r="A99" i="2"/>
  <c r="N98" i="2"/>
  <c r="A98" i="2"/>
  <c r="N97" i="2"/>
  <c r="A97" i="2"/>
  <c r="N96" i="2"/>
  <c r="A96" i="2"/>
  <c r="N107" i="2"/>
  <c r="A107" i="2"/>
  <c r="N106" i="2"/>
  <c r="A106" i="2"/>
  <c r="N105" i="2"/>
  <c r="A105" i="2"/>
  <c r="N104" i="2"/>
  <c r="A104" i="2"/>
  <c r="N114" i="4" l="1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A109" i="4"/>
  <c r="A108" i="4"/>
  <c r="A107" i="4"/>
  <c r="A106" i="4"/>
  <c r="A105" i="4"/>
  <c r="A104" i="4"/>
  <c r="A103" i="4"/>
  <c r="A102" i="4"/>
  <c r="N84" i="2"/>
  <c r="A84" i="2"/>
  <c r="N83" i="2"/>
  <c r="A83" i="2"/>
  <c r="N82" i="2"/>
  <c r="A82" i="2"/>
  <c r="N81" i="2"/>
  <c r="A81" i="2"/>
  <c r="N80" i="2"/>
  <c r="A80" i="2"/>
  <c r="A108" i="2"/>
  <c r="A95" i="2"/>
  <c r="A94" i="2"/>
  <c r="A93" i="2"/>
  <c r="A92" i="2"/>
  <c r="A91" i="2"/>
  <c r="A90" i="2"/>
  <c r="A89" i="2"/>
  <c r="A88" i="2"/>
  <c r="A87" i="2"/>
  <c r="A86" i="2"/>
  <c r="A85" i="2"/>
  <c r="N95" i="2"/>
  <c r="N94" i="2"/>
  <c r="N93" i="2"/>
  <c r="N92" i="2"/>
  <c r="N91" i="2"/>
  <c r="N90" i="2"/>
  <c r="N89" i="2"/>
  <c r="N88" i="2"/>
  <c r="N87" i="2"/>
  <c r="N86" i="2"/>
  <c r="N85" i="2"/>
  <c r="N19" i="1"/>
  <c r="N20" i="1"/>
  <c r="N21" i="1"/>
  <c r="N22" i="1"/>
  <c r="A22" i="1"/>
  <c r="A21" i="1"/>
  <c r="A20" i="1"/>
  <c r="A19" i="1"/>
  <c r="P36" i="14" l="1"/>
  <c r="A36" i="14"/>
  <c r="P35" i="14"/>
  <c r="P34" i="14"/>
  <c r="P33" i="14"/>
  <c r="P32" i="14"/>
  <c r="P31" i="14"/>
  <c r="P30" i="14"/>
  <c r="P29" i="14"/>
  <c r="P24" i="14"/>
  <c r="A24" i="14"/>
  <c r="A35" i="14"/>
  <c r="A34" i="14"/>
  <c r="A33" i="14"/>
  <c r="A32" i="14"/>
  <c r="A31" i="14"/>
  <c r="A30" i="14"/>
  <c r="A111" i="4"/>
  <c r="A110" i="4"/>
  <c r="A101" i="4"/>
  <c r="A100" i="4"/>
  <c r="A99" i="4"/>
  <c r="A98" i="4"/>
  <c r="N96" i="4"/>
  <c r="N95" i="4"/>
  <c r="N94" i="4"/>
  <c r="N93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6" i="4"/>
  <c r="N75" i="4"/>
  <c r="N16" i="1"/>
  <c r="N15" i="1"/>
  <c r="N14" i="1"/>
  <c r="N13" i="1"/>
  <c r="N11" i="1"/>
  <c r="N10" i="1"/>
  <c r="N77" i="4" l="1"/>
  <c r="P28" i="14"/>
  <c r="P27" i="14"/>
  <c r="P26" i="14"/>
  <c r="P25" i="14"/>
  <c r="A29" i="14"/>
  <c r="A28" i="14"/>
  <c r="A27" i="14"/>
  <c r="A26" i="14"/>
  <c r="A89" i="4" l="1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96" i="4"/>
  <c r="A95" i="4"/>
  <c r="A94" i="4"/>
  <c r="A93" i="4"/>
  <c r="A92" i="4"/>
  <c r="A91" i="4"/>
  <c r="A90" i="4"/>
  <c r="N73" i="2"/>
  <c r="N74" i="2"/>
  <c r="N75" i="2"/>
  <c r="A73" i="2"/>
  <c r="N72" i="2"/>
  <c r="A72" i="2"/>
  <c r="N71" i="2"/>
  <c r="A71" i="2"/>
  <c r="N70" i="2"/>
  <c r="A70" i="2"/>
  <c r="N69" i="2"/>
  <c r="A69" i="2"/>
  <c r="N68" i="2"/>
  <c r="A68" i="2"/>
  <c r="A67" i="2"/>
  <c r="N66" i="2"/>
  <c r="A66" i="2"/>
  <c r="N65" i="2"/>
  <c r="A65" i="2"/>
  <c r="N78" i="2"/>
  <c r="N79" i="2"/>
  <c r="N77" i="2"/>
  <c r="N76" i="2"/>
  <c r="N67" i="2" l="1"/>
  <c r="P23" i="14"/>
  <c r="A110" i="2" l="1"/>
  <c r="A109" i="2"/>
  <c r="A79" i="2"/>
  <c r="A78" i="2"/>
  <c r="A77" i="2"/>
  <c r="A76" i="2"/>
  <c r="A75" i="2"/>
  <c r="A74" i="2"/>
  <c r="A113" i="4"/>
  <c r="A112" i="4"/>
  <c r="A97" i="4"/>
  <c r="A75" i="4"/>
  <c r="A74" i="4"/>
  <c r="A73" i="4"/>
  <c r="A72" i="4"/>
  <c r="A71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A54" i="2"/>
  <c r="A55" i="2"/>
  <c r="A56" i="2"/>
  <c r="A57" i="2"/>
  <c r="A58" i="2"/>
  <c r="A59" i="2"/>
  <c r="A60" i="2"/>
  <c r="A61" i="2"/>
  <c r="A62" i="2"/>
  <c r="A63" i="2"/>
  <c r="A64" i="2"/>
  <c r="A112" i="2"/>
  <c r="A53" i="2"/>
  <c r="A52" i="2"/>
  <c r="A51" i="2"/>
  <c r="A50" i="2"/>
  <c r="A4" i="1"/>
  <c r="A7" i="1"/>
  <c r="A8" i="1"/>
  <c r="A9" i="1"/>
  <c r="A10" i="1"/>
  <c r="A11" i="1"/>
  <c r="A12" i="1"/>
  <c r="A13" i="1"/>
  <c r="A14" i="1"/>
  <c r="A6" i="1"/>
  <c r="A5" i="1"/>
  <c r="P150" i="4" l="1"/>
  <c r="P22" i="14"/>
  <c r="P21" i="14"/>
  <c r="A21" i="14"/>
  <c r="A22" i="14"/>
  <c r="A23" i="14"/>
  <c r="A25" i="14"/>
  <c r="A70" i="4"/>
  <c r="A54" i="4"/>
  <c r="A53" i="4"/>
  <c r="A52" i="4"/>
  <c r="A51" i="4"/>
  <c r="A50" i="4"/>
  <c r="A49" i="4"/>
  <c r="A48" i="4"/>
  <c r="P20" i="14"/>
  <c r="P19" i="14"/>
  <c r="P18" i="14"/>
  <c r="P17" i="14"/>
  <c r="N40" i="2"/>
  <c r="N41" i="2"/>
  <c r="N42" i="2"/>
  <c r="N44" i="2"/>
  <c r="N45" i="2"/>
  <c r="N46" i="2"/>
  <c r="N47" i="2"/>
  <c r="N48" i="2"/>
  <c r="N49" i="2"/>
  <c r="A49" i="2"/>
  <c r="A48" i="2"/>
  <c r="A47" i="2"/>
  <c r="A46" i="2"/>
  <c r="A45" i="2"/>
  <c r="A44" i="2"/>
  <c r="A43" i="2"/>
  <c r="A42" i="2"/>
  <c r="A41" i="2"/>
  <c r="A40" i="2"/>
  <c r="P16" i="14"/>
  <c r="P15" i="14"/>
  <c r="A131" i="4" l="1"/>
  <c r="A130" i="4"/>
  <c r="A114" i="4"/>
  <c r="A47" i="4"/>
  <c r="A46" i="4"/>
  <c r="A45" i="4"/>
  <c r="A44" i="4"/>
  <c r="A43" i="4"/>
  <c r="A42" i="4"/>
  <c r="A41" i="4"/>
  <c r="P14" i="14"/>
  <c r="P13" i="14"/>
  <c r="N34" i="2" l="1"/>
  <c r="N35" i="2"/>
  <c r="N36" i="2"/>
  <c r="N37" i="2"/>
  <c r="N38" i="2"/>
  <c r="N39" i="2"/>
  <c r="N112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14" i="14"/>
  <c r="A15" i="14"/>
  <c r="A16" i="14"/>
  <c r="A17" i="14"/>
  <c r="A18" i="14"/>
  <c r="A19" i="14"/>
  <c r="A20" i="14"/>
  <c r="A38" i="14"/>
  <c r="A39" i="14"/>
  <c r="A68" i="14"/>
  <c r="N21" i="2"/>
  <c r="N20" i="2"/>
  <c r="N19" i="2"/>
  <c r="P12" i="14"/>
  <c r="P11" i="14"/>
  <c r="O2" i="14" l="1"/>
  <c r="P10" i="14"/>
  <c r="A14" i="2" l="1"/>
  <c r="A15" i="2"/>
  <c r="A16" i="2"/>
  <c r="A17" i="2"/>
  <c r="A18" i="2"/>
  <c r="A19" i="2"/>
  <c r="A20" i="2"/>
  <c r="A21" i="2"/>
  <c r="A37" i="2"/>
  <c r="A38" i="2"/>
  <c r="F5" i="15" l="1"/>
  <c r="C5" i="15"/>
  <c r="D5" i="15" s="1"/>
  <c r="E5" i="15" s="1"/>
  <c r="A58" i="11"/>
  <c r="G5" i="15" l="1"/>
  <c r="H5" i="15" s="1"/>
  <c r="I5" i="15" s="1"/>
  <c r="A24" i="4"/>
  <c r="A23" i="4"/>
  <c r="A22" i="4"/>
  <c r="A21" i="4"/>
  <c r="A20" i="4"/>
  <c r="A19" i="4"/>
  <c r="A18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P9" i="14"/>
  <c r="P8" i="14" l="1"/>
  <c r="N11" i="2"/>
  <c r="A25" i="4" l="1"/>
  <c r="A17" i="4"/>
  <c r="A16" i="4"/>
  <c r="A15" i="4"/>
  <c r="A14" i="4"/>
  <c r="A13" i="4"/>
  <c r="A12" i="4"/>
  <c r="P7" i="14"/>
  <c r="A13" i="14"/>
  <c r="A12" i="14"/>
  <c r="A11" i="14"/>
  <c r="A10" i="14"/>
  <c r="A9" i="14"/>
  <c r="A8" i="14"/>
  <c r="A39" i="2"/>
  <c r="A13" i="2"/>
  <c r="A12" i="2"/>
  <c r="A11" i="2"/>
  <c r="A10" i="2"/>
  <c r="A9" i="2"/>
  <c r="A8" i="2"/>
  <c r="A7" i="4"/>
  <c r="A6" i="4"/>
  <c r="A5" i="4"/>
  <c r="A4" i="4"/>
  <c r="P6" i="14" l="1"/>
  <c r="P5" i="14" l="1"/>
  <c r="N23" i="1"/>
  <c r="A15" i="1"/>
  <c r="A16" i="1"/>
  <c r="A17" i="1"/>
  <c r="A18" i="1"/>
  <c r="P4" i="14" l="1"/>
  <c r="A7" i="14" l="1"/>
  <c r="A6" i="14"/>
  <c r="A5" i="14"/>
  <c r="A4" i="14"/>
  <c r="H13" i="15" l="1"/>
  <c r="M2" i="4"/>
  <c r="A7" i="2"/>
  <c r="A6" i="2"/>
  <c r="A5" i="2"/>
  <c r="A4" i="2"/>
  <c r="A57" i="11"/>
  <c r="A56" i="11"/>
  <c r="A55" i="11"/>
  <c r="A54" i="11"/>
  <c r="A10" i="4" l="1"/>
  <c r="A9" i="4"/>
  <c r="A8" i="4"/>
  <c r="C10" i="15" l="1"/>
  <c r="F12" i="15"/>
  <c r="C12" i="15"/>
  <c r="D12" i="15" s="1"/>
  <c r="E12" i="15" s="1"/>
  <c r="F10" i="15"/>
  <c r="F9" i="15"/>
  <c r="C11" i="15"/>
  <c r="D11" i="15" s="1"/>
  <c r="E11" i="15" s="1"/>
  <c r="C6" i="15"/>
  <c r="G12" i="15" l="1"/>
  <c r="H12" i="15" s="1"/>
  <c r="I12" i="15" s="1"/>
  <c r="A11" i="4"/>
  <c r="C9" i="15" l="1"/>
  <c r="N2" i="4" l="1"/>
  <c r="C14" i="15"/>
  <c r="A69" i="14"/>
  <c r="F6" i="15"/>
  <c r="P2" i="14" l="1"/>
  <c r="G9" i="15"/>
  <c r="H9" i="15" s="1"/>
  <c r="F11" i="15"/>
  <c r="G10" i="15"/>
  <c r="H10" i="15" s="1"/>
  <c r="G6" i="15"/>
  <c r="H6" i="15" s="1"/>
  <c r="G11" i="15" l="1"/>
  <c r="H11" i="15" s="1"/>
  <c r="I11" i="15" s="1"/>
  <c r="F14" i="15"/>
  <c r="A228" i="4"/>
  <c r="O22" i="13" l="1"/>
  <c r="H14" i="15"/>
  <c r="G14" i="15"/>
  <c r="N27" i="12" l="1"/>
  <c r="A27" i="12"/>
  <c r="N4" i="12"/>
  <c r="A4" i="12"/>
  <c r="M2" i="12"/>
  <c r="N2" i="12" l="1"/>
  <c r="D6" i="15" s="1"/>
  <c r="E6" i="15" s="1"/>
  <c r="N59" i="11"/>
  <c r="N2" i="11" s="1"/>
  <c r="A59" i="11"/>
  <c r="M2" i="11"/>
  <c r="N20" i="10"/>
  <c r="A20" i="10"/>
  <c r="N19" i="10"/>
  <c r="A19" i="10"/>
  <c r="N18" i="10"/>
  <c r="A18" i="10"/>
  <c r="N17" i="10"/>
  <c r="A17" i="10"/>
  <c r="N16" i="10"/>
  <c r="A16" i="10"/>
  <c r="N15" i="10"/>
  <c r="A15" i="10"/>
  <c r="N14" i="10"/>
  <c r="A14" i="10"/>
  <c r="N13" i="10"/>
  <c r="A13" i="10"/>
  <c r="N12" i="10"/>
  <c r="A12" i="10"/>
  <c r="N11" i="10"/>
  <c r="A11" i="10"/>
  <c r="N10" i="10"/>
  <c r="A10" i="10"/>
  <c r="N9" i="10"/>
  <c r="A9" i="10"/>
  <c r="N8" i="10"/>
  <c r="A8" i="10"/>
  <c r="N7" i="10"/>
  <c r="A7" i="10"/>
  <c r="N6" i="10"/>
  <c r="A6" i="10"/>
  <c r="A5" i="10"/>
  <c r="A4" i="10"/>
  <c r="N2" i="10"/>
  <c r="M2" i="10"/>
  <c r="I6" i="15" l="1"/>
  <c r="A113" i="2" l="1"/>
  <c r="N2" i="2" l="1"/>
  <c r="D9" i="15" s="1"/>
  <c r="E9" i="15" s="1"/>
  <c r="M2" i="2"/>
  <c r="M2" i="1"/>
  <c r="A23" i="1"/>
  <c r="A24" i="1"/>
  <c r="I9" i="15" l="1"/>
  <c r="N24" i="1"/>
  <c r="N2" i="1"/>
  <c r="D10" i="15" s="1"/>
  <c r="E10" i="15" s="1"/>
  <c r="E13" i="15" s="1"/>
  <c r="I13" i="15" l="1"/>
  <c r="I10" i="15"/>
  <c r="D14" i="15"/>
  <c r="E14" i="15" l="1"/>
  <c r="I14" i="15"/>
  <c r="G38" i="15"/>
  <c r="G1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3" authorId="0" shapeId="0" xr:uid="{4A812A2A-9EC1-43EF-8761-0F30F397B2F8}">
      <text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올바로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1" authorId="0" shapeId="0" xr:uid="{4046C4D0-33CC-4239-9A02-2EE058BE8ED3}">
      <text>
        <r>
          <rPr>
            <b/>
            <sz val="9"/>
            <color indexed="81"/>
            <rFont val="Tahoma"/>
            <family val="2"/>
          </rPr>
          <t xml:space="preserve">5/7 </t>
        </r>
        <r>
          <rPr>
            <b/>
            <sz val="9"/>
            <color indexed="81"/>
            <rFont val="돋움"/>
            <family val="3"/>
            <charset val="129"/>
          </rPr>
          <t>하차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20" authorId="0" shapeId="0" xr:uid="{C0151BEF-2C9D-45CF-B198-6BE3BCC8C11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합산</t>
        </r>
        <r>
          <rPr>
            <b/>
            <sz val="9"/>
            <color indexed="81"/>
            <rFont val="Tahoma"/>
            <family val="2"/>
          </rPr>
          <t xml:space="preserve"> 1,520+550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1" authorId="0" shapeId="0" xr:uid="{8A092244-5903-4FAB-898E-E11B79171DE3}">
      <text>
        <r>
          <rPr>
            <b/>
            <sz val="9"/>
            <color indexed="81"/>
            <rFont val="Tahoma"/>
            <family val="2"/>
          </rPr>
          <t xml:space="preserve">5/7 </t>
        </r>
        <r>
          <rPr>
            <b/>
            <sz val="9"/>
            <color indexed="81"/>
            <rFont val="돋움"/>
            <family val="3"/>
            <charset val="129"/>
          </rPr>
          <t>하차</t>
        </r>
      </text>
    </comment>
  </commentList>
</comments>
</file>

<file path=xl/sharedStrings.xml><?xml version="1.0" encoding="utf-8"?>
<sst xmlns="http://schemas.openxmlformats.org/spreadsheetml/2006/main" count="4266" uniqueCount="681">
  <si>
    <t>상차일</t>
  </si>
  <si>
    <t>프로젝트명</t>
  </si>
  <si>
    <t>하차지</t>
  </si>
  <si>
    <t>차종</t>
  </si>
  <si>
    <t>차량번호</t>
  </si>
  <si>
    <t>운전자</t>
  </si>
  <si>
    <t>연락처</t>
  </si>
  <si>
    <t>제품명</t>
  </si>
  <si>
    <t>총중량(kg)</t>
  </si>
  <si>
    <t>공차중량(kg)</t>
  </si>
  <si>
    <t>감량(kg)</t>
  </si>
  <si>
    <t>입고량(kg)</t>
  </si>
  <si>
    <t>비고</t>
  </si>
  <si>
    <t>세화철강</t>
  </si>
  <si>
    <t>집게차</t>
  </si>
  <si>
    <t>96거5789</t>
  </si>
  <si>
    <t>이선갑</t>
  </si>
  <si>
    <t>010-5315-1508</t>
  </si>
  <si>
    <t>방통차</t>
  </si>
  <si>
    <t>041-552-5791</t>
  </si>
  <si>
    <t>고철(중량장척)</t>
  </si>
  <si>
    <t>투플러스</t>
  </si>
  <si>
    <t>84나4888</t>
  </si>
  <si>
    <t>이민규</t>
  </si>
  <si>
    <t>010-9110-0126</t>
  </si>
  <si>
    <t>원방</t>
  </si>
  <si>
    <t>3.5톤트럭</t>
  </si>
  <si>
    <t>820우7928</t>
  </si>
  <si>
    <t>이원영</t>
  </si>
  <si>
    <t>010-8282-5885</t>
  </si>
  <si>
    <t>스크랩</t>
  </si>
  <si>
    <t>알루미늄</t>
  </si>
  <si>
    <t>전선</t>
  </si>
  <si>
    <t>고철(경량)</t>
  </si>
  <si>
    <t>포스코_KM_안산</t>
  </si>
  <si>
    <t>경기96자1089</t>
  </si>
  <si>
    <t>서건식</t>
  </si>
  <si>
    <t>고철(경A)</t>
  </si>
  <si>
    <t>경북80아9218</t>
  </si>
  <si>
    <t>정현철</t>
  </si>
  <si>
    <t>87주8410</t>
  </si>
  <si>
    <t>배민국</t>
  </si>
  <si>
    <t>폐전선</t>
  </si>
  <si>
    <t>고철</t>
  </si>
  <si>
    <t>카고</t>
  </si>
  <si>
    <t>전북80사5648</t>
  </si>
  <si>
    <t>이윤희</t>
  </si>
  <si>
    <t>010-8770-9101</t>
  </si>
  <si>
    <t>고철(산소장척)</t>
  </si>
  <si>
    <t>인천80아8306</t>
  </si>
  <si>
    <t>이용화</t>
  </si>
  <si>
    <t>충남80바2810</t>
  </si>
  <si>
    <t>김상철</t>
  </si>
  <si>
    <t>설비</t>
  </si>
  <si>
    <t>작업철</t>
  </si>
  <si>
    <t>평카</t>
  </si>
  <si>
    <t>010-4858-6409</t>
  </si>
  <si>
    <t>모터</t>
  </si>
  <si>
    <t>STS304</t>
  </si>
  <si>
    <t>대신에스티에스</t>
  </si>
  <si>
    <t>서울86바4839</t>
  </si>
  <si>
    <t>상동</t>
  </si>
  <si>
    <t>81러3615</t>
  </si>
  <si>
    <t>010-9992-4447</t>
  </si>
  <si>
    <t>충남83아1609</t>
  </si>
  <si>
    <t>심재철</t>
  </si>
  <si>
    <t>010-9390-2824</t>
  </si>
  <si>
    <t>암롤트럭</t>
  </si>
  <si>
    <t>86노1445</t>
  </si>
  <si>
    <t>010-3311-8084</t>
  </si>
  <si>
    <t>010-5899-9660</t>
  </si>
  <si>
    <t>고철(중량)</t>
  </si>
  <si>
    <t>충남80아2457</t>
  </si>
  <si>
    <t>조병순</t>
  </si>
  <si>
    <t>010-8804-1441</t>
  </si>
  <si>
    <t>충남80바3775</t>
  </si>
  <si>
    <t>차상철</t>
  </si>
  <si>
    <t>010-7413-4241</t>
  </si>
  <si>
    <t>탱크</t>
  </si>
  <si>
    <t>충남94바2021</t>
  </si>
  <si>
    <t>서울87아7712</t>
  </si>
  <si>
    <t>김기범</t>
  </si>
  <si>
    <t>신주</t>
  </si>
  <si>
    <t>STS304(작업철)</t>
  </si>
  <si>
    <t>지게차 분류계근</t>
  </si>
  <si>
    <t>동우PL1린텍_크로스_평택</t>
  </si>
  <si>
    <t>NO
(2)</t>
    <phoneticPr fontId="5" type="noConversion"/>
  </si>
  <si>
    <t>NO
(1)</t>
    <phoneticPr fontId="5" type="noConversion"/>
  </si>
  <si>
    <t>3-1</t>
    <phoneticPr fontId="5" type="noConversion"/>
  </si>
  <si>
    <t>3-2</t>
    <phoneticPr fontId="5" type="noConversion"/>
  </si>
  <si>
    <t>1-1</t>
    <phoneticPr fontId="5" type="noConversion"/>
  </si>
  <si>
    <t>1-2</t>
  </si>
  <si>
    <t>2-1</t>
    <phoneticPr fontId="5" type="noConversion"/>
  </si>
  <si>
    <t>1-2</t>
    <phoneticPr fontId="5" type="noConversion"/>
  </si>
  <si>
    <t>1-3</t>
  </si>
  <si>
    <t>감량(kg)</t>
    <phoneticPr fontId="5" type="noConversion"/>
  </si>
  <si>
    <t>하차지</t>
    <phoneticPr fontId="6" type="noConversion"/>
  </si>
  <si>
    <t>비고</t>
    <phoneticPr fontId="6" type="noConversion"/>
  </si>
  <si>
    <t>원방</t>
    <phoneticPr fontId="6" type="noConversion"/>
  </si>
  <si>
    <t>STS304</t>
    <phoneticPr fontId="6" type="noConversion"/>
  </si>
  <si>
    <t>010-7107-6000</t>
  </si>
  <si>
    <t>인천83사9675</t>
  </si>
  <si>
    <t>서재하</t>
  </si>
  <si>
    <t>010-9027-1162</t>
  </si>
  <si>
    <t>010-7700-7041</t>
  </si>
  <si>
    <t>충남94바3226</t>
  </si>
  <si>
    <t>노성래</t>
  </si>
  <si>
    <t>010-5421-2238</t>
  </si>
  <si>
    <t>010-9037-6416</t>
  </si>
  <si>
    <t>기타 현장</t>
  </si>
  <si>
    <t>대전88아5577</t>
  </si>
  <si>
    <t>인천83바4107</t>
  </si>
  <si>
    <t>경기91바3551</t>
  </si>
  <si>
    <t>충남80아3749</t>
  </si>
  <si>
    <t>경기85자5830</t>
  </si>
  <si>
    <t>최상근</t>
  </si>
  <si>
    <t>010-9395-1276</t>
  </si>
  <si>
    <t>충북80아5510</t>
  </si>
  <si>
    <t>충남80아3291</t>
  </si>
  <si>
    <t>010-3323-9265</t>
  </si>
  <si>
    <t>인천85바9168</t>
  </si>
  <si>
    <t>최원곤</t>
  </si>
  <si>
    <t>010-6495-2983</t>
  </si>
  <si>
    <t>경기91바3430</t>
  </si>
  <si>
    <t>정성순</t>
  </si>
  <si>
    <t>010-2043-8274</t>
  </si>
  <si>
    <t>인천85아3149</t>
  </si>
  <si>
    <t>최수행</t>
  </si>
  <si>
    <t>010-2901-2534</t>
  </si>
  <si>
    <t>경기93아4888</t>
  </si>
  <si>
    <t>조용수</t>
  </si>
  <si>
    <t>010-3364-3181</t>
  </si>
  <si>
    <t>서울88아3514</t>
  </si>
  <si>
    <t>박인규</t>
  </si>
  <si>
    <t>010-5332-9890</t>
  </si>
  <si>
    <t>고철, 비철</t>
  </si>
  <si>
    <t>인천85아5409</t>
  </si>
  <si>
    <t>김문중</t>
  </si>
  <si>
    <t>010-6667-8255</t>
  </si>
  <si>
    <t>대전87아8321</t>
  </si>
  <si>
    <t>조병태</t>
  </si>
  <si>
    <t>010-9082-6354</t>
  </si>
  <si>
    <t>대구84아9559</t>
  </si>
  <si>
    <t>임상현</t>
  </si>
  <si>
    <t>010-4714-8294</t>
  </si>
  <si>
    <t>세화 계근</t>
  </si>
  <si>
    <t>인천95바4643</t>
  </si>
  <si>
    <t>홍정희</t>
  </si>
  <si>
    <t>010-6224-9825</t>
  </si>
  <si>
    <t>대전89아7686</t>
  </si>
  <si>
    <t>김민욱</t>
  </si>
  <si>
    <t>010-7139-2998</t>
  </si>
  <si>
    <t>비철</t>
  </si>
  <si>
    <t>인천86아1820</t>
  </si>
  <si>
    <t>이종하</t>
  </si>
  <si>
    <t>010-5396-9846</t>
  </si>
  <si>
    <t>인천80자1903</t>
  </si>
  <si>
    <t>박영재</t>
  </si>
  <si>
    <t>010-5063-2467</t>
  </si>
  <si>
    <t>인천80자1904</t>
  </si>
  <si>
    <t>배조성</t>
  </si>
  <si>
    <t>010-4737-6803</t>
  </si>
  <si>
    <t>010-3873-2063</t>
  </si>
  <si>
    <t>선진알앤디</t>
  </si>
  <si>
    <t>1톤트럭</t>
  </si>
  <si>
    <t>81구6225</t>
  </si>
  <si>
    <t>전선 등</t>
  </si>
  <si>
    <t>삼성바이오_대도_송도</t>
  </si>
  <si>
    <t>대호스틸</t>
  </si>
  <si>
    <t>7274</t>
  </si>
  <si>
    <t>남동계량소에서 계근 후 직납</t>
  </si>
  <si>
    <t>7018집게차</t>
  </si>
  <si>
    <t>원방에서 계근 후 직납</t>
  </si>
  <si>
    <t>82모8185</t>
  </si>
  <si>
    <t>최명동</t>
  </si>
  <si>
    <t>010-7997-2485</t>
  </si>
  <si>
    <t>고철(경B)</t>
  </si>
  <si>
    <t>잠실동 실내철거</t>
  </si>
  <si>
    <t>91노1087</t>
  </si>
  <si>
    <t>고철(H빔)</t>
  </si>
  <si>
    <t>5998</t>
  </si>
  <si>
    <t>2810</t>
  </si>
  <si>
    <t>고철(철근)</t>
  </si>
  <si>
    <t>고철(중BL+경A)</t>
  </si>
  <si>
    <t>현대제철_대도_당진</t>
  </si>
  <si>
    <t>알루미늄 B</t>
  </si>
  <si>
    <t>철근말이</t>
  </si>
  <si>
    <t>고철(빔장척)</t>
  </si>
  <si>
    <t>LT메탈_인천</t>
  </si>
  <si>
    <t>운전자</t>
    <phoneticPr fontId="6" type="noConversion"/>
  </si>
  <si>
    <t>연락처</t>
    <phoneticPr fontId="6" type="noConversion"/>
  </si>
  <si>
    <t>O</t>
  </si>
  <si>
    <t>집게차</t>
    <phoneticPr fontId="6" type="noConversion"/>
  </si>
  <si>
    <t>김현수</t>
    <phoneticPr fontId="6" type="noConversion"/>
  </si>
  <si>
    <t>※ 내화벽돌, 폐기물, 글라스울, 폐판넬 별도 입력</t>
    <phoneticPr fontId="5" type="noConversion"/>
  </si>
  <si>
    <t>□  스크랩 반입일보 (26/04/21~          )</t>
    <phoneticPr fontId="6" type="noConversion"/>
  </si>
  <si>
    <t>잠실동 실내철거,
3/6하차, AL분류 340kg 차감</t>
    <phoneticPr fontId="5" type="noConversion"/>
  </si>
  <si>
    <t>잠실동 실내철거,
흰 양중박스 1개 감량</t>
    <phoneticPr fontId="5" type="noConversion"/>
  </si>
  <si>
    <t>기타 현장</t>
    <phoneticPr fontId="5" type="noConversion"/>
  </si>
  <si>
    <t>NO</t>
    <phoneticPr fontId="5" type="noConversion"/>
  </si>
  <si>
    <t>□ 2026년 현장 스크랩 입고 현황</t>
    <phoneticPr fontId="6" type="noConversion"/>
  </si>
  <si>
    <t>상차일자</t>
  </si>
  <si>
    <t>차종</t>
    <phoneticPr fontId="6" type="noConversion"/>
  </si>
  <si>
    <t>제품</t>
    <phoneticPr fontId="6" type="noConversion"/>
  </si>
  <si>
    <t>총중량</t>
    <phoneticPr fontId="6" type="noConversion"/>
  </si>
  <si>
    <t>공차중량</t>
    <phoneticPr fontId="6" type="noConversion"/>
  </si>
  <si>
    <t>입고량(Kg)</t>
    <phoneticPr fontId="6" type="noConversion"/>
  </si>
  <si>
    <t>※ 한양이엔지 듀폰은 듀폰 화일철에 출력 본 정리</t>
    <phoneticPr fontId="6" type="noConversion"/>
  </si>
  <si>
    <t>□  원방 - 기타 현장 입고 현황(2025.07.08 ~  )</t>
    <phoneticPr fontId="5" type="noConversion"/>
  </si>
  <si>
    <t>2026년 소계</t>
    <phoneticPr fontId="5" type="noConversion"/>
  </si>
  <si>
    <t>□ 2026년 현장 폐기물 입고 현황</t>
    <phoneticPr fontId="6" type="noConversion"/>
  </si>
  <si>
    <t>NO.</t>
    <phoneticPr fontId="5" type="noConversion"/>
  </si>
  <si>
    <t>배출자</t>
    <phoneticPr fontId="6" type="noConversion"/>
  </si>
  <si>
    <t>암롤트럭</t>
    <phoneticPr fontId="6" type="noConversion"/>
  </si>
  <si>
    <t>86노1445</t>
    <phoneticPr fontId="6" type="noConversion"/>
  </si>
  <si>
    <t>이민수</t>
  </si>
  <si>
    <t>김현수</t>
  </si>
  <si>
    <t>크로스특수</t>
    <phoneticPr fontId="6" type="noConversion"/>
  </si>
  <si>
    <t>폐판넬</t>
    <phoneticPr fontId="6" type="noConversion"/>
  </si>
  <si>
    <t>김태정</t>
  </si>
  <si>
    <t>폐판넬</t>
  </si>
  <si>
    <t>케이엠티엘에스</t>
    <phoneticPr fontId="6" type="noConversion"/>
  </si>
  <si>
    <t>폐합성수지</t>
    <phoneticPr fontId="6" type="noConversion"/>
  </si>
  <si>
    <t>도솔환경산업</t>
    <phoneticPr fontId="6" type="noConversion"/>
  </si>
  <si>
    <t>집게차</t>
    <phoneticPr fontId="5" type="noConversion"/>
  </si>
  <si>
    <t>원방</t>
    <phoneticPr fontId="5" type="noConversion"/>
  </si>
  <si>
    <t>87주8410</t>
    <phoneticPr fontId="5" type="noConversion"/>
  </si>
  <si>
    <t>비철</t>
    <phoneticPr fontId="5" type="noConversion"/>
  </si>
  <si>
    <t>프로젝트명</t>
    <phoneticPr fontId="5" type="noConversion"/>
  </si>
  <si>
    <t>거래처</t>
    <phoneticPr fontId="5" type="noConversion"/>
  </si>
  <si>
    <t>비고</t>
    <phoneticPr fontId="5" type="noConversion"/>
  </si>
  <si>
    <t>스크랩 하차지</t>
    <phoneticPr fontId="5" type="noConversion"/>
  </si>
  <si>
    <t>폐기물 하차지</t>
    <phoneticPr fontId="5" type="noConversion"/>
  </si>
  <si>
    <t>LT메탈_인천</t>
    <phoneticPr fontId="5" type="noConversion"/>
  </si>
  <si>
    <t>LT메탈_인천, 크로스 양중박스 1개</t>
    <phoneticPr fontId="5" type="noConversion"/>
  </si>
  <si>
    <t>LT메탈_인천, 크로스 양중박스 3개</t>
    <phoneticPr fontId="5" type="noConversion"/>
  </si>
  <si>
    <t>LT메탈_인천, 폐판넬 상차</t>
    <phoneticPr fontId="5" type="noConversion"/>
  </si>
  <si>
    <t>※ 비고에서 기타현장, 단발성 현장 검색 가능</t>
    <phoneticPr fontId="5" type="noConversion"/>
  </si>
  <si>
    <t>총 합계</t>
    <phoneticPr fontId="5" type="noConversion"/>
  </si>
  <si>
    <t>단위 : kg</t>
    <phoneticPr fontId="5" type="noConversion"/>
  </si>
  <si>
    <t>■ 2026년 진행 중인 현장별 스크랩, 폐기물 입고 현황</t>
    <phoneticPr fontId="5" type="noConversion"/>
  </si>
  <si>
    <t>총 입고량</t>
    <phoneticPr fontId="5" type="noConversion"/>
  </si>
  <si>
    <t>※ 종료된 현장 제외</t>
    <phoneticPr fontId="5" type="noConversion"/>
  </si>
  <si>
    <t>방통차</t>
    <phoneticPr fontId="5" type="noConversion"/>
  </si>
  <si>
    <t>1-3</t>
    <phoneticPr fontId="5" type="noConversion"/>
  </si>
  <si>
    <t>1-4</t>
    <phoneticPr fontId="5" type="noConversion"/>
  </si>
  <si>
    <t>투플러스</t>
    <phoneticPr fontId="5" type="noConversion"/>
  </si>
  <si>
    <t>서울80바4607</t>
  </si>
  <si>
    <t>경기81자5768</t>
  </si>
  <si>
    <t>서울82바4890</t>
  </si>
  <si>
    <t>인천80사7274</t>
  </si>
  <si>
    <t>경기80바7145</t>
  </si>
  <si>
    <t>충북91아2060</t>
  </si>
  <si>
    <t>스크랩
소계</t>
    <phoneticPr fontId="5" type="noConversion"/>
  </si>
  <si>
    <t>폐기물
소계</t>
    <phoneticPr fontId="5" type="noConversion"/>
  </si>
  <si>
    <t>잠실동 실내철거</t>
    <phoneticPr fontId="5" type="noConversion"/>
  </si>
  <si>
    <t>선진알앤디</t>
    <phoneticPr fontId="5" type="noConversion"/>
  </si>
  <si>
    <t>고철</t>
    <phoneticPr fontId="5" type="noConversion"/>
  </si>
  <si>
    <t>케이엠티엘에스</t>
  </si>
  <si>
    <t>주원</t>
    <phoneticPr fontId="5" type="noConversion"/>
  </si>
  <si>
    <t>서울87아8165</t>
  </si>
  <si>
    <t>서울88아4910</t>
  </si>
  <si>
    <t>폐합성수지</t>
    <phoneticPr fontId="5" type="noConversion"/>
  </si>
  <si>
    <t>고철(경A)</t>
    <phoneticPr fontId="5" type="noConversion"/>
  </si>
  <si>
    <t>경기89사3442</t>
  </si>
  <si>
    <t>전선, 신주</t>
  </si>
  <si>
    <t>신주 일부 포함, 포스코 계근 7,060kg</t>
  </si>
  <si>
    <t>양중박스 1개 감량, 분류계근</t>
  </si>
  <si>
    <t>원방에서 계근 후 직납,
포스코 계근과 동일</t>
    <phoneticPr fontId="5" type="noConversion"/>
  </si>
  <si>
    <t>2-2</t>
    <phoneticPr fontId="5" type="noConversion"/>
  </si>
  <si>
    <t>2-3</t>
    <phoneticPr fontId="5" type="noConversion"/>
  </si>
  <si>
    <t>양중박스, AL 분류계근 건 차감</t>
  </si>
  <si>
    <t>양중박스, AL 분류계근 건 차감</t>
    <phoneticPr fontId="5" type="noConversion"/>
  </si>
  <si>
    <t>세화 계근3,370kg</t>
  </si>
  <si>
    <t>고철(경B)</t>
    <phoneticPr fontId="5" type="noConversion"/>
  </si>
  <si>
    <t>경북86아9491</t>
  </si>
  <si>
    <t>포스코 계근 20,440kg 동일</t>
  </si>
  <si>
    <t>경기91사3176</t>
  </si>
  <si>
    <t>포스코계근 10,300kg 40kg 차이</t>
  </si>
  <si>
    <t>경기85사3405</t>
    <phoneticPr fontId="5" type="noConversion"/>
  </si>
  <si>
    <t>올바로</t>
    <phoneticPr fontId="5" type="noConversion"/>
  </si>
  <si>
    <t>X</t>
    <phoneticPr fontId="5" type="noConversion"/>
  </si>
  <si>
    <t>O</t>
    <phoneticPr fontId="5" type="noConversion"/>
  </si>
  <si>
    <t>직납, 포스코 계근 3,600kg</t>
    <phoneticPr fontId="5" type="noConversion"/>
  </si>
  <si>
    <t>직납, 포스코 계근 4,140kg 70kg차이</t>
    <phoneticPr fontId="5" type="noConversion"/>
  </si>
  <si>
    <t>전선 분류계근량 1,830kg 차감</t>
    <phoneticPr fontId="5" type="noConversion"/>
  </si>
  <si>
    <t>전선 분류계근량 1,830kg 차감,
양중박스 2개 감량</t>
    <phoneticPr fontId="5" type="noConversion"/>
  </si>
  <si>
    <t>지게차 분류계근, 양중박스 1개 감량</t>
    <phoneticPr fontId="5" type="noConversion"/>
  </si>
  <si>
    <t>입고량(kg)</t>
    <phoneticPr fontId="5" type="noConversion"/>
  </si>
  <si>
    <t>5/4 상차, 포스코계근 5,440kg</t>
    <phoneticPr fontId="5" type="noConversion"/>
  </si>
  <si>
    <t>인수일</t>
    <phoneticPr fontId="6" type="noConversion"/>
  </si>
  <si>
    <t>인계일</t>
    <phoneticPr fontId="5" type="noConversion"/>
  </si>
  <si>
    <t>포스코 계근 4,120kg 50kg 차이,
5/7하차, sus304(1,790kg) 작업철(2,380kg)예상-분류계근 예정</t>
    <phoneticPr fontId="5" type="noConversion"/>
  </si>
  <si>
    <t>폐콘크리트</t>
    <phoneticPr fontId="6" type="noConversion"/>
  </si>
  <si>
    <t>폐콘크리트</t>
    <phoneticPr fontId="5" type="noConversion"/>
  </si>
  <si>
    <t>4/30현장출고, 5/4 원방에서 주원 출고,
포스코계근 3,910kg</t>
    <phoneticPr fontId="5" type="noConversion"/>
  </si>
  <si>
    <t>명일 5/8 하차</t>
    <phoneticPr fontId="5" type="noConversion"/>
  </si>
  <si>
    <t>우제훈</t>
  </si>
  <si>
    <t>010-5678-7363</t>
  </si>
  <si>
    <t>충남80아3986</t>
  </si>
  <si>
    <t>이창용</t>
  </si>
  <si>
    <t>010-3464-3558</t>
  </si>
  <si>
    <t>충남80아3062</t>
  </si>
  <si>
    <t>박오열</t>
  </si>
  <si>
    <t>010-4470-7920</t>
  </si>
  <si>
    <t>감량</t>
    <phoneticPr fontId="5" type="noConversion"/>
  </si>
  <si>
    <t>LT메탈 남동공장</t>
  </si>
  <si>
    <t>LT메탈 남동공장</t>
    <phoneticPr fontId="5" type="noConversion"/>
  </si>
  <si>
    <t>LT메탈 남동공장, 파렛트 3개, 설비5ct</t>
    <phoneticPr fontId="5" type="noConversion"/>
  </si>
  <si>
    <t>LT메탈 남동공장, 소결로 2ea(2.7t, 3.4t)</t>
    <phoneticPr fontId="5" type="noConversion"/>
  </si>
  <si>
    <t>LT메탈 남동공장, 잡자재</t>
    <phoneticPr fontId="5" type="noConversion"/>
  </si>
  <si>
    <t>3-3</t>
    <phoneticPr fontId="5" type="noConversion"/>
  </si>
  <si>
    <t>STS304</t>
    <phoneticPr fontId="5" type="noConversion"/>
  </si>
  <si>
    <t>충남80아2329</t>
  </si>
  <si>
    <t>철근말이</t>
    <phoneticPr fontId="5" type="noConversion"/>
  </si>
  <si>
    <t>알루미늄</t>
    <phoneticPr fontId="5" type="noConversion"/>
  </si>
  <si>
    <t>잠실동 실내철거, 5/4 선진출고반영</t>
  </si>
  <si>
    <t>이민수</t>
    <phoneticPr fontId="5" type="noConversion"/>
  </si>
  <si>
    <t>직납, 주원 계근</t>
    <phoneticPr fontId="5" type="noConversion"/>
  </si>
  <si>
    <t>배민국</t>
    <phoneticPr fontId="5" type="noConversion"/>
  </si>
  <si>
    <t>파란 양중박스 3개, 포스코 계근 5,940kg</t>
  </si>
  <si>
    <t>1-4</t>
  </si>
  <si>
    <t>지게차 분류계근, 고철 일부 포함</t>
  </si>
  <si>
    <t>지게차 분류계근, 고철 일부 포함</t>
    <phoneticPr fontId="5" type="noConversion"/>
  </si>
  <si>
    <t>경기90자2889</t>
  </si>
  <si>
    <t>포스코계근 동일, 전선 차감, 양중박스 2개 감량</t>
  </si>
  <si>
    <t>지게차 계근, 양중박스 감량</t>
  </si>
  <si>
    <t>포스코 계근 14,580kg, 내화벽돌</t>
    <phoneticPr fontId="5" type="noConversion"/>
  </si>
  <si>
    <t>50루베, 직납</t>
    <phoneticPr fontId="5" type="noConversion"/>
  </si>
  <si>
    <t>인천80자1932</t>
  </si>
  <si>
    <t>이종화</t>
  </si>
  <si>
    <t>경기80바6092</t>
  </si>
  <si>
    <t>폐판넬</t>
    <phoneticPr fontId="5" type="noConversion"/>
  </si>
  <si>
    <t xml:space="preserve"> </t>
    <phoneticPr fontId="5" type="noConversion"/>
  </si>
  <si>
    <t>인천85바3859</t>
  </si>
  <si>
    <t>인천85바3859</t>
    <phoneticPr fontId="5" type="noConversion"/>
  </si>
  <si>
    <t>포스코 계근 2,740kg</t>
  </si>
  <si>
    <t>포스코 계근 2,680kg</t>
  </si>
  <si>
    <t>경기93자8201</t>
  </si>
  <si>
    <t>대신 계근량 5,000kg</t>
  </si>
  <si>
    <t>동우 계근 5,230kg</t>
    <phoneticPr fontId="5" type="noConversion"/>
  </si>
  <si>
    <t>동우 계근표 분실</t>
    <phoneticPr fontId="5" type="noConversion"/>
  </si>
  <si>
    <t>동우 계근 8,060kg</t>
    <phoneticPr fontId="5" type="noConversion"/>
  </si>
  <si>
    <t>동우 계근 3,400kg</t>
    <phoneticPr fontId="5" type="noConversion"/>
  </si>
  <si>
    <t>동우 계근 4,290kg</t>
    <phoneticPr fontId="5" type="noConversion"/>
  </si>
  <si>
    <t>동우 계근 2,620kg</t>
    <phoneticPr fontId="5" type="noConversion"/>
  </si>
  <si>
    <t>50루베(m³)직납, 동우 계근 8,220kg</t>
    <phoneticPr fontId="5" type="noConversion"/>
  </si>
  <si>
    <t>35루베, 직납, 동우 계근 5,420kg</t>
    <phoneticPr fontId="5" type="noConversion"/>
  </si>
  <si>
    <t>50루베, 직납, 동우 계근 7,440kg</t>
    <phoneticPr fontId="5" type="noConversion"/>
  </si>
  <si>
    <t>35루베 직납, 동우 계근표 분실</t>
    <phoneticPr fontId="5" type="noConversion"/>
  </si>
  <si>
    <t>구리</t>
  </si>
  <si>
    <t>인천80자1923</t>
  </si>
  <si>
    <t>최한영</t>
  </si>
  <si>
    <t>010-9651-9909</t>
  </si>
  <si>
    <t>양중박스 3개 감량, 분류 분 차감</t>
  </si>
  <si>
    <t>파이프 전선, 지게차 분류</t>
  </si>
  <si>
    <t>양중박스 1개 감량, 지게차 분류</t>
  </si>
  <si>
    <t>동우 계근 x</t>
    <phoneticPr fontId="5" type="noConversion"/>
  </si>
  <si>
    <t>동우 계근 4,580kg</t>
    <phoneticPr fontId="5" type="noConversion"/>
  </si>
  <si>
    <t>세화 계근량 입력</t>
  </si>
  <si>
    <t>충남06노1592</t>
    <phoneticPr fontId="5" type="noConversion"/>
  </si>
  <si>
    <t>전종식</t>
    <phoneticPr fontId="5" type="noConversion"/>
  </si>
  <si>
    <t>충남06모5639</t>
    <phoneticPr fontId="5" type="noConversion"/>
  </si>
  <si>
    <t>조성환</t>
    <phoneticPr fontId="5" type="noConversion"/>
  </si>
  <si>
    <t>충남06고1626</t>
    <phoneticPr fontId="5" type="noConversion"/>
  </si>
  <si>
    <t>양명석</t>
    <phoneticPr fontId="5" type="noConversion"/>
  </si>
  <si>
    <t>충남06노1598</t>
    <phoneticPr fontId="5" type="noConversion"/>
  </si>
  <si>
    <t>임지환</t>
    <phoneticPr fontId="5" type="noConversion"/>
  </si>
  <si>
    <t>동우 계근 x, 17루베</t>
    <phoneticPr fontId="5" type="noConversion"/>
  </si>
  <si>
    <t>충남06고3191</t>
    <phoneticPr fontId="5" type="noConversion"/>
  </si>
  <si>
    <t>이준호</t>
    <phoneticPr fontId="5" type="noConversion"/>
  </si>
  <si>
    <t>폐기물</t>
    <phoneticPr fontId="5" type="noConversion"/>
  </si>
  <si>
    <t>동우 계근 3,420kg,
5/20 주원으로 출고 예정</t>
    <phoneticPr fontId="5" type="noConversion"/>
  </si>
  <si>
    <t>세화 계근 중량</t>
  </si>
  <si>
    <t>동우 총 계근량 5,680kg에서 
철근, 모터 차감
5/19 고철이랑 합하여 출고</t>
    <phoneticPr fontId="5" type="noConversion"/>
  </si>
  <si>
    <t>동우 계근량 입력, 철근 차감</t>
    <phoneticPr fontId="5" type="noConversion"/>
  </si>
  <si>
    <t>고무롤</t>
  </si>
  <si>
    <t>충남80바7815</t>
  </si>
  <si>
    <t>한강그린</t>
  </si>
  <si>
    <t>93버4384</t>
  </si>
  <si>
    <t>변압기</t>
  </si>
  <si>
    <t>인천86아6863</t>
  </si>
  <si>
    <t>806거1970</t>
  </si>
  <si>
    <t>81부6706</t>
  </si>
  <si>
    <t>86가7213</t>
  </si>
  <si>
    <t>크로스특수에서 정산</t>
    <phoneticPr fontId="5" type="noConversion"/>
  </si>
  <si>
    <t>세화에서 빔장척, 경A 분류계근</t>
  </si>
  <si>
    <t>고철(빔장척, 경A)</t>
    <phoneticPr fontId="5" type="noConversion"/>
  </si>
  <si>
    <t>인천80자1912</t>
  </si>
  <si>
    <t>곽노하</t>
  </si>
  <si>
    <t>010-5315-3802</t>
  </si>
  <si>
    <t>충남83아2315</t>
  </si>
  <si>
    <t>허재훈</t>
  </si>
  <si>
    <t>010-4905-8009</t>
  </si>
  <si>
    <t>전선, 작업철 차감 후 중량</t>
  </si>
  <si>
    <t>5/20 분류 계근</t>
  </si>
  <si>
    <t>양중박스1개 감량, 5/21 분류 계근</t>
  </si>
  <si>
    <t>4-1</t>
    <phoneticPr fontId="5" type="noConversion"/>
  </si>
  <si>
    <t>4-2</t>
    <phoneticPr fontId="5" type="noConversion"/>
  </si>
  <si>
    <t>4-3</t>
    <phoneticPr fontId="5" type="noConversion"/>
  </si>
  <si>
    <t>소화기</t>
    <phoneticPr fontId="5" type="noConversion"/>
  </si>
  <si>
    <t>파렛트 2개 감량</t>
    <phoneticPr fontId="5" type="noConversion"/>
  </si>
  <si>
    <t>탱크로리</t>
    <phoneticPr fontId="5" type="noConversion"/>
  </si>
  <si>
    <t>84두0416</t>
    <phoneticPr fontId="5" type="noConversion"/>
  </si>
  <si>
    <t>절연유</t>
    <phoneticPr fontId="5" type="noConversion"/>
  </si>
  <si>
    <t>무상, 변압기랑 일괄 계산</t>
    <phoneticPr fontId="5" type="noConversion"/>
  </si>
  <si>
    <t>마대3개, 대신에서 계근</t>
  </si>
  <si>
    <t>인천80자1917</t>
  </si>
  <si>
    <t>심충우</t>
  </si>
  <si>
    <t>010-2801-5063</t>
  </si>
  <si>
    <t>듀폰 천안공장, 경량, 중량, 쓰레기 포함.</t>
    <phoneticPr fontId="5" type="noConversion"/>
  </si>
  <si>
    <t>주원</t>
  </si>
  <si>
    <t>폐합성수지</t>
  </si>
  <si>
    <t>※ 5/25 모터 해체 5,320kg
5/26 모터 해체(구리) 380kg</t>
    <phoneticPr fontId="5" type="noConversion"/>
  </si>
  <si>
    <t>폐기물 1차 4,580kg 하차</t>
  </si>
  <si>
    <t>한강그린</t>
    <phoneticPr fontId="5" type="noConversion"/>
  </si>
  <si>
    <t>폐기물 1차 4,580kg 하차, 원방 계근</t>
    <phoneticPr fontId="5" type="noConversion"/>
  </si>
  <si>
    <t>89누1668</t>
  </si>
  <si>
    <t>89누1668</t>
    <phoneticPr fontId="5" type="noConversion"/>
  </si>
  <si>
    <t>한성상</t>
  </si>
  <si>
    <t>한성상</t>
    <phoneticPr fontId="5" type="noConversion"/>
  </si>
  <si>
    <t>1톤트럭</t>
    <phoneticPr fontId="5" type="noConversion"/>
  </si>
  <si>
    <t>모터</t>
    <phoneticPr fontId="5" type="noConversion"/>
  </si>
  <si>
    <t>비철 및 알루미늄</t>
  </si>
  <si>
    <t>비철 및 알루미늄</t>
    <phoneticPr fontId="5" type="noConversion"/>
  </si>
  <si>
    <t>카고</t>
    <phoneticPr fontId="5" type="noConversion"/>
  </si>
  <si>
    <t>충남83아2363</t>
  </si>
  <si>
    <t>스크랩(폐기물)</t>
    <phoneticPr fontId="5" type="noConversion"/>
  </si>
  <si>
    <t>대전87아5426</t>
  </si>
  <si>
    <t>송악계량증명소 계근</t>
  </si>
  <si>
    <t>충남82바1054</t>
  </si>
  <si>
    <t>한창용</t>
  </si>
  <si>
    <t>010-2566-7740</t>
  </si>
  <si>
    <t>명일 29일 하차</t>
  </si>
  <si>
    <t>송악계량증명소 계근</t>
    <phoneticPr fontId="5" type="noConversion"/>
  </si>
  <si>
    <t>고철(경량)</t>
    <phoneticPr fontId="5" type="noConversion"/>
  </si>
  <si>
    <t>대략 무게</t>
    <phoneticPr fontId="5" type="noConversion"/>
  </si>
  <si>
    <t>명일 29일 하차, AL B 무게 차감</t>
    <phoneticPr fontId="5" type="noConversion"/>
  </si>
  <si>
    <t>7-1</t>
    <phoneticPr fontId="5" type="noConversion"/>
  </si>
  <si>
    <t>7-2</t>
    <phoneticPr fontId="5" type="noConversion"/>
  </si>
  <si>
    <t>원방에서 계근 후 직납</t>
    <phoneticPr fontId="5" type="noConversion"/>
  </si>
  <si>
    <t>대전87아5975</t>
  </si>
  <si>
    <t>성태규</t>
  </si>
  <si>
    <t>010-9049-6769</t>
  </si>
  <si>
    <t>명일 6/2 하차</t>
  </si>
  <si>
    <t>□  현대제철 신규편입 토지 철거공사 스크랩 반입일보 (26/04/21 ~ )</t>
    <phoneticPr fontId="6" type="noConversion"/>
  </si>
  <si>
    <t>□ 포스코모빌리티솔루션 STS사업실 안산공장 스크랩 반입일보 (26/3/6~26/05/27)</t>
    <phoneticPr fontId="6" type="noConversion"/>
  </si>
  <si>
    <t>윙바디</t>
  </si>
  <si>
    <t>전북91사6889</t>
  </si>
  <si>
    <t>삼성전자_이텍솔루션_안성</t>
  </si>
  <si>
    <t>충남80아3769</t>
  </si>
  <si>
    <t>충남80아2701</t>
  </si>
  <si>
    <t>충남80아1374</t>
  </si>
  <si>
    <t>충북82아3517</t>
  </si>
  <si>
    <t>3CTN</t>
  </si>
  <si>
    <t>9CTN</t>
  </si>
  <si>
    <t>7CTN, 파렛트 1개</t>
    <phoneticPr fontId="5" type="noConversion"/>
  </si>
  <si>
    <t>15CTN, 파렛트 3개</t>
    <phoneticPr fontId="5" type="noConversion"/>
  </si>
  <si>
    <t>13CTN, 파렛트 1개</t>
    <phoneticPr fontId="5" type="noConversion"/>
  </si>
  <si>
    <t>삼성전자_이텍솔루션_안성</t>
    <phoneticPr fontId="5" type="noConversion"/>
  </si>
  <si>
    <t>폐아스콘</t>
    <phoneticPr fontId="5" type="noConversion"/>
  </si>
  <si>
    <t>포스코 계근 18,020kg</t>
    <phoneticPr fontId="5" type="noConversion"/>
  </si>
  <si>
    <t>덤프트럭</t>
    <phoneticPr fontId="5" type="noConversion"/>
  </si>
  <si>
    <t>도솔 계근</t>
    <phoneticPr fontId="5" type="noConversion"/>
  </si>
  <si>
    <t>충남83아2492</t>
  </si>
  <si>
    <t>광주90바6581</t>
  </si>
  <si>
    <t>경기85바6491</t>
  </si>
  <si>
    <t>김두식</t>
  </si>
  <si>
    <t>010-9076-4549</t>
  </si>
  <si>
    <t>충남83아1957</t>
  </si>
  <si>
    <t>14CTN</t>
  </si>
  <si>
    <t>7CTN</t>
  </si>
  <si>
    <t>32CTN</t>
  </si>
  <si>
    <t>송악 계근</t>
  </si>
  <si>
    <t>선진 계근량 입력</t>
  </si>
  <si>
    <t>송악 계근 5,480kg에서 선진 계근량 차감</t>
  </si>
  <si>
    <t>박만순</t>
    <phoneticPr fontId="5" type="noConversion"/>
  </si>
  <si>
    <t>010-5099-9998</t>
    <phoneticPr fontId="5" type="noConversion"/>
  </si>
  <si>
    <t>조정철</t>
  </si>
  <si>
    <t>조정철</t>
    <phoneticPr fontId="5" type="noConversion"/>
  </si>
  <si>
    <t>010-5450-1492</t>
  </si>
  <si>
    <t>010-5450-1492</t>
    <phoneticPr fontId="5" type="noConversion"/>
  </si>
  <si>
    <t>010-5329-6935</t>
    <phoneticPr fontId="5" type="noConversion"/>
  </si>
  <si>
    <t>김창남</t>
    <phoneticPr fontId="5" type="noConversion"/>
  </si>
  <si>
    <t>김시성</t>
  </si>
  <si>
    <t>김시성</t>
    <phoneticPr fontId="5" type="noConversion"/>
  </si>
  <si>
    <t>김성효</t>
    <phoneticPr fontId="5" type="noConversion"/>
  </si>
  <si>
    <t>010-2482-5621</t>
    <phoneticPr fontId="5" type="noConversion"/>
  </si>
  <si>
    <t>010-5421-4967</t>
  </si>
  <si>
    <t>010-5421-4967</t>
    <phoneticPr fontId="5" type="noConversion"/>
  </si>
  <si>
    <t>010-6470-0449</t>
    <phoneticPr fontId="5" type="noConversion"/>
  </si>
  <si>
    <t>9CTN, 11톤 윙바디</t>
    <phoneticPr fontId="5" type="noConversion"/>
  </si>
  <si>
    <t>14CTN, 11톤 윙바디</t>
    <phoneticPr fontId="5" type="noConversion"/>
  </si>
  <si>
    <t>조영현</t>
    <phoneticPr fontId="5" type="noConversion"/>
  </si>
  <si>
    <t>하창수</t>
    <phoneticPr fontId="5" type="noConversion"/>
  </si>
  <si>
    <t>010-7205-4270</t>
    <phoneticPr fontId="5" type="noConversion"/>
  </si>
  <si>
    <t>010-2416-1642</t>
    <phoneticPr fontId="5" type="noConversion"/>
  </si>
  <si>
    <t>홍경의</t>
    <phoneticPr fontId="5" type="noConversion"/>
  </si>
  <si>
    <t>경기92자7869</t>
  </si>
  <si>
    <t>김보람</t>
  </si>
  <si>
    <t>010-5332-5555</t>
  </si>
  <si>
    <t>경기94아2283</t>
  </si>
  <si>
    <t>전영호</t>
  </si>
  <si>
    <t>010-8009-6002</t>
  </si>
  <si>
    <t>충남80아3523</t>
  </si>
  <si>
    <t>정연성</t>
  </si>
  <si>
    <t>010-9118-8961</t>
  </si>
  <si>
    <t>경기91아9640</t>
  </si>
  <si>
    <t>이정삼</t>
  </si>
  <si>
    <t>010-7435-7223</t>
  </si>
  <si>
    <t>6CTN</t>
  </si>
  <si>
    <t>8CTN</t>
  </si>
  <si>
    <t>4CTN</t>
  </si>
  <si>
    <t>5CTN</t>
  </si>
  <si>
    <t>크로스특수</t>
  </si>
  <si>
    <t>84나4888</t>
    <phoneticPr fontId="5" type="noConversion"/>
  </si>
  <si>
    <t>이민규</t>
    <phoneticPr fontId="5" type="noConversion"/>
  </si>
  <si>
    <t>김현수</t>
    <phoneticPr fontId="5" type="noConversion"/>
  </si>
  <si>
    <t>010-5899-9660</t>
    <phoneticPr fontId="5" type="noConversion"/>
  </si>
  <si>
    <t>010-5315-1508</t>
    <phoneticPr fontId="5" type="noConversion"/>
  </si>
  <si>
    <t>투플 계근, 동우 8,350kg</t>
    <phoneticPr fontId="5" type="noConversion"/>
  </si>
  <si>
    <t>투플 계근, 동우 5,630kg</t>
    <phoneticPr fontId="5" type="noConversion"/>
  </si>
  <si>
    <t>81로1401</t>
  </si>
  <si>
    <t>81로1401</t>
    <phoneticPr fontId="5" type="noConversion"/>
  </si>
  <si>
    <t>이덕현</t>
  </si>
  <si>
    <t>이덕현</t>
    <phoneticPr fontId="5" type="noConversion"/>
  </si>
  <si>
    <t>AL A</t>
  </si>
  <si>
    <t>AL A</t>
    <phoneticPr fontId="5" type="noConversion"/>
  </si>
  <si>
    <t>프로파일 A</t>
  </si>
  <si>
    <t>프로파일 A</t>
    <phoneticPr fontId="5" type="noConversion"/>
  </si>
  <si>
    <t>에코코리아, 마대 12개</t>
  </si>
  <si>
    <t>에코코리아, 마대 12개</t>
    <phoneticPr fontId="5" type="noConversion"/>
  </si>
  <si>
    <t>에코코리아, 마대 4개</t>
  </si>
  <si>
    <t>에코코리아, 마대 4개</t>
    <phoneticPr fontId="5" type="noConversion"/>
  </si>
  <si>
    <t>충남80아4081</t>
  </si>
  <si>
    <t>황덕규</t>
  </si>
  <si>
    <t>010-6307-6750</t>
  </si>
  <si>
    <t>대구80바4529</t>
  </si>
  <si>
    <t>정재익</t>
  </si>
  <si>
    <t>010-6730-7739</t>
  </si>
  <si>
    <t>충남80아3957</t>
  </si>
  <si>
    <t>최병교</t>
  </si>
  <si>
    <t>010-3876-8031</t>
  </si>
  <si>
    <t>경기91사5199</t>
  </si>
  <si>
    <t>임정묵</t>
  </si>
  <si>
    <t>010-2501-4785</t>
  </si>
  <si>
    <t>인천99아7178</t>
  </si>
  <si>
    <t>이동수</t>
  </si>
  <si>
    <t>010-9439-3654</t>
  </si>
  <si>
    <t>3.5톤트럭</t>
    <phoneticPr fontId="5" type="noConversion"/>
  </si>
  <si>
    <t>81러3615</t>
    <phoneticPr fontId="5" type="noConversion"/>
  </si>
  <si>
    <t>강철규</t>
    <phoneticPr fontId="5" type="noConversion"/>
  </si>
  <si>
    <t>010-3807-3096</t>
    <phoneticPr fontId="5" type="noConversion"/>
  </si>
  <si>
    <t>설비</t>
    <phoneticPr fontId="5" type="noConversion"/>
  </si>
  <si>
    <t>고철, 폐기물</t>
    <phoneticPr fontId="5" type="noConversion"/>
  </si>
  <si>
    <t>동우 1,610kg, 폐기물 약 20kg 포함</t>
    <phoneticPr fontId="5" type="noConversion"/>
  </si>
  <si>
    <t>투플 계근</t>
    <phoneticPr fontId="5" type="noConversion"/>
  </si>
  <si>
    <t>투플 계근, 동우 9,860kg</t>
    <phoneticPr fontId="5" type="noConversion"/>
  </si>
  <si>
    <t>투플 계근, 동우 4,320kg</t>
    <phoneticPr fontId="5" type="noConversion"/>
  </si>
  <si>
    <t>전남90바1977</t>
  </si>
  <si>
    <t>96거8410</t>
    <phoneticPr fontId="5" type="noConversion"/>
  </si>
  <si>
    <t>고철, 비철</t>
    <phoneticPr fontId="5" type="noConversion"/>
  </si>
  <si>
    <t>폐기물, 폐판넬과 함께 반출되어 분류</t>
    <phoneticPr fontId="5" type="noConversion"/>
  </si>
  <si>
    <t>원방 계근, 동우 혼합계근 3,650kg</t>
    <phoneticPr fontId="5" type="noConversion"/>
  </si>
  <si>
    <t>종료, 기타 현장</t>
    <phoneticPr fontId="5" type="noConversion"/>
  </si>
  <si>
    <t>NO(2)</t>
    <phoneticPr fontId="5" type="noConversion"/>
  </si>
  <si>
    <t>NO(1)</t>
    <phoneticPr fontId="6" type="noConversion"/>
  </si>
  <si>
    <t>지게차</t>
    <phoneticPr fontId="5" type="noConversion"/>
  </si>
  <si>
    <t>듀폰 천안공장, 분류 390kg 차감</t>
  </si>
  <si>
    <t>듀폰 천안공장, 분류 390kg 차감</t>
    <phoneticPr fontId="5" type="noConversion"/>
  </si>
  <si>
    <t>듀폰 천안공장, 지게차 분류, 양중박스 감량</t>
  </si>
  <si>
    <t>듀폰 천안공장, 지게차 분류, 양중박스 감량</t>
    <phoneticPr fontId="5" type="noConversion"/>
  </si>
  <si>
    <t>분류 후 세화 출고</t>
    <phoneticPr fontId="5" type="noConversion"/>
  </si>
  <si>
    <t>투플 계근, 동우 9,270kg</t>
    <phoneticPr fontId="5" type="noConversion"/>
  </si>
  <si>
    <t>투플 계근, 동우 5,450kg</t>
    <phoneticPr fontId="5" type="noConversion"/>
  </si>
  <si>
    <t>서윤산업</t>
    <phoneticPr fontId="5" type="noConversion"/>
  </si>
  <si>
    <t>포스코</t>
    <phoneticPr fontId="6" type="noConversion"/>
  </si>
  <si>
    <t>포스코 계근</t>
    <phoneticPr fontId="5" type="noConversion"/>
  </si>
  <si>
    <t>투플 계근, 동우 9,770kg</t>
    <phoneticPr fontId="5" type="noConversion"/>
  </si>
  <si>
    <t>투플 계근, 동우 4,870kg</t>
    <phoneticPr fontId="5" type="noConversion"/>
  </si>
  <si>
    <t>폐기물(솔트류)</t>
    <phoneticPr fontId="5" type="noConversion"/>
  </si>
  <si>
    <t>□ 동우화인켐 PL1린텍 설비 및 건축물 부분철거 스크랩 반입일보 (26/04/21~26/06/11)</t>
    <phoneticPr fontId="6" type="noConversion"/>
  </si>
  <si>
    <t>□  안성 이텍솔루션 설비 반출 스크랩 반입일보 (26/06/02~26/06/11)</t>
    <phoneticPr fontId="6" type="noConversion"/>
  </si>
  <si>
    <t>동우 계근 1,770kg, 6/17 투플 이동</t>
    <phoneticPr fontId="5" type="noConversion"/>
  </si>
  <si>
    <t>원방 계근, 6/17 투플 이동</t>
    <phoneticPr fontId="5" type="noConversion"/>
  </si>
  <si>
    <t>알루미늄 B</t>
    <phoneticPr fontId="5" type="noConversion"/>
  </si>
  <si>
    <t>알루미늄 A</t>
    <phoneticPr fontId="5" type="noConversion"/>
  </si>
  <si>
    <t>2026년 5월 소계</t>
    <phoneticPr fontId="5" type="noConversion"/>
  </si>
  <si>
    <t>총합계</t>
  </si>
  <si>
    <t>※ 새로고침하면 반출량 업데이트 됨</t>
    <phoneticPr fontId="5" type="noConversion"/>
  </si>
  <si>
    <t>고철(빔장척, 경A)</t>
  </si>
  <si>
    <t>고철, 폐기물</t>
  </si>
  <si>
    <t>반입량(kg)</t>
  </si>
  <si>
    <t>■ 현대제철 철거공사 제품별 반입량</t>
    <phoneticPr fontId="5" type="noConversion"/>
  </si>
  <si>
    <t>■ 동우 PL1린텍 철거 제품별 반입량</t>
    <phoneticPr fontId="5" type="noConversion"/>
  </si>
  <si>
    <t>■ 포스코 STS사업실 안산공장 철거 제품별 반입량</t>
    <phoneticPr fontId="5" type="noConversion"/>
  </si>
  <si>
    <t>현장</t>
    <phoneticPr fontId="5" type="noConversion"/>
  </si>
  <si>
    <t>에코코리아</t>
  </si>
  <si>
    <t>듀폰_천안</t>
  </si>
  <si>
    <t>듀폰_천안</t>
    <phoneticPr fontId="5" type="noConversion"/>
  </si>
  <si>
    <t>에코코리아</t>
    <phoneticPr fontId="5" type="noConversion"/>
  </si>
  <si>
    <t>■ 기타현장 제품별 반입량</t>
    <phoneticPr fontId="5" type="noConversion"/>
  </si>
  <si>
    <t>■ 기타현장(단발성) 제품별 반입량</t>
    <phoneticPr fontId="5" type="noConversion"/>
  </si>
  <si>
    <t>스텐</t>
    <phoneticPr fontId="5" type="noConversion"/>
  </si>
  <si>
    <t>비율</t>
    <phoneticPr fontId="5" type="noConversion"/>
  </si>
  <si>
    <t>제품</t>
    <phoneticPr fontId="5" type="noConversion"/>
  </si>
  <si>
    <t>반입량(kg)</t>
    <phoneticPr fontId="5" type="noConversion"/>
  </si>
  <si>
    <t>폐아스콘</t>
  </si>
  <si>
    <t>폐콘크리트</t>
  </si>
  <si>
    <t>합계 : 입고량(kg)</t>
  </si>
  <si>
    <t>올바로</t>
  </si>
  <si>
    <t>투플 계근, 동우 9,020kg,
우레탄판넬 일부 포함</t>
    <phoneticPr fontId="5" type="noConversion"/>
  </si>
  <si>
    <t>투플 계근, 동우 5,860kg,
우레탄판넬 일부 포함</t>
    <phoneticPr fontId="5" type="noConversion"/>
  </si>
  <si>
    <t>투플 계근, 동우 9,920kg,
우레탄판넬 일부 포함</t>
    <phoneticPr fontId="5" type="noConversion"/>
  </si>
  <si>
    <t>투플 계근, 동우 4,190kg,
우레탄판넬 일부 포함</t>
    <phoneticPr fontId="5" type="noConversion"/>
  </si>
  <si>
    <t>■ 폐기물 프로젝트별 제품 입고량</t>
    <phoneticPr fontId="5" type="noConversion"/>
  </si>
  <si>
    <t>■ 현대제철 철거공사 제품별 스크랩 반입량</t>
    <phoneticPr fontId="5" type="noConversion"/>
  </si>
  <si>
    <t>■ 포스코 STS사업실 안산공장 철거 제품별 스크랩 반입량</t>
    <phoneticPr fontId="5" type="noConversion"/>
  </si>
  <si>
    <t>■ 동우 PL1린텍 철거 제품별 스크랩 반입량</t>
    <phoneticPr fontId="5" type="noConversion"/>
  </si>
  <si>
    <t>■ 기타현장(단발성) 제품별 스크랩 반입량</t>
    <phoneticPr fontId="5" type="noConversion"/>
  </si>
  <si>
    <t>All 설비 반입</t>
    <phoneticPr fontId="5" type="noConversion"/>
  </si>
  <si>
    <t>합계</t>
    <phoneticPr fontId="5" type="noConversion"/>
  </si>
  <si>
    <t>동우PL1린텍_크로스_평택</t>
    <phoneticPr fontId="5" type="noConversion"/>
  </si>
  <si>
    <t>1-5</t>
  </si>
  <si>
    <t>동 라지에이타</t>
  </si>
  <si>
    <t>이유리</t>
    <phoneticPr fontId="5" type="noConversion"/>
  </si>
  <si>
    <t>합계 : 입고량(Kg)</t>
  </si>
  <si>
    <t>1-1</t>
  </si>
  <si>
    <t>투플 계근, 동우 10,640kg</t>
    <phoneticPr fontId="5" type="noConversion"/>
  </si>
  <si>
    <t>투플 계근, 동우 6,070kg</t>
    <phoneticPr fontId="5" type="noConversion"/>
  </si>
  <si>
    <t>-</t>
    <phoneticPr fontId="5" type="noConversion"/>
  </si>
  <si>
    <t>포스코_KM_안산</t>
    <phoneticPr fontId="5" type="noConversion"/>
  </si>
  <si>
    <t>암롤트럭</t>
    <phoneticPr fontId="5" type="noConversion"/>
  </si>
  <si>
    <t>88어1563</t>
  </si>
  <si>
    <t>88어1563</t>
    <phoneticPr fontId="5" type="noConversion"/>
  </si>
  <si>
    <t>삼성전자 온양사업장 철거</t>
  </si>
  <si>
    <t>삼성_대도_온양</t>
  </si>
  <si>
    <t>삼성_대도_온양</t>
    <phoneticPr fontId="5" type="noConversion"/>
  </si>
  <si>
    <t>삼성전자 온양사업장 철거, 6/25분류</t>
    <phoneticPr fontId="5" type="noConversion"/>
  </si>
  <si>
    <t>삼성전자 온양사업장 철거, 분류 차감</t>
    <phoneticPr fontId="5" type="noConversion"/>
  </si>
  <si>
    <t>삼성전자 온양사업장 철거, 6/25 분류</t>
    <phoneticPr fontId="5" type="noConversion"/>
  </si>
  <si>
    <t>페이퍼허니컴판넬</t>
    <phoneticPr fontId="5" type="noConversion"/>
  </si>
  <si>
    <t>투플 계근, 동우 5,080kg</t>
    <phoneticPr fontId="5" type="noConversion"/>
  </si>
  <si>
    <t>페이퍼허니컴판넬</t>
  </si>
  <si>
    <t>※ "폐기물 입고" 시트에 추가 시 "갑지"에서 입고량 표 마우스 우측 눌러 "새로고침" 필요함.</t>
    <phoneticPr fontId="5" type="noConversion"/>
  </si>
  <si>
    <t>□  진천식품기계 반출 스크랩 반입일보 (26/06/26~26/06/27)</t>
    <phoneticPr fontId="6" type="noConversion"/>
  </si>
  <si>
    <t>선진_식품기계_진천</t>
  </si>
  <si>
    <t>경기85자5423</t>
  </si>
  <si>
    <t>설비 스크랩</t>
  </si>
  <si>
    <t>충남83바9206</t>
  </si>
  <si>
    <t>경기92아7341</t>
  </si>
  <si>
    <t>서울88아9809</t>
  </si>
  <si>
    <t>충남96바2038</t>
  </si>
  <si>
    <t>충남83아2541</t>
  </si>
  <si>
    <t>충남80아2618</t>
  </si>
  <si>
    <t>충남83바2557</t>
  </si>
  <si>
    <t>충남83아2294</t>
  </si>
  <si>
    <t>충남80아3615</t>
  </si>
  <si>
    <t>경기90자6513</t>
  </si>
  <si>
    <t>경기93아3550</t>
  </si>
  <si>
    <t>충남83바4766</t>
  </si>
  <si>
    <t>충남96바1341</t>
  </si>
  <si>
    <t>광주86바9306</t>
  </si>
  <si>
    <t>충남80아1769</t>
  </si>
  <si>
    <t>충남84아2133</t>
  </si>
  <si>
    <t>서울80자3320</t>
  </si>
  <si>
    <t>서울83자7705</t>
  </si>
  <si>
    <t>대전88아9240</t>
  </si>
  <si>
    <t>인천80자9463</t>
  </si>
  <si>
    <t>지게차 등</t>
  </si>
  <si>
    <t>충남90자2372</t>
  </si>
  <si>
    <t>컨테이너</t>
  </si>
  <si>
    <t>듀폰 천안공장, 쓰레기, 수분. 3,040kg 분류 차감</t>
    <phoneticPr fontId="5" type="noConversion"/>
  </si>
  <si>
    <t>듀폰 천안공장, 6/22 지게차 분류</t>
    <phoneticPr fontId="5" type="noConversion"/>
  </si>
  <si>
    <t>고철(중량장척)</t>
    <phoneticPr fontId="5" type="noConversion"/>
  </si>
  <si>
    <t>듀폰 천안공장, 쓰레기, 수분. 3,040kg 분류 차감</t>
  </si>
  <si>
    <t>듀폰 천안공장, 6/22 지게차 분류</t>
  </si>
  <si>
    <t>듀폰 천안공장, 모래 300kg 감량 있을 수 있음.</t>
    <phoneticPr fontId="5" type="noConversion"/>
  </si>
  <si>
    <t>듀폰 천안공장, 하차 후 대신 바로 출고</t>
    <phoneticPr fontId="5" type="noConversion"/>
  </si>
  <si>
    <t>□  기타 현장 스크랩 반입일보 (26/01/09~          )</t>
    <phoneticPr fontId="6" type="noConversion"/>
  </si>
  <si>
    <t>※ 참고용 자료("스크랩 입고량"시트에는 일부 삭제 되어 있음)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</si>
</sst>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&quot;/&quot;mm&quot;/&quot;dd"/>
    <numFmt numFmtId="179" formatCode="#,##0_ "/>
    <numFmt numFmtId="180" formatCode="0_);[Red]\(0\)"/>
    <numFmt numFmtId="181" formatCode="&quot;기준일&quot;\ yyyy/mm/dd"/>
  </numFmts>
  <fonts count="36" x14ac:knownFonts="1">
    <font>
      <sz val="11"/>
      <name val="Calibri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Calibri"/>
      <family val="2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6"/>
      <color rgb="FF0000FF"/>
      <name val="맑은 고딕"/>
      <family val="3"/>
      <charset val="129"/>
    </font>
    <font>
      <sz val="16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</font>
    <font>
      <b/>
      <sz val="8"/>
      <color rgb="FF4B4B4B"/>
      <name val="맑은 고딕"/>
      <family val="3"/>
      <charset val="129"/>
    </font>
    <font>
      <b/>
      <sz val="8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9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name val="Calibri"/>
      <family val="2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9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/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double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double">
        <color auto="1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/>
      <diagonal/>
    </border>
    <border>
      <left style="medium">
        <color auto="1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medium">
        <color auto="1"/>
      </bottom>
      <diagonal/>
    </border>
    <border diagonalUp="1" diagonalDown="1"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 diagonalUp="1" diagonalDown="1"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 diagonalUp="1" diagonalDown="1"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auto="1"/>
      </right>
      <top/>
      <bottom/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auto="1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/>
      <diagonal/>
    </border>
    <border>
      <left style="medium">
        <color auto="1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auto="1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medium">
        <color auto="1"/>
      </right>
      <top style="thin">
        <color indexed="64"/>
      </top>
      <bottom/>
      <diagonal/>
    </border>
    <border diagonalUp="1" diagonalDown="1"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 diagonalUp="1" diagonalDown="1"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 diagonalUp="1" diagonalDown="1">
      <left/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indexed="64"/>
      </bottom>
      <diagonal/>
    </border>
  </borders>
  <cellStyleXfs count="10">
    <xf numFmtId="0" fontId="0" fillId="0" borderId="0"/>
    <xf numFmtId="41" fontId="4" fillId="0" borderId="0" applyFont="0" applyFill="0" applyBorder="0" applyAlignment="0" applyProtection="0">
      <alignment vertical="center"/>
    </xf>
    <xf numFmtId="0" fontId="3" fillId="0" borderId="2">
      <alignment vertical="center"/>
    </xf>
    <xf numFmtId="41" fontId="3" fillId="0" borderId="2" applyFont="0" applyFill="0" applyBorder="0" applyAlignment="0" applyProtection="0">
      <alignment vertical="center"/>
    </xf>
    <xf numFmtId="0" fontId="2" fillId="0" borderId="2">
      <alignment vertical="center"/>
    </xf>
    <xf numFmtId="41" fontId="2" fillId="0" borderId="2" applyFont="0" applyFill="0" applyBorder="0" applyAlignment="0" applyProtection="0">
      <alignment vertical="center"/>
    </xf>
    <xf numFmtId="9" fontId="2" fillId="0" borderId="2" applyFont="0" applyFill="0" applyBorder="0" applyAlignment="0" applyProtection="0">
      <alignment vertical="center"/>
    </xf>
    <xf numFmtId="0" fontId="1" fillId="0" borderId="2">
      <alignment vertical="center"/>
    </xf>
    <xf numFmtId="41" fontId="1" fillId="0" borderId="2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</cellStyleXfs>
  <cellXfs count="579">
    <xf numFmtId="0" fontId="0" fillId="0" borderId="0" xfId="0"/>
    <xf numFmtId="0" fontId="12" fillId="0" borderId="0" xfId="0" applyFont="1" applyAlignment="1">
      <alignment vertical="center" shrinkToFit="1"/>
    </xf>
    <xf numFmtId="0" fontId="13" fillId="0" borderId="0" xfId="0" applyFont="1"/>
    <xf numFmtId="0" fontId="9" fillId="0" borderId="0" xfId="0" applyFont="1"/>
    <xf numFmtId="0" fontId="7" fillId="0" borderId="1" xfId="0" applyFont="1" applyBorder="1" applyAlignment="1">
      <alignment horizontal="left" vertical="center"/>
    </xf>
    <xf numFmtId="41" fontId="14" fillId="0" borderId="0" xfId="1" applyFont="1" applyAlignment="1"/>
    <xf numFmtId="41" fontId="14" fillId="0" borderId="0" xfId="1" applyFont="1" applyFill="1" applyAlignment="1"/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6" fillId="0" borderId="0" xfId="0" applyFont="1"/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41" fontId="9" fillId="0" borderId="6" xfId="1" applyFont="1" applyBorder="1" applyAlignment="1">
      <alignment horizontal="center" vertical="center"/>
    </xf>
    <xf numFmtId="41" fontId="9" fillId="0" borderId="6" xfId="1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41" fontId="9" fillId="0" borderId="5" xfId="1" applyFont="1" applyBorder="1" applyAlignment="1">
      <alignment horizontal="center" vertical="center"/>
    </xf>
    <xf numFmtId="41" fontId="9" fillId="0" borderId="5" xfId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10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center" vertical="center"/>
    </xf>
    <xf numFmtId="176" fontId="9" fillId="0" borderId="20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41" fontId="9" fillId="0" borderId="20" xfId="1" applyFont="1" applyBorder="1" applyAlignment="1">
      <alignment horizontal="center" vertical="center"/>
    </xf>
    <xf numFmtId="41" fontId="9" fillId="0" borderId="20" xfId="1" applyFont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176" fontId="9" fillId="0" borderId="0" xfId="0" applyNumberFormat="1" applyFont="1" applyAlignment="1">
      <alignment vertical="center"/>
    </xf>
    <xf numFmtId="41" fontId="9" fillId="0" borderId="0" xfId="1" applyFont="1" applyAlignment="1">
      <alignment vertical="center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41" fontId="9" fillId="3" borderId="6" xfId="1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/>
    </xf>
    <xf numFmtId="41" fontId="9" fillId="3" borderId="20" xfId="1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left" vertical="center"/>
    </xf>
    <xf numFmtId="0" fontId="9" fillId="0" borderId="6" xfId="0" quotePrefix="1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8" fillId="0" borderId="2" xfId="4" applyFont="1">
      <alignment vertical="center"/>
    </xf>
    <xf numFmtId="0" fontId="8" fillId="0" borderId="2" xfId="4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41" fontId="14" fillId="0" borderId="0" xfId="1" applyFont="1" applyAlignment="1">
      <alignment horizontal="center"/>
    </xf>
    <xf numFmtId="41" fontId="14" fillId="0" borderId="0" xfId="1" applyFont="1" applyFill="1" applyAlignment="1">
      <alignment horizontal="center"/>
    </xf>
    <xf numFmtId="0" fontId="9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9" fillId="0" borderId="8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176" fontId="9" fillId="0" borderId="5" xfId="0" applyNumberFormat="1" applyFont="1" applyBorder="1" applyAlignment="1">
      <alignment horizontal="center" vertical="center"/>
    </xf>
    <xf numFmtId="176" fontId="9" fillId="0" borderId="20" xfId="0" applyNumberFormat="1" applyFont="1" applyBorder="1" applyAlignment="1">
      <alignment horizontal="center" vertical="center"/>
    </xf>
    <xf numFmtId="41" fontId="9" fillId="3" borderId="20" xfId="1" applyFont="1" applyFill="1" applyBorder="1" applyAlignment="1">
      <alignment horizontal="center" vertical="center"/>
    </xf>
    <xf numFmtId="0" fontId="9" fillId="0" borderId="21" xfId="0" applyFont="1" applyBorder="1" applyAlignment="1">
      <alignment vertical="center"/>
    </xf>
    <xf numFmtId="176" fontId="9" fillId="0" borderId="6" xfId="0" applyNumberFormat="1" applyFont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41" fontId="9" fillId="0" borderId="0" xfId="1" applyFont="1" applyAlignment="1">
      <alignment horizontal="center" vertical="center"/>
    </xf>
    <xf numFmtId="41" fontId="9" fillId="3" borderId="0" xfId="1" applyFont="1" applyFill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6" fontId="9" fillId="0" borderId="17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41" fontId="9" fillId="0" borderId="17" xfId="1" applyFont="1" applyBorder="1" applyAlignment="1">
      <alignment horizontal="center" vertical="center"/>
    </xf>
    <xf numFmtId="41" fontId="9" fillId="3" borderId="17" xfId="1" applyFont="1" applyFill="1" applyBorder="1" applyAlignment="1">
      <alignment horizontal="center" vertical="center" wrapText="1"/>
    </xf>
    <xf numFmtId="0" fontId="9" fillId="0" borderId="20" xfId="0" quotePrefix="1" applyFont="1" applyBorder="1" applyAlignment="1">
      <alignment horizontal="center" vertical="center"/>
    </xf>
    <xf numFmtId="0" fontId="9" fillId="0" borderId="21" xfId="0" applyFont="1" applyBorder="1" applyAlignment="1">
      <alignment vertical="center" wrapText="1"/>
    </xf>
    <xf numFmtId="41" fontId="7" fillId="2" borderId="31" xfId="1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left" vertical="center"/>
    </xf>
    <xf numFmtId="0" fontId="17" fillId="0" borderId="2" xfId="4" applyFont="1">
      <alignment vertical="center"/>
    </xf>
    <xf numFmtId="1" fontId="17" fillId="0" borderId="2" xfId="4" applyNumberFormat="1" applyFont="1" applyAlignment="1">
      <alignment horizontal="center" vertical="center"/>
    </xf>
    <xf numFmtId="0" fontId="17" fillId="0" borderId="2" xfId="4" applyFont="1" applyAlignment="1">
      <alignment horizontal="center" vertical="center"/>
    </xf>
    <xf numFmtId="41" fontId="19" fillId="0" borderId="2" xfId="5" applyFont="1" applyAlignment="1">
      <alignment horizontal="center" vertical="center"/>
    </xf>
    <xf numFmtId="0" fontId="17" fillId="5" borderId="2" xfId="4" applyFont="1" applyFill="1">
      <alignment vertical="center"/>
    </xf>
    <xf numFmtId="0" fontId="22" fillId="0" borderId="2" xfId="4" applyFont="1" applyAlignment="1">
      <alignment horizontal="center" vertical="center"/>
    </xf>
    <xf numFmtId="41" fontId="17" fillId="0" borderId="2" xfId="4" applyNumberFormat="1" applyFont="1">
      <alignment vertical="center"/>
    </xf>
    <xf numFmtId="0" fontId="23" fillId="0" borderId="2" xfId="4" applyFont="1" applyAlignment="1">
      <alignment horizontal="left" vertical="center"/>
    </xf>
    <xf numFmtId="0" fontId="24" fillId="0" borderId="2" xfId="4" applyFont="1" applyAlignment="1">
      <alignment horizontal="center" vertical="center"/>
    </xf>
    <xf numFmtId="41" fontId="24" fillId="0" borderId="2" xfId="4" applyNumberFormat="1" applyFont="1">
      <alignment vertical="center"/>
    </xf>
    <xf numFmtId="179" fontId="24" fillId="0" borderId="2" xfId="4" applyNumberFormat="1" applyFont="1" applyAlignment="1">
      <alignment horizontal="center" vertical="center"/>
    </xf>
    <xf numFmtId="1" fontId="18" fillId="6" borderId="38" xfId="4" applyNumberFormat="1" applyFont="1" applyFill="1" applyBorder="1" applyAlignment="1">
      <alignment horizontal="center" vertical="center"/>
    </xf>
    <xf numFmtId="0" fontId="18" fillId="6" borderId="39" xfId="4" applyFont="1" applyFill="1" applyBorder="1" applyAlignment="1">
      <alignment horizontal="center" vertical="center"/>
    </xf>
    <xf numFmtId="0" fontId="22" fillId="6" borderId="31" xfId="4" applyFont="1" applyFill="1" applyBorder="1" applyAlignment="1">
      <alignment horizontal="center" vertical="center"/>
    </xf>
    <xf numFmtId="41" fontId="18" fillId="6" borderId="39" xfId="5" applyFont="1" applyFill="1" applyBorder="1" applyAlignment="1">
      <alignment horizontal="center" vertical="center"/>
    </xf>
    <xf numFmtId="41" fontId="18" fillId="5" borderId="39" xfId="5" applyFont="1" applyFill="1" applyBorder="1" applyAlignment="1">
      <alignment horizontal="center" vertical="center"/>
    </xf>
    <xf numFmtId="41" fontId="18" fillId="6" borderId="32" xfId="5" applyFont="1" applyFill="1" applyBorder="1" applyAlignment="1">
      <alignment horizontal="center" vertical="center"/>
    </xf>
    <xf numFmtId="41" fontId="25" fillId="0" borderId="2" xfId="5" applyFont="1" applyAlignment="1">
      <alignment horizontal="center" vertical="center"/>
    </xf>
    <xf numFmtId="14" fontId="26" fillId="0" borderId="37" xfId="4" applyNumberFormat="1" applyFont="1" applyBorder="1" applyAlignment="1">
      <alignment horizontal="center" vertical="center"/>
    </xf>
    <xf numFmtId="0" fontId="8" fillId="0" borderId="6" xfId="4" applyFont="1" applyBorder="1" applyAlignment="1">
      <alignment horizontal="center" vertical="center"/>
    </xf>
    <xf numFmtId="0" fontId="26" fillId="0" borderId="6" xfId="4" applyFont="1" applyBorder="1" applyAlignment="1">
      <alignment horizontal="center" vertical="center"/>
    </xf>
    <xf numFmtId="41" fontId="26" fillId="0" borderId="6" xfId="5" applyFont="1" applyFill="1" applyBorder="1" applyAlignment="1">
      <alignment horizontal="center" vertical="center"/>
    </xf>
    <xf numFmtId="41" fontId="26" fillId="0" borderId="37" xfId="5" applyFont="1" applyFill="1" applyBorder="1" applyAlignment="1">
      <alignment horizontal="center" vertical="center"/>
    </xf>
    <xf numFmtId="14" fontId="26" fillId="0" borderId="36" xfId="4" applyNumberFormat="1" applyFont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26" fillId="0" borderId="5" xfId="4" applyFont="1" applyBorder="1" applyAlignment="1">
      <alignment horizontal="center" vertical="center"/>
    </xf>
    <xf numFmtId="41" fontId="26" fillId="0" borderId="5" xfId="5" applyFont="1" applyFill="1" applyBorder="1" applyAlignment="1">
      <alignment horizontal="center" vertical="center"/>
    </xf>
    <xf numFmtId="41" fontId="26" fillId="0" borderId="36" xfId="5" applyFont="1" applyFill="1" applyBorder="1" applyAlignment="1">
      <alignment horizontal="center" vertical="center"/>
    </xf>
    <xf numFmtId="41" fontId="25" fillId="2" borderId="39" xfId="5" applyFont="1" applyFill="1" applyBorder="1" applyAlignment="1">
      <alignment horizontal="center" vertical="center"/>
    </xf>
    <xf numFmtId="1" fontId="26" fillId="0" borderId="9" xfId="4" applyNumberFormat="1" applyFont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2" fillId="0" borderId="2" xfId="7" applyFont="1" applyAlignment="1">
      <alignment vertical="center" shrinkToFit="1"/>
    </xf>
    <xf numFmtId="0" fontId="13" fillId="0" borderId="2" xfId="7" applyFont="1" applyAlignment="1"/>
    <xf numFmtId="0" fontId="17" fillId="0" borderId="2" xfId="7" applyFont="1" applyAlignment="1">
      <alignment horizontal="center" vertical="center"/>
    </xf>
    <xf numFmtId="41" fontId="14" fillId="0" borderId="2" xfId="8" applyFont="1" applyFill="1" applyAlignment="1"/>
    <xf numFmtId="0" fontId="15" fillId="2" borderId="30" xfId="7" applyFont="1" applyFill="1" applyBorder="1" applyAlignment="1">
      <alignment horizontal="center" vertical="center" wrapText="1"/>
    </xf>
    <xf numFmtId="0" fontId="15" fillId="2" borderId="31" xfId="7" applyFont="1" applyFill="1" applyBorder="1" applyAlignment="1">
      <alignment horizontal="center" vertical="center" wrapText="1"/>
    </xf>
    <xf numFmtId="0" fontId="15" fillId="2" borderId="31" xfId="7" applyFont="1" applyFill="1" applyBorder="1" applyAlignment="1">
      <alignment horizontal="center" vertical="center"/>
    </xf>
    <xf numFmtId="0" fontId="15" fillId="5" borderId="31" xfId="7" applyFont="1" applyFill="1" applyBorder="1" applyAlignment="1">
      <alignment horizontal="center" vertical="center" wrapText="1"/>
    </xf>
    <xf numFmtId="0" fontId="15" fillId="2" borderId="32" xfId="7" applyFont="1" applyFill="1" applyBorder="1" applyAlignment="1">
      <alignment horizontal="center" vertical="center" shrinkToFit="1"/>
    </xf>
    <xf numFmtId="0" fontId="16" fillId="0" borderId="2" xfId="7" applyFont="1" applyAlignment="1"/>
    <xf numFmtId="0" fontId="8" fillId="0" borderId="2" xfId="7" applyFont="1" applyAlignment="1">
      <alignment horizontal="center" vertical="center"/>
    </xf>
    <xf numFmtId="180" fontId="8" fillId="0" borderId="16" xfId="7" applyNumberFormat="1" applyFont="1" applyBorder="1" applyAlignment="1">
      <alignment horizontal="center" vertical="center"/>
    </xf>
    <xf numFmtId="0" fontId="8" fillId="0" borderId="17" xfId="7" applyFont="1" applyBorder="1" applyAlignment="1">
      <alignment horizontal="center" vertical="center"/>
    </xf>
    <xf numFmtId="41" fontId="8" fillId="0" borderId="17" xfId="8" applyFont="1" applyFill="1" applyBorder="1" applyAlignment="1">
      <alignment horizontal="center" vertical="center"/>
    </xf>
    <xf numFmtId="0" fontId="8" fillId="0" borderId="18" xfId="7" applyFont="1" applyBorder="1" applyAlignment="1">
      <alignment horizontal="left" vertical="center"/>
    </xf>
    <xf numFmtId="180" fontId="8" fillId="0" borderId="7" xfId="7" applyNumberFormat="1" applyFont="1" applyBorder="1" applyAlignment="1">
      <alignment horizontal="center" vertical="center"/>
    </xf>
    <xf numFmtId="0" fontId="8" fillId="0" borderId="6" xfId="7" applyFont="1" applyBorder="1" applyAlignment="1">
      <alignment horizontal="center" vertical="center"/>
    </xf>
    <xf numFmtId="0" fontId="8" fillId="0" borderId="8" xfId="7" applyFont="1" applyBorder="1" applyAlignment="1">
      <alignment horizontal="left" vertical="center"/>
    </xf>
    <xf numFmtId="41" fontId="8" fillId="0" borderId="14" xfId="8" applyFont="1" applyFill="1" applyBorder="1" applyAlignment="1">
      <alignment horizontal="center" vertical="center"/>
    </xf>
    <xf numFmtId="41" fontId="8" fillId="0" borderId="5" xfId="8" applyFont="1" applyFill="1" applyBorder="1" applyAlignment="1">
      <alignment horizontal="center" vertical="center"/>
    </xf>
    <xf numFmtId="180" fontId="8" fillId="0" borderId="19" xfId="7" applyNumberFormat="1" applyFont="1" applyBorder="1" applyAlignment="1">
      <alignment horizontal="center" vertical="center"/>
    </xf>
    <xf numFmtId="0" fontId="8" fillId="0" borderId="20" xfId="7" applyFont="1" applyBorder="1" applyAlignment="1">
      <alignment horizontal="center" vertical="center"/>
    </xf>
    <xf numFmtId="41" fontId="8" fillId="0" borderId="20" xfId="8" applyFont="1" applyFill="1" applyBorder="1" applyAlignment="1">
      <alignment horizontal="center" vertical="center"/>
    </xf>
    <xf numFmtId="0" fontId="8" fillId="0" borderId="21" xfId="7" applyFont="1" applyBorder="1" applyAlignment="1">
      <alignment horizontal="left" vertical="center"/>
    </xf>
    <xf numFmtId="180" fontId="8" fillId="0" borderId="2" xfId="7" applyNumberFormat="1" applyFont="1" applyAlignment="1">
      <alignment horizontal="center" vertical="center"/>
    </xf>
    <xf numFmtId="41" fontId="8" fillId="0" borderId="2" xfId="8" applyFont="1" applyAlignment="1">
      <alignment horizontal="center" vertical="center"/>
    </xf>
    <xf numFmtId="0" fontId="8" fillId="0" borderId="2" xfId="7" applyFont="1" applyAlignment="1">
      <alignment horizontal="left" vertical="center"/>
    </xf>
    <xf numFmtId="55" fontId="8" fillId="0" borderId="17" xfId="7" applyNumberFormat="1" applyFont="1" applyBorder="1" applyAlignment="1">
      <alignment horizontal="center" vertical="center"/>
    </xf>
    <xf numFmtId="55" fontId="8" fillId="0" borderId="6" xfId="7" applyNumberFormat="1" applyFont="1" applyBorder="1" applyAlignment="1">
      <alignment horizontal="center" vertical="center"/>
    </xf>
    <xf numFmtId="55" fontId="8" fillId="0" borderId="20" xfId="7" applyNumberFormat="1" applyFont="1" applyBorder="1" applyAlignment="1">
      <alignment horizontal="center" vertical="center"/>
    </xf>
    <xf numFmtId="55" fontId="8" fillId="0" borderId="2" xfId="7" applyNumberFormat="1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76" fontId="9" fillId="0" borderId="14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41" fontId="9" fillId="0" borderId="14" xfId="1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41" fontId="9" fillId="0" borderId="6" xfId="1" applyFont="1" applyFill="1" applyBorder="1" applyAlignment="1">
      <alignment horizontal="center" vertical="center"/>
    </xf>
    <xf numFmtId="41" fontId="9" fillId="0" borderId="6" xfId="1" applyFont="1" applyFill="1" applyBorder="1" applyAlignment="1">
      <alignment horizontal="center" vertical="center" wrapText="1"/>
    </xf>
    <xf numFmtId="41" fontId="9" fillId="0" borderId="5" xfId="1" applyFont="1" applyFill="1" applyBorder="1" applyAlignment="1">
      <alignment horizontal="center" vertical="center"/>
    </xf>
    <xf numFmtId="41" fontId="9" fillId="0" borderId="5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41" fontId="9" fillId="0" borderId="20" xfId="1" applyFont="1" applyFill="1" applyBorder="1" applyAlignment="1">
      <alignment horizontal="center" vertical="center"/>
    </xf>
    <xf numFmtId="0" fontId="15" fillId="9" borderId="31" xfId="7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0" fontId="7" fillId="2" borderId="35" xfId="0" applyFont="1" applyFill="1" applyBorder="1" applyAlignment="1">
      <alignment vertical="center"/>
    </xf>
    <xf numFmtId="41" fontId="9" fillId="0" borderId="20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41" fontId="16" fillId="0" borderId="5" xfId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7" fillId="9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181" fontId="16" fillId="0" borderId="0" xfId="0" applyNumberFormat="1" applyFont="1" applyAlignment="1">
      <alignment horizontal="right" vertical="center"/>
    </xf>
    <xf numFmtId="0" fontId="9" fillId="0" borderId="14" xfId="0" quotePrefix="1" applyFont="1" applyBorder="1" applyAlignment="1">
      <alignment horizontal="center" vertical="center"/>
    </xf>
    <xf numFmtId="176" fontId="9" fillId="0" borderId="14" xfId="0" applyNumberFormat="1" applyFont="1" applyBorder="1" applyAlignment="1">
      <alignment horizontal="center" vertical="center"/>
    </xf>
    <xf numFmtId="41" fontId="9" fillId="3" borderId="14" xfId="1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44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76" fontId="9" fillId="0" borderId="48" xfId="0" applyNumberFormat="1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 wrapText="1"/>
    </xf>
    <xf numFmtId="41" fontId="9" fillId="0" borderId="48" xfId="1" applyFont="1" applyBorder="1" applyAlignment="1">
      <alignment horizontal="center" vertical="center"/>
    </xf>
    <xf numFmtId="41" fontId="9" fillId="3" borderId="48" xfId="1" applyFont="1" applyFill="1" applyBorder="1" applyAlignment="1">
      <alignment horizontal="center" vertical="center" wrapText="1"/>
    </xf>
    <xf numFmtId="0" fontId="9" fillId="0" borderId="49" xfId="0" applyFont="1" applyBorder="1" applyAlignment="1">
      <alignment horizontal="left" vertical="center"/>
    </xf>
    <xf numFmtId="0" fontId="9" fillId="0" borderId="41" xfId="0" quotePrefix="1" applyFont="1" applyBorder="1" applyAlignment="1">
      <alignment horizontal="center" vertical="center"/>
    </xf>
    <xf numFmtId="176" fontId="9" fillId="0" borderId="41" xfId="0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41" fontId="9" fillId="0" borderId="41" xfId="1" applyFont="1" applyBorder="1" applyAlignment="1">
      <alignment horizontal="center" vertical="center"/>
    </xf>
    <xf numFmtId="41" fontId="9" fillId="3" borderId="41" xfId="1" applyFont="1" applyFill="1" applyBorder="1" applyAlignment="1">
      <alignment horizontal="center" vertical="center"/>
    </xf>
    <xf numFmtId="0" fontId="9" fillId="0" borderId="42" xfId="0" applyFont="1" applyBorder="1" applyAlignment="1">
      <alignment vertical="center"/>
    </xf>
    <xf numFmtId="41" fontId="8" fillId="0" borderId="52" xfId="8" applyFont="1" applyFill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41" fontId="15" fillId="0" borderId="5" xfId="1" applyFont="1" applyBorder="1" applyAlignment="1">
      <alignment horizontal="center" vertical="center"/>
    </xf>
    <xf numFmtId="41" fontId="15" fillId="0" borderId="56" xfId="1" applyFont="1" applyBorder="1" applyAlignment="1">
      <alignment horizontal="center" vertical="center"/>
    </xf>
    <xf numFmtId="41" fontId="15" fillId="3" borderId="62" xfId="1" applyFont="1" applyFill="1" applyBorder="1" applyAlignment="1">
      <alignment horizontal="center" vertical="center"/>
    </xf>
    <xf numFmtId="41" fontId="15" fillId="3" borderId="63" xfId="0" applyNumberFormat="1" applyFont="1" applyFill="1" applyBorder="1" applyAlignment="1">
      <alignment horizontal="center" vertical="center"/>
    </xf>
    <xf numFmtId="41" fontId="9" fillId="0" borderId="0" xfId="0" applyNumberFormat="1" applyFont="1" applyAlignment="1">
      <alignment vertical="center"/>
    </xf>
    <xf numFmtId="41" fontId="16" fillId="0" borderId="0" xfId="0" applyNumberFormat="1" applyFont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/>
    </xf>
    <xf numFmtId="0" fontId="9" fillId="0" borderId="20" xfId="0" quotePrefix="1" applyFont="1" applyFill="1" applyBorder="1" applyAlignment="1">
      <alignment horizontal="center" vertical="center"/>
    </xf>
    <xf numFmtId="176" fontId="9" fillId="0" borderId="20" xfId="0" applyNumberFormat="1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left" vertical="center"/>
    </xf>
    <xf numFmtId="0" fontId="9" fillId="0" borderId="21" xfId="0" applyFont="1" applyFill="1" applyBorder="1" applyAlignment="1">
      <alignment horizontal="left" vertical="center"/>
    </xf>
    <xf numFmtId="180" fontId="8" fillId="0" borderId="9" xfId="7" applyNumberFormat="1" applyFont="1" applyFill="1" applyBorder="1" applyAlignment="1">
      <alignment horizontal="center" vertical="center"/>
    </xf>
    <xf numFmtId="55" fontId="8" fillId="0" borderId="5" xfId="7" applyNumberFormat="1" applyFont="1" applyFill="1" applyBorder="1" applyAlignment="1">
      <alignment horizontal="center" vertical="center"/>
    </xf>
    <xf numFmtId="0" fontId="8" fillId="0" borderId="5" xfId="7" applyFont="1" applyFill="1" applyBorder="1" applyAlignment="1">
      <alignment horizontal="center" vertical="center"/>
    </xf>
    <xf numFmtId="0" fontId="8" fillId="0" borderId="10" xfId="7" applyFont="1" applyFill="1" applyBorder="1" applyAlignment="1">
      <alignment horizontal="left" vertical="center"/>
    </xf>
    <xf numFmtId="180" fontId="8" fillId="0" borderId="51" xfId="7" applyNumberFormat="1" applyFont="1" applyFill="1" applyBorder="1" applyAlignment="1">
      <alignment horizontal="center" vertical="center"/>
    </xf>
    <xf numFmtId="55" fontId="8" fillId="0" borderId="52" xfId="7" applyNumberFormat="1" applyFont="1" applyFill="1" applyBorder="1" applyAlignment="1">
      <alignment horizontal="center" vertical="center"/>
    </xf>
    <xf numFmtId="0" fontId="8" fillId="0" borderId="52" xfId="7" applyFont="1" applyFill="1" applyBorder="1" applyAlignment="1">
      <alignment horizontal="center" vertical="center"/>
    </xf>
    <xf numFmtId="0" fontId="8" fillId="0" borderId="53" xfId="7" applyFont="1" applyFill="1" applyBorder="1" applyAlignment="1">
      <alignment horizontal="left" vertical="center"/>
    </xf>
    <xf numFmtId="180" fontId="8" fillId="0" borderId="19" xfId="7" applyNumberFormat="1" applyFont="1" applyFill="1" applyBorder="1" applyAlignment="1">
      <alignment horizontal="center" vertical="center"/>
    </xf>
    <xf numFmtId="55" fontId="8" fillId="0" borderId="20" xfId="7" applyNumberFormat="1" applyFont="1" applyFill="1" applyBorder="1" applyAlignment="1">
      <alignment horizontal="center" vertical="center"/>
    </xf>
    <xf numFmtId="0" fontId="8" fillId="0" borderId="20" xfId="7" applyFont="1" applyFill="1" applyBorder="1" applyAlignment="1">
      <alignment horizontal="center" vertical="center"/>
    </xf>
    <xf numFmtId="0" fontId="8" fillId="0" borderId="21" xfId="7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 wrapText="1"/>
    </xf>
    <xf numFmtId="180" fontId="8" fillId="0" borderId="7" xfId="7" applyNumberFormat="1" applyFont="1" applyFill="1" applyBorder="1" applyAlignment="1">
      <alignment horizontal="center" vertical="center"/>
    </xf>
    <xf numFmtId="55" fontId="8" fillId="0" borderId="6" xfId="7" applyNumberFormat="1" applyFont="1" applyFill="1" applyBorder="1" applyAlignment="1">
      <alignment horizontal="center" vertical="center"/>
    </xf>
    <xf numFmtId="0" fontId="8" fillId="0" borderId="6" xfId="7" applyFont="1" applyFill="1" applyBorder="1" applyAlignment="1">
      <alignment horizontal="center" vertical="center"/>
    </xf>
    <xf numFmtId="0" fontId="8" fillId="0" borderId="8" xfId="7" applyFont="1" applyFill="1" applyBorder="1" applyAlignment="1">
      <alignment horizontal="left" vertical="center"/>
    </xf>
    <xf numFmtId="0" fontId="9" fillId="0" borderId="42" xfId="0" applyFont="1" applyBorder="1" applyAlignment="1">
      <alignment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0" borderId="17" xfId="0" quotePrefix="1" applyFont="1" applyBorder="1" applyAlignment="1">
      <alignment horizontal="center" vertical="center"/>
    </xf>
    <xf numFmtId="176" fontId="9" fillId="0" borderId="17" xfId="0" applyNumberFormat="1" applyFont="1" applyBorder="1" applyAlignment="1">
      <alignment horizontal="center" vertical="center"/>
    </xf>
    <xf numFmtId="41" fontId="9" fillId="3" borderId="17" xfId="1" applyFont="1" applyFill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9" fillId="0" borderId="16" xfId="0" applyFont="1" applyFill="1" applyBorder="1" applyAlignment="1">
      <alignment horizontal="center" vertical="center"/>
    </xf>
    <xf numFmtId="176" fontId="9" fillId="0" borderId="17" xfId="0" applyNumberFormat="1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 wrapText="1"/>
    </xf>
    <xf numFmtId="41" fontId="9" fillId="0" borderId="17" xfId="1" applyFont="1" applyFill="1" applyBorder="1" applyAlignment="1">
      <alignment horizontal="center" vertical="center"/>
    </xf>
    <xf numFmtId="41" fontId="9" fillId="0" borderId="17" xfId="1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left" vertical="center"/>
    </xf>
    <xf numFmtId="41" fontId="8" fillId="0" borderId="6" xfId="8" applyFont="1" applyFill="1" applyBorder="1" applyAlignment="1">
      <alignment horizontal="center" vertical="center"/>
    </xf>
    <xf numFmtId="1" fontId="25" fillId="2" borderId="31" xfId="4" applyNumberFormat="1" applyFont="1" applyFill="1" applyBorder="1" applyAlignment="1">
      <alignment horizontal="center" vertical="center"/>
    </xf>
    <xf numFmtId="180" fontId="8" fillId="0" borderId="16" xfId="7" applyNumberFormat="1" applyFont="1" applyFill="1" applyBorder="1" applyAlignment="1">
      <alignment horizontal="center" vertical="center"/>
    </xf>
    <xf numFmtId="55" fontId="8" fillId="0" borderId="17" xfId="7" applyNumberFormat="1" applyFont="1" applyFill="1" applyBorder="1" applyAlignment="1">
      <alignment horizontal="center" vertical="center"/>
    </xf>
    <xf numFmtId="0" fontId="8" fillId="0" borderId="17" xfId="7" applyFont="1" applyFill="1" applyBorder="1" applyAlignment="1">
      <alignment horizontal="center" vertical="center"/>
    </xf>
    <xf numFmtId="0" fontId="8" fillId="0" borderId="18" xfId="7" applyFont="1" applyFill="1" applyBorder="1" applyAlignment="1">
      <alignment horizontal="left" vertical="center" shrinkToFit="1"/>
    </xf>
    <xf numFmtId="0" fontId="9" fillId="0" borderId="51" xfId="0" applyFont="1" applyFill="1" applyBorder="1" applyAlignment="1">
      <alignment horizontal="center" vertical="center"/>
    </xf>
    <xf numFmtId="176" fontId="9" fillId="0" borderId="52" xfId="0" applyNumberFormat="1" applyFont="1" applyFill="1" applyBorder="1" applyAlignment="1">
      <alignment horizontal="center" vertical="center" wrapText="1"/>
    </xf>
    <xf numFmtId="0" fontId="9" fillId="0" borderId="52" xfId="0" applyFont="1" applyFill="1" applyBorder="1" applyAlignment="1">
      <alignment horizontal="center" vertical="center"/>
    </xf>
    <xf numFmtId="0" fontId="9" fillId="0" borderId="52" xfId="0" applyFont="1" applyFill="1" applyBorder="1" applyAlignment="1">
      <alignment horizontal="center" vertical="center" wrapText="1"/>
    </xf>
    <xf numFmtId="41" fontId="9" fillId="0" borderId="52" xfId="1" applyFont="1" applyFill="1" applyBorder="1" applyAlignment="1">
      <alignment horizontal="center" vertical="center"/>
    </xf>
    <xf numFmtId="41" fontId="9" fillId="0" borderId="52" xfId="1" applyFont="1" applyFill="1" applyBorder="1" applyAlignment="1">
      <alignment horizontal="center" vertical="center" wrapText="1"/>
    </xf>
    <xf numFmtId="0" fontId="9" fillId="0" borderId="53" xfId="0" applyFont="1" applyFill="1" applyBorder="1" applyAlignment="1">
      <alignment horizontal="left" vertical="center"/>
    </xf>
    <xf numFmtId="0" fontId="9" fillId="0" borderId="21" xfId="0" applyFont="1" applyFill="1" applyBorder="1" applyAlignment="1">
      <alignment horizontal="left" vertical="center" wrapText="1"/>
    </xf>
    <xf numFmtId="0" fontId="9" fillId="0" borderId="51" xfId="0" applyFont="1" applyBorder="1" applyAlignment="1">
      <alignment horizontal="center" vertical="center"/>
    </xf>
    <xf numFmtId="0" fontId="9" fillId="0" borderId="64" xfId="0" quotePrefix="1" applyFont="1" applyBorder="1" applyAlignment="1">
      <alignment horizontal="center" vertical="center"/>
    </xf>
    <xf numFmtId="176" fontId="9" fillId="0" borderId="64" xfId="0" applyNumberFormat="1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41" fontId="9" fillId="0" borderId="64" xfId="1" applyFont="1" applyBorder="1" applyAlignment="1">
      <alignment horizontal="center" vertical="center"/>
    </xf>
    <xf numFmtId="41" fontId="9" fillId="3" borderId="64" xfId="1" applyFont="1" applyFill="1" applyBorder="1" applyAlignment="1">
      <alignment horizontal="center" vertical="center"/>
    </xf>
    <xf numFmtId="0" fontId="9" fillId="0" borderId="65" xfId="0" applyFont="1" applyBorder="1" applyAlignment="1">
      <alignment vertical="center"/>
    </xf>
    <xf numFmtId="0" fontId="9" fillId="0" borderId="15" xfId="0" applyFont="1" applyBorder="1" applyAlignment="1">
      <alignment vertical="center" shrinkToFit="1"/>
    </xf>
    <xf numFmtId="0" fontId="8" fillId="7" borderId="20" xfId="7" applyFont="1" applyFill="1" applyBorder="1" applyAlignment="1">
      <alignment horizontal="center" vertical="center"/>
    </xf>
    <xf numFmtId="0" fontId="8" fillId="7" borderId="21" xfId="7" applyFont="1" applyFill="1" applyBorder="1" applyAlignment="1">
      <alignment horizontal="left" vertical="center" wrapText="1"/>
    </xf>
    <xf numFmtId="55" fontId="8" fillId="7" borderId="20" xfId="7" applyNumberFormat="1" applyFont="1" applyFill="1" applyBorder="1" applyAlignment="1">
      <alignment horizontal="center" vertical="center"/>
    </xf>
    <xf numFmtId="180" fontId="8" fillId="7" borderId="19" xfId="7" applyNumberFormat="1" applyFont="1" applyFill="1" applyBorder="1" applyAlignment="1">
      <alignment horizontal="center" vertical="center"/>
    </xf>
    <xf numFmtId="0" fontId="8" fillId="7" borderId="20" xfId="7" quotePrefix="1" applyFont="1" applyFill="1" applyBorder="1" applyAlignment="1">
      <alignment horizontal="center" vertical="center"/>
    </xf>
    <xf numFmtId="41" fontId="8" fillId="7" borderId="20" xfId="8" applyFont="1" applyFill="1" applyBorder="1" applyAlignment="1">
      <alignment horizontal="center" vertical="center"/>
    </xf>
    <xf numFmtId="14" fontId="26" fillId="0" borderId="66" xfId="4" applyNumberFormat="1" applyFont="1" applyBorder="1" applyAlignment="1">
      <alignment horizontal="center" vertical="center"/>
    </xf>
    <xf numFmtId="0" fontId="8" fillId="0" borderId="20" xfId="4" applyFont="1" applyBorder="1" applyAlignment="1">
      <alignment horizontal="center" vertical="center"/>
    </xf>
    <xf numFmtId="0" fontId="26" fillId="0" borderId="20" xfId="4" applyFont="1" applyBorder="1" applyAlignment="1">
      <alignment horizontal="center" vertical="center"/>
    </xf>
    <xf numFmtId="41" fontId="26" fillId="0" borderId="20" xfId="5" applyFont="1" applyFill="1" applyBorder="1" applyAlignment="1">
      <alignment horizontal="center" vertical="center"/>
    </xf>
    <xf numFmtId="41" fontId="26" fillId="0" borderId="66" xfId="5" applyFont="1" applyFill="1" applyBorder="1" applyAlignment="1">
      <alignment horizontal="center" vertical="center"/>
    </xf>
    <xf numFmtId="14" fontId="26" fillId="0" borderId="67" xfId="4" applyNumberFormat="1" applyFont="1" applyBorder="1" applyAlignment="1">
      <alignment horizontal="center" vertical="center"/>
    </xf>
    <xf numFmtId="41" fontId="26" fillId="0" borderId="17" xfId="5" applyFont="1" applyFill="1" applyBorder="1" applyAlignment="1">
      <alignment horizontal="center" vertical="center"/>
    </xf>
    <xf numFmtId="41" fontId="26" fillId="0" borderId="67" xfId="5" applyFont="1" applyFill="1" applyBorder="1" applyAlignment="1">
      <alignment horizontal="center" vertical="center"/>
    </xf>
    <xf numFmtId="41" fontId="9" fillId="3" borderId="41" xfId="1" applyFont="1" applyFill="1" applyBorder="1" applyAlignment="1">
      <alignment horizontal="center" vertical="center" wrapText="1"/>
    </xf>
    <xf numFmtId="0" fontId="9" fillId="0" borderId="42" xfId="0" applyFont="1" applyBorder="1" applyAlignment="1">
      <alignment vertical="center" shrinkToFit="1"/>
    </xf>
    <xf numFmtId="0" fontId="9" fillId="0" borderId="21" xfId="0" applyFont="1" applyBorder="1" applyAlignment="1">
      <alignment vertical="center" shrinkToFit="1"/>
    </xf>
    <xf numFmtId="0" fontId="9" fillId="0" borderId="8" xfId="0" applyFont="1" applyFill="1" applyBorder="1" applyAlignment="1">
      <alignment horizontal="left" vertical="center" shrinkToFit="1"/>
    </xf>
    <xf numFmtId="0" fontId="9" fillId="0" borderId="10" xfId="0" applyFont="1" applyFill="1" applyBorder="1" applyAlignment="1">
      <alignment horizontal="left" vertical="center" shrinkToFit="1"/>
    </xf>
    <xf numFmtId="0" fontId="9" fillId="0" borderId="21" xfId="0" applyFont="1" applyFill="1" applyBorder="1" applyAlignment="1">
      <alignment horizontal="left" vertical="center" shrinkToFit="1"/>
    </xf>
    <xf numFmtId="0" fontId="9" fillId="0" borderId="41" xfId="0" quotePrefix="1" applyFont="1" applyFill="1" applyBorder="1" applyAlignment="1">
      <alignment horizontal="center" vertical="center"/>
    </xf>
    <xf numFmtId="176" fontId="9" fillId="0" borderId="41" xfId="0" applyNumberFormat="1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horizontal="center" vertical="center"/>
    </xf>
    <xf numFmtId="0" fontId="9" fillId="0" borderId="41" xfId="0" applyFont="1" applyFill="1" applyBorder="1" applyAlignment="1">
      <alignment horizontal="center" vertical="center" wrapText="1"/>
    </xf>
    <xf numFmtId="41" fontId="9" fillId="0" borderId="41" xfId="1" applyFont="1" applyFill="1" applyBorder="1" applyAlignment="1">
      <alignment horizontal="center" vertical="center"/>
    </xf>
    <xf numFmtId="41" fontId="9" fillId="0" borderId="41" xfId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41" fontId="16" fillId="2" borderId="5" xfId="1" applyFont="1" applyFill="1" applyBorder="1" applyAlignment="1">
      <alignment horizontal="center" vertical="center"/>
    </xf>
    <xf numFmtId="41" fontId="15" fillId="2" borderId="5" xfId="1" applyFont="1" applyFill="1" applyBorder="1" applyAlignment="1">
      <alignment horizontal="center" vertical="center"/>
    </xf>
    <xf numFmtId="41" fontId="15" fillId="2" borderId="56" xfId="1" applyFont="1" applyFill="1" applyBorder="1" applyAlignment="1">
      <alignment horizontal="center" vertical="center"/>
    </xf>
    <xf numFmtId="41" fontId="15" fillId="2" borderId="62" xfId="1" applyFont="1" applyFill="1" applyBorder="1" applyAlignment="1">
      <alignment horizontal="center" vertical="center"/>
    </xf>
    <xf numFmtId="0" fontId="16" fillId="2" borderId="59" xfId="0" applyFont="1" applyFill="1" applyBorder="1" applyAlignment="1">
      <alignment horizontal="center" vertical="center"/>
    </xf>
    <xf numFmtId="0" fontId="15" fillId="4" borderId="60" xfId="0" applyFont="1" applyFill="1" applyBorder="1" applyAlignment="1">
      <alignment horizontal="center" vertical="center"/>
    </xf>
    <xf numFmtId="41" fontId="16" fillId="4" borderId="34" xfId="0" applyNumberFormat="1" applyFont="1" applyFill="1" applyBorder="1" applyAlignment="1">
      <alignment horizontal="center" vertical="center"/>
    </xf>
    <xf numFmtId="41" fontId="15" fillId="4" borderId="34" xfId="0" applyNumberFormat="1" applyFont="1" applyFill="1" applyBorder="1" applyAlignment="1">
      <alignment horizontal="center" vertical="center"/>
    </xf>
    <xf numFmtId="41" fontId="15" fillId="4" borderId="57" xfId="0" applyNumberFormat="1" applyFont="1" applyFill="1" applyBorder="1" applyAlignment="1">
      <alignment horizontal="center" vertical="center"/>
    </xf>
    <xf numFmtId="180" fontId="8" fillId="0" borderId="43" xfId="7" applyNumberFormat="1" applyFont="1" applyFill="1" applyBorder="1" applyAlignment="1">
      <alignment horizontal="center" vertical="center"/>
    </xf>
    <xf numFmtId="55" fontId="8" fillId="0" borderId="14" xfId="7" applyNumberFormat="1" applyFont="1" applyFill="1" applyBorder="1" applyAlignment="1">
      <alignment horizontal="center" vertical="center"/>
    </xf>
    <xf numFmtId="0" fontId="8" fillId="0" borderId="14" xfId="7" applyFont="1" applyFill="1" applyBorder="1" applyAlignment="1">
      <alignment horizontal="center" vertical="center"/>
    </xf>
    <xf numFmtId="0" fontId="8" fillId="0" borderId="15" xfId="7" applyFont="1" applyFill="1" applyBorder="1" applyAlignment="1">
      <alignment horizontal="left" vertical="center"/>
    </xf>
    <xf numFmtId="0" fontId="8" fillId="0" borderId="18" xfId="7" applyFont="1" applyFill="1" applyBorder="1" applyAlignment="1">
      <alignment horizontal="left" vertical="center"/>
    </xf>
    <xf numFmtId="41" fontId="8" fillId="0" borderId="6" xfId="8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41" fontId="29" fillId="2" borderId="5" xfId="1" applyFont="1" applyFill="1" applyBorder="1" applyAlignment="1">
      <alignment horizontal="center" vertical="center"/>
    </xf>
    <xf numFmtId="41" fontId="30" fillId="2" borderId="56" xfId="1" applyFont="1" applyFill="1" applyBorder="1" applyAlignment="1">
      <alignment horizontal="center" vertical="center"/>
    </xf>
    <xf numFmtId="41" fontId="30" fillId="2" borderId="62" xfId="1" applyFont="1" applyFill="1" applyBorder="1" applyAlignment="1">
      <alignment horizontal="center" vertical="center"/>
    </xf>
    <xf numFmtId="0" fontId="28" fillId="2" borderId="59" xfId="0" applyFont="1" applyFill="1" applyBorder="1" applyAlignment="1">
      <alignment horizontal="center" vertical="center"/>
    </xf>
    <xf numFmtId="41" fontId="8" fillId="0" borderId="6" xfId="8" applyFont="1" applyFill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9" fillId="0" borderId="72" xfId="0" applyFont="1" applyFill="1" applyBorder="1" applyAlignment="1">
      <alignment horizontal="center" vertical="center"/>
    </xf>
    <xf numFmtId="0" fontId="9" fillId="0" borderId="71" xfId="0" applyFont="1" applyFill="1" applyBorder="1" applyAlignment="1">
      <alignment horizontal="center" vertical="center"/>
    </xf>
    <xf numFmtId="0" fontId="9" fillId="0" borderId="73" xfId="0" applyFont="1" applyFill="1" applyBorder="1" applyAlignment="1">
      <alignment horizontal="center" vertical="center"/>
    </xf>
    <xf numFmtId="0" fontId="9" fillId="0" borderId="56" xfId="0" applyFont="1" applyBorder="1" applyAlignment="1">
      <alignment horizontal="left" vertical="center"/>
    </xf>
    <xf numFmtId="0" fontId="9" fillId="0" borderId="68" xfId="0" applyFont="1" applyBorder="1" applyAlignment="1">
      <alignment horizontal="left" vertical="center"/>
    </xf>
    <xf numFmtId="0" fontId="9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left" vertical="center" wrapText="1"/>
    </xf>
    <xf numFmtId="0" fontId="9" fillId="0" borderId="68" xfId="0" applyFont="1" applyBorder="1" applyAlignment="1">
      <alignment vertical="center" wrapText="1"/>
    </xf>
    <xf numFmtId="0" fontId="9" fillId="0" borderId="55" xfId="0" applyFont="1" applyBorder="1" applyAlignment="1">
      <alignment vertical="center" wrapText="1"/>
    </xf>
    <xf numFmtId="0" fontId="9" fillId="0" borderId="69" xfId="0" applyFont="1" applyBorder="1" applyAlignment="1">
      <alignment vertical="center" wrapText="1"/>
    </xf>
    <xf numFmtId="0" fontId="9" fillId="0" borderId="56" xfId="0" applyFont="1" applyBorder="1" applyAlignment="1">
      <alignment vertical="center" wrapText="1"/>
    </xf>
    <xf numFmtId="0" fontId="15" fillId="2" borderId="74" xfId="0" applyFont="1" applyFill="1" applyBorder="1" applyAlignment="1">
      <alignment horizontal="center" vertical="center" wrapText="1"/>
    </xf>
    <xf numFmtId="0" fontId="15" fillId="2" borderId="75" xfId="0" applyFont="1" applyFill="1" applyBorder="1" applyAlignment="1">
      <alignment horizontal="center" vertical="center" wrapText="1"/>
    </xf>
    <xf numFmtId="0" fontId="15" fillId="2" borderId="75" xfId="0" applyFont="1" applyFill="1" applyBorder="1" applyAlignment="1">
      <alignment horizontal="center" vertical="center"/>
    </xf>
    <xf numFmtId="0" fontId="15" fillId="5" borderId="75" xfId="0" applyFont="1" applyFill="1" applyBorder="1" applyAlignment="1">
      <alignment horizontal="center" vertical="center" wrapText="1"/>
    </xf>
    <xf numFmtId="0" fontId="15" fillId="2" borderId="76" xfId="0" applyFont="1" applyFill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41" fontId="9" fillId="0" borderId="14" xfId="1" applyFont="1" applyFill="1" applyBorder="1" applyAlignment="1">
      <alignment horizontal="center" vertical="center" wrapText="1"/>
    </xf>
    <xf numFmtId="0" fontId="9" fillId="0" borderId="78" xfId="0" applyFont="1" applyBorder="1" applyAlignment="1">
      <alignment horizontal="center" vertical="center"/>
    </xf>
    <xf numFmtId="41" fontId="8" fillId="0" borderId="6" xfId="8" applyFont="1" applyFill="1" applyBorder="1" applyAlignment="1">
      <alignment horizontal="center" vertical="center"/>
    </xf>
    <xf numFmtId="41" fontId="8" fillId="0" borderId="6" xfId="8" applyFont="1" applyFill="1" applyBorder="1" applyAlignment="1">
      <alignment horizontal="center" vertical="center"/>
    </xf>
    <xf numFmtId="0" fontId="33" fillId="0" borderId="6" xfId="7" applyFont="1" applyFill="1" applyBorder="1" applyAlignment="1">
      <alignment horizontal="center" vertical="center"/>
    </xf>
    <xf numFmtId="176" fontId="9" fillId="0" borderId="41" xfId="0" applyNumberFormat="1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41" fontId="9" fillId="0" borderId="14" xfId="1" applyFont="1" applyFill="1" applyBorder="1" applyAlignment="1">
      <alignment horizontal="center" vertical="center"/>
    </xf>
    <xf numFmtId="176" fontId="9" fillId="0" borderId="20" xfId="0" applyNumberFormat="1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/>
    </xf>
    <xf numFmtId="41" fontId="8" fillId="0" borderId="6" xfId="8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vertical="center"/>
    </xf>
    <xf numFmtId="0" fontId="9" fillId="0" borderId="10" xfId="0" applyFont="1" applyFill="1" applyBorder="1" applyAlignment="1">
      <alignment vertical="center"/>
    </xf>
    <xf numFmtId="0" fontId="9" fillId="0" borderId="21" xfId="0" applyFont="1" applyFill="1" applyBorder="1" applyAlignment="1">
      <alignment vertical="center"/>
    </xf>
    <xf numFmtId="0" fontId="9" fillId="0" borderId="15" xfId="0" applyFont="1" applyFill="1" applyBorder="1" applyAlignment="1">
      <alignment vertical="center"/>
    </xf>
    <xf numFmtId="41" fontId="8" fillId="0" borderId="45" xfId="8" applyFont="1" applyFill="1" applyBorder="1" applyAlignment="1">
      <alignment horizontal="center" vertical="center"/>
    </xf>
    <xf numFmtId="180" fontId="8" fillId="0" borderId="44" xfId="7" applyNumberFormat="1" applyFont="1" applyBorder="1" applyAlignment="1">
      <alignment horizontal="center" vertical="center"/>
    </xf>
    <xf numFmtId="55" fontId="8" fillId="0" borderId="45" xfId="7" applyNumberFormat="1" applyFont="1" applyFill="1" applyBorder="1" applyAlignment="1">
      <alignment horizontal="center" vertical="center"/>
    </xf>
    <xf numFmtId="0" fontId="8" fillId="0" borderId="45" xfId="7" applyFont="1" applyFill="1" applyBorder="1" applyAlignment="1">
      <alignment horizontal="center" vertical="center"/>
    </xf>
    <xf numFmtId="0" fontId="8" fillId="0" borderId="46" xfId="7" applyFont="1" applyFill="1" applyBorder="1" applyAlignment="1">
      <alignment horizontal="left" vertical="center" wrapText="1"/>
    </xf>
    <xf numFmtId="0" fontId="8" fillId="0" borderId="10" xfId="7" applyFont="1" applyFill="1" applyBorder="1" applyAlignment="1">
      <alignment horizontal="left" vertical="center" wrapText="1"/>
    </xf>
    <xf numFmtId="0" fontId="33" fillId="0" borderId="17" xfId="7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left" vertical="center" shrinkToFit="1"/>
    </xf>
    <xf numFmtId="1" fontId="26" fillId="0" borderId="7" xfId="4" applyNumberFormat="1" applyFont="1" applyBorder="1" applyAlignment="1">
      <alignment horizontal="center" vertical="center"/>
    </xf>
    <xf numFmtId="0" fontId="9" fillId="8" borderId="43" xfId="0" applyFont="1" applyFill="1" applyBorder="1" applyAlignment="1">
      <alignment horizontal="center" vertical="center"/>
    </xf>
    <xf numFmtId="0" fontId="9" fillId="0" borderId="10" xfId="1" applyNumberFormat="1" applyFont="1" applyFill="1" applyBorder="1" applyAlignment="1">
      <alignment horizontal="left" vertical="center" wrapText="1"/>
    </xf>
    <xf numFmtId="0" fontId="9" fillId="0" borderId="21" xfId="1" applyNumberFormat="1" applyFont="1" applyFill="1" applyBorder="1" applyAlignment="1">
      <alignment horizontal="left" vertical="center" wrapText="1"/>
    </xf>
    <xf numFmtId="0" fontId="33" fillId="0" borderId="18" xfId="7" applyFont="1" applyFill="1" applyBorder="1" applyAlignment="1">
      <alignment horizontal="left" vertical="center"/>
    </xf>
    <xf numFmtId="176" fontId="9" fillId="0" borderId="41" xfId="0" applyNumberFormat="1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left" vertical="center"/>
    </xf>
    <xf numFmtId="0" fontId="9" fillId="0" borderId="45" xfId="0" applyFont="1" applyBorder="1" applyAlignment="1">
      <alignment horizontal="center" vertical="center"/>
    </xf>
    <xf numFmtId="176" fontId="9" fillId="0" borderId="45" xfId="0" applyNumberFormat="1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41" fontId="9" fillId="0" borderId="45" xfId="1" applyFont="1" applyBorder="1" applyAlignment="1">
      <alignment horizontal="center" vertical="center"/>
    </xf>
    <xf numFmtId="41" fontId="9" fillId="3" borderId="45" xfId="1" applyFont="1" applyFill="1" applyBorder="1" applyAlignment="1">
      <alignment horizontal="center" vertical="center" wrapText="1"/>
    </xf>
    <xf numFmtId="0" fontId="9" fillId="0" borderId="46" xfId="0" applyFont="1" applyBorder="1" applyAlignment="1">
      <alignment horizontal="left" vertical="center"/>
    </xf>
    <xf numFmtId="176" fontId="9" fillId="0" borderId="17" xfId="0" applyNumberFormat="1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9" fillId="0" borderId="42" xfId="0" applyFont="1" applyFill="1" applyBorder="1" applyAlignment="1">
      <alignment horizontal="left" vertical="center"/>
    </xf>
    <xf numFmtId="0" fontId="9" fillId="0" borderId="43" xfId="0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/>
    </xf>
    <xf numFmtId="0" fontId="15" fillId="0" borderId="5" xfId="0" applyFont="1" applyFill="1" applyBorder="1" applyAlignment="1">
      <alignment horizontal="center" vertical="center"/>
    </xf>
    <xf numFmtId="41" fontId="16" fillId="0" borderId="5" xfId="1" applyFont="1" applyFill="1" applyBorder="1" applyAlignment="1">
      <alignment horizontal="center" vertical="center"/>
    </xf>
    <xf numFmtId="41" fontId="15" fillId="0" borderId="5" xfId="1" applyFont="1" applyFill="1" applyBorder="1" applyAlignment="1">
      <alignment horizontal="center" vertical="center"/>
    </xf>
    <xf numFmtId="41" fontId="15" fillId="0" borderId="56" xfId="1" applyFont="1" applyFill="1" applyBorder="1" applyAlignment="1">
      <alignment horizontal="center" vertical="center"/>
    </xf>
    <xf numFmtId="0" fontId="16" fillId="0" borderId="59" xfId="0" applyFont="1" applyFill="1" applyBorder="1" applyAlignment="1">
      <alignment horizontal="center" vertical="center"/>
    </xf>
    <xf numFmtId="176" fontId="9" fillId="8" borderId="14" xfId="0" applyNumberFormat="1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 wrapText="1"/>
    </xf>
    <xf numFmtId="41" fontId="9" fillId="8" borderId="14" xfId="1" applyFont="1" applyFill="1" applyBorder="1" applyAlignment="1">
      <alignment horizontal="center" vertical="center"/>
    </xf>
    <xf numFmtId="41" fontId="9" fillId="8" borderId="14" xfId="1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left" vertical="center"/>
    </xf>
    <xf numFmtId="0" fontId="9" fillId="0" borderId="45" xfId="0" quotePrefix="1" applyFont="1" applyBorder="1" applyAlignment="1">
      <alignment horizontal="center" vertical="center"/>
    </xf>
    <xf numFmtId="41" fontId="8" fillId="0" borderId="6" xfId="8" applyFont="1" applyFill="1" applyBorder="1" applyAlignment="1">
      <alignment horizontal="center" vertical="center"/>
    </xf>
    <xf numFmtId="41" fontId="8" fillId="0" borderId="45" xfId="8" applyFont="1" applyFill="1" applyBorder="1" applyAlignment="1">
      <alignment horizontal="center" vertical="center"/>
    </xf>
    <xf numFmtId="180" fontId="8" fillId="0" borderId="44" xfId="7" applyNumberFormat="1" applyFont="1" applyFill="1" applyBorder="1" applyAlignment="1">
      <alignment horizontal="center" vertical="center"/>
    </xf>
    <xf numFmtId="0" fontId="8" fillId="0" borderId="46" xfId="7" applyFont="1" applyFill="1" applyBorder="1" applyAlignment="1">
      <alignment horizontal="left" vertical="center"/>
    </xf>
    <xf numFmtId="41" fontId="8" fillId="0" borderId="45" xfId="8" applyFont="1" applyFill="1" applyBorder="1" applyAlignment="1">
      <alignment horizontal="center" vertical="center"/>
    </xf>
    <xf numFmtId="0" fontId="9" fillId="0" borderId="52" xfId="0" quotePrefix="1" applyFont="1" applyBorder="1" applyAlignment="1">
      <alignment horizontal="center" vertical="center"/>
    </xf>
    <xf numFmtId="176" fontId="9" fillId="0" borderId="52" xfId="0" applyNumberFormat="1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 wrapText="1"/>
    </xf>
    <xf numFmtId="41" fontId="9" fillId="0" borderId="52" xfId="1" applyFont="1" applyBorder="1" applyAlignment="1">
      <alignment horizontal="center" vertical="center"/>
    </xf>
    <xf numFmtId="41" fontId="9" fillId="3" borderId="52" xfId="1" applyFont="1" applyFill="1" applyBorder="1" applyAlignment="1">
      <alignment horizontal="center" vertical="center" wrapText="1"/>
    </xf>
    <xf numFmtId="0" fontId="9" fillId="0" borderId="53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shrinkToFit="1"/>
    </xf>
    <xf numFmtId="0" fontId="9" fillId="0" borderId="21" xfId="0" applyFont="1" applyBorder="1" applyAlignment="1">
      <alignment horizontal="left" vertical="center" shrinkToFit="1"/>
    </xf>
    <xf numFmtId="0" fontId="9" fillId="0" borderId="42" xfId="1" applyNumberFormat="1" applyFont="1" applyFill="1" applyBorder="1" applyAlignment="1">
      <alignment horizontal="left" vertical="center" wrapText="1"/>
    </xf>
    <xf numFmtId="176" fontId="9" fillId="0" borderId="45" xfId="0" applyNumberFormat="1" applyFont="1" applyFill="1" applyBorder="1" applyAlignment="1">
      <alignment horizontal="center" vertical="center" wrapText="1"/>
    </xf>
    <xf numFmtId="0" fontId="9" fillId="0" borderId="45" xfId="0" applyFont="1" applyFill="1" applyBorder="1" applyAlignment="1">
      <alignment horizontal="center" vertical="center"/>
    </xf>
    <xf numFmtId="0" fontId="9" fillId="0" borderId="45" xfId="0" applyFont="1" applyFill="1" applyBorder="1" applyAlignment="1">
      <alignment horizontal="center" vertical="center" wrapText="1"/>
    </xf>
    <xf numFmtId="41" fontId="9" fillId="0" borderId="45" xfId="1" applyFont="1" applyFill="1" applyBorder="1" applyAlignment="1">
      <alignment horizontal="center" vertical="center"/>
    </xf>
    <xf numFmtId="41" fontId="9" fillId="0" borderId="45" xfId="1" applyFont="1" applyFill="1" applyBorder="1" applyAlignment="1">
      <alignment horizontal="center" vertical="center" wrapText="1"/>
    </xf>
    <xf numFmtId="0" fontId="32" fillId="0" borderId="46" xfId="0" applyFont="1" applyFill="1" applyBorder="1" applyAlignment="1">
      <alignment horizontal="left" vertical="center"/>
    </xf>
    <xf numFmtId="41" fontId="8" fillId="0" borderId="6" xfId="8" applyFont="1" applyFill="1" applyBorder="1" applyAlignment="1">
      <alignment horizontal="center" vertical="center"/>
    </xf>
    <xf numFmtId="180" fontId="9" fillId="0" borderId="51" xfId="7" applyNumberFormat="1" applyFont="1" applyFill="1" applyBorder="1" applyAlignment="1">
      <alignment horizontal="center" vertical="center"/>
    </xf>
    <xf numFmtId="180" fontId="9" fillId="0" borderId="19" xfId="7" applyNumberFormat="1" applyFont="1" applyFill="1" applyBorder="1" applyAlignment="1">
      <alignment horizontal="center" vertical="center"/>
    </xf>
    <xf numFmtId="0" fontId="32" fillId="0" borderId="53" xfId="0" applyFont="1" applyFill="1" applyBorder="1" applyAlignment="1">
      <alignment horizontal="left" vertical="center"/>
    </xf>
    <xf numFmtId="0" fontId="32" fillId="0" borderId="10" xfId="0" applyFont="1" applyFill="1" applyBorder="1" applyAlignment="1">
      <alignment horizontal="left" vertical="center"/>
    </xf>
    <xf numFmtId="0" fontId="9" fillId="0" borderId="53" xfId="0" applyFont="1" applyBorder="1" applyAlignment="1">
      <alignment horizontal="left" vertical="center" shrinkToFit="1"/>
    </xf>
    <xf numFmtId="0" fontId="9" fillId="8" borderId="5" xfId="0" applyFont="1" applyFill="1" applyBorder="1" applyAlignment="1">
      <alignment horizontal="center" vertical="center"/>
    </xf>
    <xf numFmtId="41" fontId="8" fillId="0" borderId="45" xfId="8" applyFont="1" applyFill="1" applyBorder="1" applyAlignment="1">
      <alignment horizontal="center" vertical="center"/>
    </xf>
    <xf numFmtId="1" fontId="26" fillId="0" borderId="9" xfId="4" applyNumberFormat="1" applyFont="1" applyBorder="1" applyAlignment="1">
      <alignment horizontal="center" vertical="center"/>
    </xf>
    <xf numFmtId="1" fontId="26" fillId="0" borderId="19" xfId="4" applyNumberFormat="1" applyFont="1" applyBorder="1" applyAlignment="1">
      <alignment horizontal="center" vertical="center"/>
    </xf>
    <xf numFmtId="41" fontId="8" fillId="0" borderId="45" xfId="8" applyFont="1" applyFill="1" applyBorder="1" applyAlignment="1">
      <alignment horizontal="center" vertical="center"/>
    </xf>
    <xf numFmtId="41" fontId="8" fillId="0" borderId="6" xfId="8" applyFont="1" applyFill="1" applyBorder="1" applyAlignment="1">
      <alignment horizontal="center" vertical="center"/>
    </xf>
    <xf numFmtId="1" fontId="18" fillId="6" borderId="79" xfId="4" applyNumberFormat="1" applyFont="1" applyFill="1" applyBorder="1" applyAlignment="1">
      <alignment horizontal="center" vertical="center"/>
    </xf>
    <xf numFmtId="1" fontId="26" fillId="0" borderId="70" xfId="4" applyNumberFormat="1" applyFont="1" applyBorder="1" applyAlignment="1">
      <alignment horizontal="center" vertical="center"/>
    </xf>
    <xf numFmtId="1" fontId="26" fillId="0" borderId="80" xfId="4" applyNumberFormat="1" applyFont="1" applyBorder="1" applyAlignment="1">
      <alignment horizontal="center" vertical="center"/>
    </xf>
    <xf numFmtId="1" fontId="26" fillId="0" borderId="72" xfId="4" quotePrefix="1" applyNumberFormat="1" applyFont="1" applyBorder="1" applyAlignment="1">
      <alignment horizontal="center" vertical="center"/>
    </xf>
    <xf numFmtId="1" fontId="26" fillId="0" borderId="71" xfId="4" quotePrefix="1" applyNumberFormat="1" applyFont="1" applyBorder="1" applyAlignment="1">
      <alignment horizontal="center" vertical="center"/>
    </xf>
    <xf numFmtId="1" fontId="26" fillId="0" borderId="70" xfId="4" quotePrefix="1" applyNumberFormat="1" applyFont="1" applyBorder="1" applyAlignment="1">
      <alignment horizontal="center" vertical="center"/>
    </xf>
    <xf numFmtId="0" fontId="8" fillId="0" borderId="8" xfId="4" applyFont="1" applyBorder="1" applyAlignment="1">
      <alignment horizontal="left" vertical="center" shrinkToFit="1"/>
    </xf>
    <xf numFmtId="0" fontId="8" fillId="0" borderId="21" xfId="4" applyFont="1" applyBorder="1" applyAlignment="1">
      <alignment horizontal="left" vertical="center" shrinkToFit="1"/>
    </xf>
    <xf numFmtId="0" fontId="8" fillId="0" borderId="18" xfId="4" applyFont="1" applyBorder="1" applyAlignment="1">
      <alignment horizontal="left" vertical="center" shrinkToFit="1"/>
    </xf>
    <xf numFmtId="0" fontId="8" fillId="0" borderId="10" xfId="4" applyFont="1" applyBorder="1" applyAlignment="1">
      <alignment horizontal="left" vertical="center" shrinkToFit="1"/>
    </xf>
    <xf numFmtId="0" fontId="7" fillId="2" borderId="29" xfId="0" applyFont="1" applyFill="1" applyBorder="1" applyAlignment="1">
      <alignment horizontal="center" vertical="center"/>
    </xf>
    <xf numFmtId="41" fontId="8" fillId="0" borderId="45" xfId="8" applyFont="1" applyFill="1" applyBorder="1" applyAlignment="1">
      <alignment horizontal="center" vertical="center"/>
    </xf>
    <xf numFmtId="41" fontId="8" fillId="0" borderId="41" xfId="8" applyFont="1" applyFill="1" applyBorder="1" applyAlignment="1">
      <alignment horizontal="center" vertical="center"/>
    </xf>
    <xf numFmtId="41" fontId="8" fillId="0" borderId="6" xfId="8" applyFont="1" applyFill="1" applyBorder="1" applyAlignment="1">
      <alignment horizontal="center" vertical="center"/>
    </xf>
    <xf numFmtId="0" fontId="9" fillId="0" borderId="53" xfId="0" applyFont="1" applyFill="1" applyBorder="1" applyAlignment="1">
      <alignment horizontal="left" vertical="center" shrinkToFit="1"/>
    </xf>
    <xf numFmtId="0" fontId="9" fillId="0" borderId="5" xfId="0" quotePrefix="1" applyFont="1" applyFill="1" applyBorder="1" applyAlignment="1">
      <alignment horizontal="center" vertical="center"/>
    </xf>
    <xf numFmtId="180" fontId="9" fillId="0" borderId="16" xfId="7" applyNumberFormat="1" applyFont="1" applyFill="1" applyBorder="1" applyAlignment="1">
      <alignment horizontal="center" vertical="center"/>
    </xf>
    <xf numFmtId="0" fontId="8" fillId="0" borderId="42" xfId="7" applyFont="1" applyFill="1" applyBorder="1" applyAlignment="1">
      <alignment horizontal="left" vertical="center"/>
    </xf>
    <xf numFmtId="180" fontId="9" fillId="0" borderId="7" xfId="7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0" applyNumberFormat="1"/>
    <xf numFmtId="176" fontId="15" fillId="0" borderId="0" xfId="0" applyNumberFormat="1" applyFont="1" applyAlignment="1">
      <alignment vertical="center"/>
    </xf>
    <xf numFmtId="41" fontId="20" fillId="2" borderId="32" xfId="4" applyNumberFormat="1" applyFont="1" applyFill="1" applyBorder="1" applyAlignment="1">
      <alignment horizontal="left" vertical="center"/>
    </xf>
    <xf numFmtId="41" fontId="33" fillId="0" borderId="2" xfId="4" applyNumberFormat="1" applyFont="1">
      <alignment vertical="center"/>
    </xf>
    <xf numFmtId="0" fontId="0" fillId="8" borderId="0" xfId="0" applyFill="1" applyAlignment="1">
      <alignment horizontal="center" vertical="center"/>
    </xf>
    <xf numFmtId="41" fontId="0" fillId="8" borderId="0" xfId="0" applyNumberFormat="1" applyFill="1" applyAlignment="1">
      <alignment horizontal="center" vertical="center"/>
    </xf>
    <xf numFmtId="41" fontId="0" fillId="8" borderId="0" xfId="0" applyNumberFormat="1" applyFill="1" applyAlignment="1">
      <alignment vertical="center"/>
    </xf>
    <xf numFmtId="0" fontId="0" fillId="7" borderId="0" xfId="0" applyFill="1" applyAlignment="1">
      <alignment horizontal="left"/>
    </xf>
    <xf numFmtId="41" fontId="0" fillId="7" borderId="0" xfId="0" applyNumberFormat="1" applyFill="1"/>
    <xf numFmtId="0" fontId="0" fillId="7" borderId="26" xfId="0" applyFill="1" applyBorder="1" applyAlignment="1">
      <alignment horizontal="left"/>
    </xf>
    <xf numFmtId="41" fontId="0" fillId="7" borderId="26" xfId="0" applyNumberFormat="1" applyFill="1" applyBorder="1"/>
    <xf numFmtId="0" fontId="0" fillId="12" borderId="0" xfId="0" applyFill="1" applyAlignment="1">
      <alignment horizontal="center" vertical="center"/>
    </xf>
    <xf numFmtId="0" fontId="0" fillId="0" borderId="0" xfId="0" pivotButton="1"/>
    <xf numFmtId="180" fontId="9" fillId="0" borderId="9" xfId="7" applyNumberFormat="1" applyFont="1" applyFill="1" applyBorder="1" applyAlignment="1">
      <alignment horizontal="center" vertical="center"/>
    </xf>
    <xf numFmtId="41" fontId="8" fillId="0" borderId="6" xfId="8" applyFont="1" applyFill="1" applyBorder="1" applyAlignment="1">
      <alignment horizontal="center" vertical="center"/>
    </xf>
    <xf numFmtId="0" fontId="8" fillId="0" borderId="53" xfId="7" applyFont="1" applyFill="1" applyBorder="1" applyAlignment="1">
      <alignment horizontal="left" vertical="center" wrapText="1"/>
    </xf>
    <xf numFmtId="0" fontId="8" fillId="0" borderId="21" xfId="7" applyFont="1" applyFill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7" fillId="11" borderId="82" xfId="0" applyFont="1" applyFill="1" applyBorder="1" applyAlignment="1">
      <alignment horizontal="center" vertical="center"/>
    </xf>
    <xf numFmtId="0" fontId="7" fillId="11" borderId="83" xfId="0" applyFont="1" applyFill="1" applyBorder="1" applyAlignment="1">
      <alignment horizontal="center" vertical="center"/>
    </xf>
    <xf numFmtId="0" fontId="7" fillId="11" borderId="84" xfId="0" applyFont="1" applyFill="1" applyBorder="1" applyAlignment="1">
      <alignment horizontal="center" vertical="center"/>
    </xf>
    <xf numFmtId="0" fontId="9" fillId="7" borderId="85" xfId="0" applyFont="1" applyFill="1" applyBorder="1" applyAlignment="1">
      <alignment horizontal="center" vertical="center"/>
    </xf>
    <xf numFmtId="41" fontId="9" fillId="7" borderId="86" xfId="1" applyFont="1" applyFill="1" applyBorder="1" applyAlignment="1">
      <alignment horizontal="center" vertical="center"/>
    </xf>
    <xf numFmtId="9" fontId="9" fillId="7" borderId="87" xfId="9" applyFont="1" applyFill="1" applyBorder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41" fontId="9" fillId="0" borderId="89" xfId="1" applyFont="1" applyBorder="1" applyAlignment="1">
      <alignment horizontal="center" vertical="center"/>
    </xf>
    <xf numFmtId="9" fontId="9" fillId="0" borderId="90" xfId="9" applyFont="1" applyBorder="1" applyAlignment="1">
      <alignment horizontal="center" vertical="center"/>
    </xf>
    <xf numFmtId="0" fontId="7" fillId="11" borderId="91" xfId="0" applyFont="1" applyFill="1" applyBorder="1" applyAlignment="1">
      <alignment horizontal="center" vertical="center"/>
    </xf>
    <xf numFmtId="0" fontId="7" fillId="11" borderId="92" xfId="0" applyFont="1" applyFill="1" applyBorder="1" applyAlignment="1">
      <alignment horizontal="center" vertical="center"/>
    </xf>
    <xf numFmtId="0" fontId="7" fillId="11" borderId="93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41" fontId="7" fillId="0" borderId="3" xfId="0" applyNumberFormat="1" applyFont="1" applyBorder="1" applyAlignment="1">
      <alignment horizontal="center" vertical="center"/>
    </xf>
    <xf numFmtId="9" fontId="7" fillId="0" borderId="25" xfId="0" applyNumberFormat="1" applyFont="1" applyBorder="1" applyAlignment="1">
      <alignment horizontal="center" vertical="center"/>
    </xf>
    <xf numFmtId="41" fontId="9" fillId="7" borderId="86" xfId="0" applyNumberFormat="1" applyFont="1" applyFill="1" applyBorder="1" applyAlignment="1">
      <alignment horizontal="center" vertical="center"/>
    </xf>
    <xf numFmtId="41" fontId="9" fillId="0" borderId="86" xfId="0" applyNumberFormat="1" applyFont="1" applyBorder="1" applyAlignment="1">
      <alignment horizontal="center" vertical="center"/>
    </xf>
    <xf numFmtId="0" fontId="16" fillId="0" borderId="85" xfId="0" applyFont="1" applyBorder="1" applyAlignment="1">
      <alignment horizontal="center" vertical="center"/>
    </xf>
    <xf numFmtId="41" fontId="16" fillId="0" borderId="86" xfId="1" applyFont="1" applyBorder="1" applyAlignment="1">
      <alignment horizontal="center" vertical="center"/>
    </xf>
    <xf numFmtId="9" fontId="16" fillId="0" borderId="87" xfId="9" applyFont="1" applyBorder="1" applyAlignment="1">
      <alignment horizontal="center" vertical="center"/>
    </xf>
    <xf numFmtId="0" fontId="16" fillId="0" borderId="88" xfId="0" applyFont="1" applyBorder="1" applyAlignment="1">
      <alignment horizontal="center" vertical="center"/>
    </xf>
    <xf numFmtId="41" fontId="16" fillId="0" borderId="89" xfId="1" applyFont="1" applyBorder="1" applyAlignment="1">
      <alignment horizontal="center" vertical="center"/>
    </xf>
    <xf numFmtId="9" fontId="16" fillId="0" borderId="90" xfId="9" applyFont="1" applyBorder="1" applyAlignment="1">
      <alignment horizontal="center" vertical="center"/>
    </xf>
    <xf numFmtId="0" fontId="35" fillId="0" borderId="0" xfId="0" pivotButton="1" applyFont="1"/>
    <xf numFmtId="0" fontId="35" fillId="0" borderId="0" xfId="0" applyFont="1"/>
    <xf numFmtId="0" fontId="15" fillId="0" borderId="0" xfId="0" applyFont="1" applyAlignment="1">
      <alignment horizontal="center" vertical="center"/>
    </xf>
    <xf numFmtId="41" fontId="8" fillId="0" borderId="6" xfId="8" applyFont="1" applyFill="1" applyBorder="1" applyAlignment="1">
      <alignment horizontal="center" vertical="center"/>
    </xf>
    <xf numFmtId="0" fontId="8" fillId="0" borderId="8" xfId="7" applyFont="1" applyFill="1" applyBorder="1" applyAlignment="1">
      <alignment horizontal="left" vertical="center" wrapText="1"/>
    </xf>
    <xf numFmtId="0" fontId="15" fillId="13" borderId="91" xfId="0" applyFont="1" applyFill="1" applyBorder="1" applyAlignment="1">
      <alignment horizontal="center" vertical="center"/>
    </xf>
    <xf numFmtId="0" fontId="15" fillId="13" borderId="92" xfId="0" applyFont="1" applyFill="1" applyBorder="1" applyAlignment="1">
      <alignment horizontal="center" vertical="center"/>
    </xf>
    <xf numFmtId="0" fontId="15" fillId="13" borderId="93" xfId="0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41" fontId="15" fillId="0" borderId="3" xfId="1" applyFont="1" applyBorder="1" applyAlignment="1">
      <alignment horizontal="center" vertical="center"/>
    </xf>
    <xf numFmtId="9" fontId="15" fillId="0" borderId="25" xfId="9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41" fontId="8" fillId="0" borderId="6" xfId="8" applyFont="1" applyFill="1" applyBorder="1" applyAlignment="1">
      <alignment horizontal="center" vertical="center"/>
    </xf>
    <xf numFmtId="1" fontId="26" fillId="0" borderId="72" xfId="4" quotePrefix="1" applyNumberFormat="1" applyFont="1" applyFill="1" applyBorder="1" applyAlignment="1">
      <alignment horizontal="center" vertical="center"/>
    </xf>
    <xf numFmtId="14" fontId="26" fillId="0" borderId="37" xfId="4" applyNumberFormat="1" applyFont="1" applyFill="1" applyBorder="1" applyAlignment="1">
      <alignment horizontal="center" vertical="center"/>
    </xf>
    <xf numFmtId="0" fontId="8" fillId="0" borderId="6" xfId="4" applyFont="1" applyFill="1" applyBorder="1" applyAlignment="1">
      <alignment horizontal="center" vertical="center"/>
    </xf>
    <xf numFmtId="0" fontId="26" fillId="0" borderId="6" xfId="4" applyFont="1" applyFill="1" applyBorder="1" applyAlignment="1">
      <alignment horizontal="center" vertical="center"/>
    </xf>
    <xf numFmtId="0" fontId="8" fillId="0" borderId="8" xfId="4" applyFont="1" applyFill="1" applyBorder="1" applyAlignment="1">
      <alignment horizontal="left" vertical="center" shrinkToFit="1"/>
    </xf>
    <xf numFmtId="14" fontId="26" fillId="0" borderId="36" xfId="4" applyNumberFormat="1" applyFont="1" applyFill="1" applyBorder="1" applyAlignment="1">
      <alignment horizontal="center" vertical="center"/>
    </xf>
    <xf numFmtId="0" fontId="8" fillId="0" borderId="5" xfId="4" applyFont="1" applyFill="1" applyBorder="1" applyAlignment="1">
      <alignment horizontal="center" vertical="center"/>
    </xf>
    <xf numFmtId="0" fontId="26" fillId="0" borderId="5" xfId="4" applyFont="1" applyFill="1" applyBorder="1" applyAlignment="1">
      <alignment horizontal="center" vertical="center"/>
    </xf>
    <xf numFmtId="0" fontId="8" fillId="0" borderId="20" xfId="4" applyFont="1" applyFill="1" applyBorder="1" applyAlignment="1">
      <alignment horizontal="center" vertical="center"/>
    </xf>
    <xf numFmtId="0" fontId="26" fillId="0" borderId="20" xfId="4" applyFont="1" applyFill="1" applyBorder="1" applyAlignment="1">
      <alignment horizontal="center" vertical="center"/>
    </xf>
    <xf numFmtId="0" fontId="8" fillId="0" borderId="21" xfId="4" applyFont="1" applyFill="1" applyBorder="1" applyAlignment="1">
      <alignment horizontal="left" vertical="center" shrinkToFit="1"/>
    </xf>
    <xf numFmtId="0" fontId="9" fillId="0" borderId="6" xfId="7" applyFont="1" applyFill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41" fontId="9" fillId="0" borderId="41" xfId="1" applyFont="1" applyBorder="1" applyAlignment="1">
      <alignment horizontal="center" vertical="center" wrapText="1"/>
    </xf>
    <xf numFmtId="0" fontId="9" fillId="0" borderId="69" xfId="1" applyNumberFormat="1" applyFont="1" applyBorder="1" applyAlignment="1">
      <alignment horizontal="left" vertical="center" wrapText="1"/>
    </xf>
    <xf numFmtId="0" fontId="9" fillId="0" borderId="94" xfId="0" applyFont="1" applyBorder="1" applyAlignment="1">
      <alignment horizontal="center" vertical="center"/>
    </xf>
    <xf numFmtId="41" fontId="9" fillId="0" borderId="45" xfId="1" applyFont="1" applyBorder="1" applyAlignment="1">
      <alignment horizontal="center" vertical="center" wrapText="1"/>
    </xf>
    <xf numFmtId="0" fontId="9" fillId="0" borderId="95" xfId="1" applyNumberFormat="1" applyFont="1" applyBorder="1" applyAlignment="1">
      <alignment horizontal="left" vertical="center" wrapText="1"/>
    </xf>
    <xf numFmtId="0" fontId="9" fillId="0" borderId="94" xfId="0" applyFont="1" applyFill="1" applyBorder="1" applyAlignment="1">
      <alignment horizontal="center" vertical="center"/>
    </xf>
    <xf numFmtId="0" fontId="9" fillId="0" borderId="45" xfId="0" quotePrefix="1" applyFont="1" applyFill="1" applyBorder="1" applyAlignment="1">
      <alignment horizontal="center" vertical="center"/>
    </xf>
    <xf numFmtId="0" fontId="9" fillId="0" borderId="95" xfId="0" applyFont="1" applyBorder="1" applyAlignment="1">
      <alignment vertical="center" wrapText="1"/>
    </xf>
    <xf numFmtId="0" fontId="9" fillId="0" borderId="70" xfId="0" applyFont="1" applyFill="1" applyBorder="1" applyAlignment="1">
      <alignment horizontal="center" vertical="center"/>
    </xf>
    <xf numFmtId="41" fontId="8" fillId="0" borderId="6" xfId="8" applyFont="1" applyFill="1" applyBorder="1" applyAlignment="1">
      <alignment horizontal="center" vertical="center"/>
    </xf>
    <xf numFmtId="41" fontId="8" fillId="0" borderId="6" xfId="8" applyFont="1" applyFill="1" applyBorder="1" applyAlignment="1">
      <alignment horizontal="center" vertical="center"/>
    </xf>
    <xf numFmtId="0" fontId="31" fillId="0" borderId="5" xfId="0" applyFont="1" applyFill="1" applyBorder="1" applyAlignment="1">
      <alignment horizontal="center" vertical="center" wrapText="1"/>
    </xf>
    <xf numFmtId="0" fontId="31" fillId="0" borderId="6" xfId="4" applyFont="1" applyFill="1" applyBorder="1" applyAlignment="1">
      <alignment horizontal="center" vertical="center"/>
    </xf>
    <xf numFmtId="1" fontId="26" fillId="0" borderId="71" xfId="4" quotePrefix="1" applyNumberFormat="1" applyFont="1" applyFill="1" applyBorder="1" applyAlignment="1">
      <alignment horizontal="center" vertical="center"/>
    </xf>
    <xf numFmtId="14" fontId="26" fillId="0" borderId="66" xfId="4" applyNumberFormat="1" applyFont="1" applyFill="1" applyBorder="1" applyAlignment="1">
      <alignment horizontal="center" vertical="center"/>
    </xf>
    <xf numFmtId="0" fontId="9" fillId="0" borderId="6" xfId="4" applyFont="1" applyFill="1" applyBorder="1" applyAlignment="1">
      <alignment horizontal="center" vertical="center"/>
    </xf>
    <xf numFmtId="41" fontId="26" fillId="0" borderId="6" xfId="1" applyFont="1" applyFill="1" applyBorder="1" applyAlignment="1">
      <alignment horizontal="center" vertical="center"/>
    </xf>
    <xf numFmtId="41" fontId="26" fillId="0" borderId="5" xfId="1" applyFont="1" applyFill="1" applyBorder="1" applyAlignment="1">
      <alignment horizontal="center" vertical="center"/>
    </xf>
    <xf numFmtId="0" fontId="9" fillId="8" borderId="5" xfId="0" quotePrefix="1" applyFont="1" applyFill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41" fontId="7" fillId="0" borderId="4" xfId="0" applyNumberFormat="1" applyFont="1" applyBorder="1" applyAlignment="1">
      <alignment horizontal="center" vertical="center"/>
    </xf>
    <xf numFmtId="9" fontId="7" fillId="0" borderId="2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9" fontId="9" fillId="0" borderId="2" xfId="9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1" fontId="7" fillId="0" borderId="2" xfId="0" applyNumberFormat="1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4" borderId="34" xfId="0" applyFont="1" applyFill="1" applyBorder="1" applyAlignment="1">
      <alignment horizontal="center" vertical="center"/>
    </xf>
    <xf numFmtId="0" fontId="27" fillId="3" borderId="22" xfId="0" applyFont="1" applyFill="1" applyBorder="1" applyAlignment="1">
      <alignment horizontal="center" vertical="center"/>
    </xf>
    <xf numFmtId="0" fontId="27" fillId="3" borderId="61" xfId="0" applyFont="1" applyFill="1" applyBorder="1" applyAlignment="1">
      <alignment horizontal="center" vertical="center"/>
    </xf>
    <xf numFmtId="0" fontId="27" fillId="9" borderId="23" xfId="0" applyFont="1" applyFill="1" applyBorder="1" applyAlignment="1">
      <alignment horizontal="center" vertical="center"/>
    </xf>
    <xf numFmtId="0" fontId="27" fillId="9" borderId="58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7" fillId="9" borderId="48" xfId="0" applyFont="1" applyFill="1" applyBorder="1" applyAlignment="1">
      <alignment horizontal="center" vertical="center"/>
    </xf>
    <xf numFmtId="0" fontId="27" fillId="9" borderId="47" xfId="0" applyFont="1" applyFill="1" applyBorder="1" applyAlignment="1">
      <alignment horizontal="center" vertical="center"/>
    </xf>
    <xf numFmtId="0" fontId="27" fillId="9" borderId="9" xfId="0" applyFont="1" applyFill="1" applyBorder="1" applyAlignment="1">
      <alignment horizontal="center" vertical="center"/>
    </xf>
    <xf numFmtId="0" fontId="27" fillId="9" borderId="5" xfId="0" applyFont="1" applyFill="1" applyBorder="1" applyAlignment="1">
      <alignment horizontal="center" vertical="center"/>
    </xf>
    <xf numFmtId="0" fontId="27" fillId="10" borderId="50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center" vertical="center"/>
    </xf>
    <xf numFmtId="0" fontId="27" fillId="10" borderId="54" xfId="0" applyFont="1" applyFill="1" applyBorder="1" applyAlignment="1">
      <alignment horizontal="center" vertical="center" wrapText="1"/>
    </xf>
    <xf numFmtId="0" fontId="27" fillId="10" borderId="55" xfId="0" applyFont="1" applyFill="1" applyBorder="1" applyAlignment="1">
      <alignment horizontal="center" vertical="center"/>
    </xf>
    <xf numFmtId="0" fontId="12" fillId="0" borderId="2" xfId="7" applyFont="1" applyAlignment="1">
      <alignment horizontal="left" vertical="center" shrinkToFit="1"/>
    </xf>
    <xf numFmtId="41" fontId="12" fillId="0" borderId="2" xfId="8" applyFont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41" fontId="12" fillId="0" borderId="0" xfId="1" applyFont="1" applyAlignment="1">
      <alignment horizontal="left" vertical="center" shrinkToFit="1"/>
    </xf>
    <xf numFmtId="0" fontId="12" fillId="0" borderId="2" xfId="4" applyFont="1" applyAlignment="1">
      <alignment horizontal="left" vertical="center"/>
    </xf>
    <xf numFmtId="1" fontId="25" fillId="2" borderId="30" xfId="4" applyNumberFormat="1" applyFont="1" applyFill="1" applyBorder="1" applyAlignment="1">
      <alignment horizontal="center" vertical="center"/>
    </xf>
    <xf numFmtId="1" fontId="25" fillId="2" borderId="35" xfId="4" applyNumberFormat="1" applyFont="1" applyFill="1" applyBorder="1" applyAlignment="1">
      <alignment horizontal="center" vertical="center"/>
    </xf>
    <xf numFmtId="1" fontId="25" fillId="2" borderId="31" xfId="4" applyNumberFormat="1" applyFont="1" applyFill="1" applyBorder="1" applyAlignment="1">
      <alignment horizontal="center" vertical="center"/>
    </xf>
    <xf numFmtId="176" fontId="15" fillId="0" borderId="2" xfId="0" applyNumberFormat="1" applyFont="1" applyFill="1" applyBorder="1" applyAlignment="1">
      <alignment vertical="center"/>
    </xf>
    <xf numFmtId="0" fontId="16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41" fontId="16" fillId="0" borderId="2" xfId="1" applyFont="1" applyFill="1" applyBorder="1" applyAlignment="1">
      <alignment horizontal="center" vertical="center"/>
    </xf>
    <xf numFmtId="9" fontId="16" fillId="0" borderId="2" xfId="9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1" fontId="15" fillId="0" borderId="2" xfId="1" applyFont="1" applyFill="1" applyBorder="1" applyAlignment="1">
      <alignment horizontal="center" vertical="center"/>
    </xf>
    <xf numFmtId="9" fontId="15" fillId="0" borderId="2" xfId="9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0" xfId="0" applyFont="1" applyAlignment="1">
      <alignment vertical="center"/>
    </xf>
  </cellXfs>
  <cellStyles count="10">
    <cellStyle name="백분율" xfId="9" builtinId="5"/>
    <cellStyle name="백분율 2" xfId="6" xr:uid="{4AB363C0-62A8-41AF-9293-AF6DCCE84FCC}"/>
    <cellStyle name="쉼표 [0]" xfId="1" builtinId="6"/>
    <cellStyle name="쉼표 [0] 2" xfId="3" xr:uid="{7BA5C5E8-3163-40BC-AC9A-A1F3650D77E3}"/>
    <cellStyle name="쉼표 [0] 3" xfId="5" xr:uid="{ED409C50-8FCD-4C95-A13B-4840D6C9E330}"/>
    <cellStyle name="쉼표 [0] 4" xfId="8" xr:uid="{DBCE8816-1B75-4956-B6AD-A0CC72CF2106}"/>
    <cellStyle name="표준" xfId="0" builtinId="0"/>
    <cellStyle name="표준 2" xfId="2" xr:uid="{D7D83A9F-F055-457A-949B-2A5B0CB47E29}"/>
    <cellStyle name="표준 3" xfId="4" xr:uid="{377ED11C-A615-4748-A571-914CBC48B7D8}"/>
    <cellStyle name="표준 4" xfId="7" xr:uid="{9D38EE92-225C-4F7E-9A80-563219AD1F79}"/>
  </cellStyles>
  <dxfs count="133"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  <dxf>
      <font>
        <b/>
      </font>
    </dxf>
    <dxf>
      <font>
        <b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numFmt numFmtId="176" formatCode="yyyy&quot;/&quot;mm&quot;/&quot;dd"/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medium">
          <color auto="1"/>
        </left>
        <right style="medium">
          <color auto="1"/>
        </right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numFmt numFmtId="33" formatCode="_-* #,##0_-;\-* #,##0_-;_-* &quot;-&quot;_-;_-@_-"/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6" tint="0.59999389629810485"/>
        </patternFill>
      </fill>
    </dxf>
    <dxf>
      <alignment horizontal="center"/>
    </dxf>
    <dxf>
      <alignment vertical="center"/>
    </dxf>
    <dxf>
      <alignment vertical="center"/>
    </dxf>
    <dxf>
      <numFmt numFmtId="33" formatCode="_-* #,##0_-;\-* #,##0_-;_-* &quot;-&quot;_-;_-@_-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  <dxf>
      <font>
        <b/>
      </font>
    </dxf>
    <dxf>
      <font>
        <b/>
      </font>
    </dxf>
    <dxf>
      <numFmt numFmtId="33" formatCode="_-* #,##0_-;\-* #,##0_-;_-* &quot;-&quot;_-;_-@_-"/>
    </dxf>
  </dxfs>
  <tableStyles count="0" defaultTableStyle="TableStyleMedium9" defaultPivotStyle="PivotStyleMedium4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pivotCacheDefinition" Target="pivotCache/pivotCacheDefinition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0</xdr:row>
      <xdr:rowOff>457200</xdr:rowOff>
    </xdr:from>
    <xdr:to>
      <xdr:col>10</xdr:col>
      <xdr:colOff>28575</xdr:colOff>
      <xdr:row>1</xdr:row>
      <xdr:rowOff>657224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프로젝트명">
              <a:extLst>
                <a:ext uri="{FF2B5EF4-FFF2-40B4-BE49-F238E27FC236}">
                  <a16:creationId xmlns:a16="http://schemas.microsoft.com/office/drawing/2014/main" id="{5C167E40-8AE2-4D37-A4DE-43FB43F9B2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프로젝트명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457200"/>
              <a:ext cx="8467726" cy="666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millsp.sharepoint.com/Users/SKD/AppData/Local/Microsoft/Windows/INetCache/IE/DLSCXJVX/YAC&#25552;&#20379;&#30340;&#36039;&#26009;/SPEC/G5.5Tact_user_Ver2.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6041;&#50864;&#54868;&#51064;&#53008;&amp;8BC%20&#54532;&#47196;&#51229;&#53944;\&#52636;&#44256;&#54788;&#54889;\&#50896;&#48169;%20&#44144;&#47000;&#52376;&#48324;%20&#49828;&#53356;&#47017;%20&#52636;&#44256;%20&#54788;&#54889;_25.04.02.(&#44428;&#50689;&#51652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R5%20&#50672;&#44396;&#46041;%20&#52384;&#44144;&#44277;&#49324;%20&#49828;&#53356;&#47017;%20&#48152;&#51077;,&#48152;&#52636;_&#52264;&#47049;List%20Ver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CH"/>
      <sheetName val="3CH"/>
      <sheetName val="2CH"/>
      <sheetName val="Pumping data"/>
      <sheetName val=" Detail"/>
      <sheetName val="1VOY_BULK(N2S3)-BOX"/>
    </sheetNames>
    <sheetDataSet>
      <sheetData sheetId="0">
        <row r="9">
          <cell r="C9">
            <v>75</v>
          </cell>
        </row>
      </sheetData>
      <sheetData sheetId="1">
        <row r="9">
          <cell r="C9">
            <v>75</v>
          </cell>
          <cell r="D9">
            <v>75</v>
          </cell>
          <cell r="E9">
            <v>81.666666666666671</v>
          </cell>
          <cell r="F9">
            <v>88.333333333333329</v>
          </cell>
          <cell r="G9">
            <v>95</v>
          </cell>
          <cell r="H9">
            <v>101.66666666666667</v>
          </cell>
        </row>
      </sheetData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분표"/>
      <sheetName val="통계"/>
      <sheetName val="스크랩출고량"/>
      <sheetName val="오성금속"/>
      <sheetName val="에이스메탈"/>
      <sheetName val="대신에스티에스"/>
      <sheetName val="알앤비,선진알앤디"/>
      <sheetName val="다옴메탈"/>
      <sheetName val="다문산업"/>
      <sheetName val="폐기물"/>
      <sheetName val="이영산업"/>
      <sheetName val="천지산업"/>
      <sheetName val="세화철강"/>
      <sheetName val="에스아이케미칼"/>
      <sheetName val="기타"/>
      <sheetName val="제이테크(부품,설비)"/>
      <sheetName val="로봇등 판매"/>
      <sheetName val="종결업체"/>
      <sheetName val="반출(동우, 8BC)"/>
      <sheetName val="위치이동(알앤비&gt;원방)"/>
      <sheetName val="재고이동_(원방, 포승&gt;크로스창고)"/>
      <sheetName val="재고이동_(포승-&gt;원방)"/>
      <sheetName val="재고이동_(원방,포승&lt;-&gt;이영산업)"/>
      <sheetName val="재고이동_(알앤비-&gt;원방)"/>
      <sheetName val="재고이동_(원방-&gt;김제공장)"/>
      <sheetName val="재고이동_(원방-&gt;알앤비)"/>
      <sheetName val="재고이동_(포승&gt;김제공장)"/>
      <sheetName val="재고이동_(원방-&gt;포승)"/>
      <sheetName val="재고이동_(원방-&gt;마정창고)"/>
      <sheetName val="양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정산"/>
      <sheetName val="차량List(~1031)"/>
      <sheetName val="11월정산"/>
      <sheetName val="차량List(1101~1130)"/>
      <sheetName val="12월정산_일반"/>
      <sheetName val="12월정산_진공"/>
      <sheetName val="차량List(1202~1231)"/>
      <sheetName val="1월정산_일반"/>
      <sheetName val="1월정산_진공"/>
      <sheetName val="차량List(0102~0131)"/>
      <sheetName val="2월정산_일반"/>
      <sheetName val="2월정산_진공"/>
      <sheetName val="차량List(0201~0228)"/>
      <sheetName val="스크랩반입List(0926~0316)"/>
      <sheetName val="스크랩반출List(0927~0320)"/>
      <sheetName val="통계"/>
      <sheetName val="-"/>
      <sheetName val="스크랩반출List(0927~0320) (2)"/>
      <sheetName val="계근값 비교"/>
      <sheetName val="스크랩반입List(0926~    )"/>
      <sheetName val="스크랩반출List(0927~    )"/>
      <sheetName val="LME시세(CU)"/>
      <sheetName val="LME시세(AL)"/>
      <sheetName val="LME시세(NI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2.476514814814" createdVersion="7" refreshedVersion="7" minRefreshableVersion="3" recordCount="24" xr:uid="{807785CA-68B0-4727-B2D9-C55F96395B09}">
  <cacheSource type="worksheet">
    <worksheetSource ref="C3:N27" sheet="현대_대도_당진"/>
  </cacheSource>
  <cacheFields count="12">
    <cacheField name="상차일" numFmtId="176">
      <sharedItems containsNonDate="0" containsDate="1" containsString="0" containsBlank="1" minDate="2026-05-21T00:00:00" maxDate="2026-06-14T00:00:00"/>
    </cacheField>
    <cacheField name="프로젝트명" numFmtId="0">
      <sharedItems containsBlank="1"/>
    </cacheField>
    <cacheField name="하차지" numFmtId="0">
      <sharedItems containsBlank="1"/>
    </cacheField>
    <cacheField name="차종" numFmtId="0">
      <sharedItems containsBlank="1"/>
    </cacheField>
    <cacheField name="차량번호" numFmtId="0">
      <sharedItems containsBlank="1"/>
    </cacheField>
    <cacheField name="운전자" numFmtId="0">
      <sharedItems containsBlank="1"/>
    </cacheField>
    <cacheField name="연락처" numFmtId="0">
      <sharedItems containsBlank="1"/>
    </cacheField>
    <cacheField name="제품명" numFmtId="0">
      <sharedItems containsBlank="1" count="16">
        <s v="폐전선"/>
        <s v="고철(철근)"/>
        <s v="고철(빔장척)"/>
        <s v="고철(경A)"/>
        <s v="고철(경량)"/>
        <s v="알루미늄 B"/>
        <s v="비철"/>
        <s v="고철(중량장척)"/>
        <s v="고철"/>
        <m/>
        <s v="STS304" u="1"/>
        <s v="AL" u="1"/>
        <s v="잡선" u="1"/>
        <s v="고철(중량)" u="1"/>
        <s v="작업철" u="1"/>
        <s v="스크랩" u="1"/>
      </sharedItems>
    </cacheField>
    <cacheField name="총중량(kg)" numFmtId="41">
      <sharedItems containsString="0" containsBlank="1" containsNumber="1" containsInteger="1" minValue="11710" maxValue="42010"/>
    </cacheField>
    <cacheField name="공차중량(kg)" numFmtId="41">
      <sharedItems containsString="0" containsBlank="1" containsNumber="1" containsInteger="1" minValue="11590" maxValue="21350"/>
    </cacheField>
    <cacheField name="감량(kg)" numFmtId="41">
      <sharedItems containsString="0" containsBlank="1" containsNumber="1" containsInteger="1" minValue="12" maxValue="12"/>
    </cacheField>
    <cacheField name="입고량(kg)" numFmtId="41">
      <sharedItems containsSemiMixedTypes="0" containsString="0" containsNumber="1" containsInteger="1" minValue="0" maxValue="235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2.59288611111" createdVersion="7" refreshedVersion="7" minRefreshableVersion="3" recordCount="19" xr:uid="{A7AC6948-D814-40CD-897E-162650A0F6C8}">
  <cacheSource type="worksheet">
    <worksheetSource ref="C3:N22" sheet="동우PL1_평택"/>
  </cacheSource>
  <cacheFields count="12">
    <cacheField name="상차일" numFmtId="176">
      <sharedItems containsSemiMixedTypes="0" containsNonDate="0" containsDate="1" containsString="0" minDate="2026-05-16T00:00:00" maxDate="2026-06-12T00:00:00"/>
    </cacheField>
    <cacheField name="프로젝트명" numFmtId="0">
      <sharedItems/>
    </cacheField>
    <cacheField name="하차지" numFmtId="0">
      <sharedItems/>
    </cacheField>
    <cacheField name="차종" numFmtId="0">
      <sharedItems/>
    </cacheField>
    <cacheField name="차량번호" numFmtId="0">
      <sharedItems/>
    </cacheField>
    <cacheField name="운전자" numFmtId="0">
      <sharedItems/>
    </cacheField>
    <cacheField name="연락처" numFmtId="0">
      <sharedItems/>
    </cacheField>
    <cacheField name="제품명" numFmtId="0">
      <sharedItems count="18">
        <s v="고철(경A)"/>
        <s v="고철(빔장척)"/>
        <s v="작업철"/>
        <s v="모터"/>
        <s v="고철(철근)"/>
        <s v="고철(경량)"/>
        <s v="고철(중량장척)"/>
        <s v="고철(빔장척, 경A)"/>
        <s v="고철"/>
        <s v="고철, 폐기물"/>
        <s v="서스 탱크" u="1"/>
        <s v="고철(경C)" u="1"/>
        <s v="고철(H빔)" u="1"/>
        <s v="고철, 비철" u="1"/>
        <s v="서스 및 고철" u="1"/>
        <s v="스크랩" u="1"/>
        <s v="서스 배관" u="1"/>
        <s v="기판, 동작업철" u="1"/>
      </sharedItems>
    </cacheField>
    <cacheField name="총중량(kg)" numFmtId="41">
      <sharedItems containsString="0" containsBlank="1" containsNumber="1" containsInteger="1" minValue="15080" maxValue="33670"/>
    </cacheField>
    <cacheField name="공차중량(kg)" numFmtId="41">
      <sharedItems containsString="0" containsBlank="1" containsNumber="1" containsInteger="1" minValue="13600" maxValue="21390"/>
    </cacheField>
    <cacheField name="감량(kg)" numFmtId="41">
      <sharedItems containsNonDate="0" containsString="0" containsBlank="1"/>
    </cacheField>
    <cacheField name="입고량(kg)" numFmtId="41">
      <sharedItems containsSemiMixedTypes="0" containsString="0" containsNumber="1" containsInteger="1" minValue="360" maxValue="157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2.59344409722" createdVersion="7" refreshedVersion="7" minRefreshableVersion="3" recordCount="109" xr:uid="{458FC227-BA1D-4697-A095-5C74176964BC}">
  <cacheSource type="worksheet">
    <worksheetSource ref="C3:O112" sheet="포스코_KM안산"/>
  </cacheSource>
  <cacheFields count="13">
    <cacheField name="상차일" numFmtId="176">
      <sharedItems containsNonDate="0" containsDate="1" containsString="0" containsBlank="1" minDate="2026-05-04T00:00:00" maxDate="2026-05-28T00:00:00"/>
    </cacheField>
    <cacheField name="프로젝트명" numFmtId="0">
      <sharedItems containsBlank="1"/>
    </cacheField>
    <cacheField name="하차지" numFmtId="0">
      <sharedItems containsBlank="1"/>
    </cacheField>
    <cacheField name="차종" numFmtId="0">
      <sharedItems containsBlank="1"/>
    </cacheField>
    <cacheField name="차량번호" numFmtId="0">
      <sharedItems containsBlank="1"/>
    </cacheField>
    <cacheField name="운전자" numFmtId="0">
      <sharedItems containsBlank="1"/>
    </cacheField>
    <cacheField name="연락처" numFmtId="0">
      <sharedItems containsBlank="1"/>
    </cacheField>
    <cacheField name="제품명" numFmtId="0">
      <sharedItems containsBlank="1" count="40">
        <s v="고철(경B)"/>
        <s v="전선, 신주"/>
        <s v="알루미늄"/>
        <s v="모터"/>
        <s v="고철(경A)"/>
        <s v="탱크"/>
        <s v="스크랩"/>
        <s v="전선"/>
        <s v="작업철"/>
        <s v="신주"/>
        <s v="상동"/>
        <s v="전선 등"/>
        <s v="고철(중량)"/>
        <s v="고철(빔장척)"/>
        <s v="STS304"/>
        <s v="폐전선"/>
        <s v="구리"/>
        <s v="고철(중량장척)"/>
        <s v="고무롤"/>
        <s v="고철(산소장척)"/>
        <s v="변압기"/>
        <s v="STS304(작업철)"/>
        <m/>
        <s v="STS316 등" u="1"/>
        <s v="전선, 차단기" u="1"/>
        <s v="배전반" u="1"/>
        <s v="고철(경량)" u="1"/>
        <s v="폐기물(PP)" u="1"/>
        <s v="작업철, 모터" u="1"/>
        <s v="작업철, AL" u="1"/>
        <s v="배전반 외" u="1"/>
        <s v="고철(중량AL)" u="1"/>
        <s v="탱크, 작업철" u="1"/>
        <s v="연마기" u="1"/>
        <s v="전선 외" u="1"/>
        <s v="AL, 모터" u="1"/>
        <s v="신주, 상동" u="1"/>
        <s v="작업철, AL 샷시" u="1"/>
        <s v="설비" u="1"/>
        <s v="STS316" u="1"/>
      </sharedItems>
    </cacheField>
    <cacheField name="총중량(kg)" numFmtId="41">
      <sharedItems containsString="0" containsBlank="1" containsNumber="1" containsInteger="1" minValue="200" maxValue="43960"/>
    </cacheField>
    <cacheField name="공차중량(kg)" numFmtId="41">
      <sharedItems containsString="0" containsBlank="1" containsNumber="1" containsInteger="1" minValue="2180" maxValue="20720"/>
    </cacheField>
    <cacheField name="감량(kg)" numFmtId="41">
      <sharedItems containsString="0" containsBlank="1" containsNumber="1" containsInteger="1" minValue="9" maxValue="3120"/>
    </cacheField>
    <cacheField name="입고량(kg)" numFmtId="41">
      <sharedItems containsSemiMixedTypes="0" containsString="0" containsNumber="1" containsInteger="1" minValue="0" maxValue="25820"/>
    </cacheField>
    <cacheField name="비고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2.595851967591" createdVersion="7" refreshedVersion="7" minRefreshableVersion="3" recordCount="18" xr:uid="{831E54CC-6EE5-44AC-A56F-41393E28102B}">
  <cacheSource type="worksheet">
    <worksheetSource ref="A3:N21" sheet="단발성(기타 현장)"/>
  </cacheSource>
  <cacheFields count="14">
    <cacheField name="NO(1)" numFmtId="1">
      <sharedItems containsString="0" containsBlank="1" containsNumber="1" containsInteger="1" minValue="0" maxValue="14"/>
    </cacheField>
    <cacheField name="NO(2)" numFmtId="1">
      <sharedItems containsBlank="1" containsMixedTypes="1" containsNumber="1" containsInteger="1" minValue="1" maxValue="1"/>
    </cacheField>
    <cacheField name="현장" numFmtId="1">
      <sharedItems containsBlank="1" count="8">
        <s v="듀폰_천안"/>
        <s v="한성상"/>
        <s v="에코코리아"/>
        <m/>
        <s v="대도" u="1"/>
        <s v="대도_진천" u="1"/>
        <s v="한양_듀폰" u="1"/>
        <s v="진풍" u="1"/>
      </sharedItems>
    </cacheField>
    <cacheField name="상차일자" numFmtId="14">
      <sharedItems containsNonDate="0" containsDate="1" containsString="0" containsBlank="1" minDate="2026-05-22T00:00:00" maxDate="2026-07-08T00:00:00"/>
    </cacheField>
    <cacheField name="하차지" numFmtId="0">
      <sharedItems containsBlank="1"/>
    </cacheField>
    <cacheField name="차량번호" numFmtId="0">
      <sharedItems containsBlank="1"/>
    </cacheField>
    <cacheField name="운전자" numFmtId="0">
      <sharedItems containsBlank="1"/>
    </cacheField>
    <cacheField name="연락처" numFmtId="0">
      <sharedItems containsBlank="1"/>
    </cacheField>
    <cacheField name="차종" numFmtId="0">
      <sharedItems containsBlank="1"/>
    </cacheField>
    <cacheField name="제품" numFmtId="0">
      <sharedItems containsBlank="1" count="16">
        <s v="고철(경A)"/>
        <s v="모터"/>
        <s v="비철 및 알루미늄"/>
        <s v="고철"/>
        <s v="AL A"/>
        <s v="프로파일 A"/>
        <s v="고철, 비철"/>
        <s v="STS304"/>
        <s v="스크랩"/>
        <s v="동 라지에이타"/>
        <s v="고철(중량장척)"/>
        <m/>
        <s v="고철(철근)" u="1"/>
        <s v="고철(경량)" u="1"/>
        <s v="고철(H빔)" u="1"/>
        <s v="고철(빔장척)" u="1"/>
      </sharedItems>
    </cacheField>
    <cacheField name="총중량" numFmtId="41">
      <sharedItems containsString="0" containsBlank="1" containsNumber="1" containsInteger="1" minValue="2290" maxValue="19430"/>
    </cacheField>
    <cacheField name="공차중량" numFmtId="41">
      <sharedItems containsString="0" containsBlank="1" containsNumber="1" containsInteger="1" minValue="2060" maxValue="14210"/>
    </cacheField>
    <cacheField name="감량" numFmtId="41">
      <sharedItems containsString="0" containsBlank="1" containsNumber="1" containsInteger="1" minValue="8" maxValue="500"/>
    </cacheField>
    <cacheField name="입고량(Kg)" numFmtId="41">
      <sharedItems containsString="0" containsBlank="1" containsNumber="1" containsInteger="1" minValue="60" maxValue="5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2.595869328703" createdVersion="7" refreshedVersion="7" minRefreshableVersion="3" recordCount="56" xr:uid="{1A0C5EBC-AB13-47BE-8400-BF3E4A996741}">
  <cacheSource type="worksheet">
    <worksheetSource name="표1"/>
  </cacheSource>
  <cacheFields count="15">
    <cacheField name="NO_x000a_(1)" numFmtId="0">
      <sharedItems containsSemiMixedTypes="0" containsString="0" containsNumber="1" containsInteger="1" minValue="1" maxValue="56"/>
    </cacheField>
    <cacheField name="NO_x000a_(2)" numFmtId="0">
      <sharedItems containsBlank="1" containsMixedTypes="1" containsNumber="1" containsInteger="1" minValue="1" maxValue="9"/>
    </cacheField>
    <cacheField name="상차일" numFmtId="176">
      <sharedItems containsNonDate="0" containsDate="1" containsString="0" containsBlank="1" minDate="2026-01-09T00:00:00" maxDate="2026-05-09T00:00:00"/>
    </cacheField>
    <cacheField name="프로젝트명" numFmtId="0">
      <sharedItems containsBlank="1" count="6">
        <s v="LT메탈_인천"/>
        <s v="삼성_대도_온양"/>
        <s v="삼성바이오_대도_송도"/>
        <s v="잠실동 실내철거"/>
        <s v="LT메탈 남동공장"/>
        <m/>
      </sharedItems>
    </cacheField>
    <cacheField name="하차지" numFmtId="0">
      <sharedItems containsBlank="1"/>
    </cacheField>
    <cacheField name="차종" numFmtId="0">
      <sharedItems containsBlank="1"/>
    </cacheField>
    <cacheField name="차량번호" numFmtId="0">
      <sharedItems containsBlank="1"/>
    </cacheField>
    <cacheField name="운전자" numFmtId="0">
      <sharedItems containsBlank="1"/>
    </cacheField>
    <cacheField name="연락처" numFmtId="0">
      <sharedItems containsBlank="1"/>
    </cacheField>
    <cacheField name="제품명" numFmtId="0">
      <sharedItems containsBlank="1" count="16">
        <s v="스크랩"/>
        <s v="STS304"/>
        <s v="전선 등"/>
        <s v="고철(중량)"/>
        <s v="고철(경량)"/>
        <s v="알루미늄"/>
        <s v="고철(경B)"/>
        <s v="고철(H빔)"/>
        <s v="작업철"/>
        <s v="고철(중량장척)"/>
        <s v="비철"/>
        <s v="고철(철근)"/>
        <s v="고철(중BL+경A)"/>
        <s v="철근말이"/>
        <s v="설비"/>
        <m/>
      </sharedItems>
    </cacheField>
    <cacheField name="총중량(kg)" numFmtId="41">
      <sharedItems containsString="0" containsBlank="1" containsNumber="1" containsInteger="1" minValue="2440" maxValue="40030"/>
    </cacheField>
    <cacheField name="공차중량(kg)" numFmtId="41">
      <sharedItems containsString="0" containsBlank="1" containsNumber="1" containsInteger="1" minValue="2160" maxValue="25280"/>
    </cacheField>
    <cacheField name="감량(kg)" numFmtId="41">
      <sharedItems containsString="0" containsBlank="1" containsNumber="1" containsInteger="1" minValue="500" maxValue="1500"/>
    </cacheField>
    <cacheField name="입고량(kg)" numFmtId="41">
      <sharedItems containsString="0" containsBlank="1" containsNumber="1" containsInteger="1" minValue="0" maxValue="18030"/>
    </cacheField>
    <cacheField name="비고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2.597816203706" createdVersion="7" refreshedVersion="7" minRefreshableVersion="3" recordCount="65" xr:uid="{4108CBE7-1C52-4EAB-9280-03AD425DC8E3}">
  <cacheSource type="worksheet">
    <worksheetSource ref="B3:P68" sheet="폐기물 입고"/>
  </cacheSource>
  <cacheFields count="15">
    <cacheField name="인수일" numFmtId="55">
      <sharedItems containsNonDate="0" containsDate="1" containsString="0" containsBlank="1" minDate="2026-05-04T00:00:00" maxDate="2026-06-30T00:00:00"/>
    </cacheField>
    <cacheField name="인계일" numFmtId="55">
      <sharedItems containsNonDate="0" containsDate="1" containsString="0" containsBlank="1" minDate="2026-05-04T00:00:00" maxDate="2026-06-30T00:00:00"/>
    </cacheField>
    <cacheField name="올바로" numFmtId="0">
      <sharedItems containsBlank="1" count="4">
        <m/>
        <s v="O"/>
        <s v="X"/>
        <s v="-"/>
      </sharedItems>
    </cacheField>
    <cacheField name="프로젝트명" numFmtId="0">
      <sharedItems containsBlank="1" count="7">
        <s v="동우PL1린텍_크로스_평택"/>
        <s v="포스코_KM_안산"/>
        <m/>
        <s v="현대_크로스_군산" u="1"/>
        <s v="잠실동 실내철거" u="1"/>
        <s v="대도_서울 상계동" u="1"/>
        <s v="현대제철_대도_당진" u="1"/>
      </sharedItems>
    </cacheField>
    <cacheField name="배출자" numFmtId="0">
      <sharedItems containsBlank="1"/>
    </cacheField>
    <cacheField name="하차지" numFmtId="0">
      <sharedItems containsBlank="1"/>
    </cacheField>
    <cacheField name="차종" numFmtId="0">
      <sharedItems containsBlank="1"/>
    </cacheField>
    <cacheField name="차량번호" numFmtId="0">
      <sharedItems containsBlank="1"/>
    </cacheField>
    <cacheField name="운전자" numFmtId="0">
      <sharedItems containsBlank="1"/>
    </cacheField>
    <cacheField name="연락처" numFmtId="0">
      <sharedItems containsBlank="1"/>
    </cacheField>
    <cacheField name="제품명" numFmtId="41">
      <sharedItems containsBlank="1" count="13">
        <s v="폐합성수지"/>
        <s v="폐판넬"/>
        <s v="폐콘크리트"/>
        <s v="페이퍼허니컴판넬"/>
        <s v="폐기물"/>
        <s v="절연유"/>
        <s v="고철"/>
        <s v="폐아스콘"/>
        <s v="폐기물(솔트류)"/>
        <m/>
        <s v="폐이퍼허니컴판넬" u="1"/>
        <s v="글라스울" u="1"/>
        <s v="폐콘" u="1"/>
      </sharedItems>
    </cacheField>
    <cacheField name="총중량(kg)" numFmtId="41">
      <sharedItems containsString="0" containsBlank="1" containsNumber="1" containsInteger="1" minValue="15860" maxValue="44150"/>
    </cacheField>
    <cacheField name="공차중량(kg)" numFmtId="41">
      <sharedItems containsString="0" containsBlank="1" containsNumber="1" containsInteger="1" minValue="13990" maxValue="21370"/>
    </cacheField>
    <cacheField name="감량(kg)" numFmtId="41">
      <sharedItems containsBlank="1"/>
    </cacheField>
    <cacheField name="입고량(kg)" numFmtId="41">
      <sharedItems containsString="0" containsBlank="1" containsNumber="1" containsInteger="1" minValue="220" maxValue="26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6-05-21T00:00:00"/>
    <s v="현대제철_대도_당진"/>
    <s v="원방"/>
    <m/>
    <m/>
    <m/>
    <m/>
    <x v="0"/>
    <n v="11710"/>
    <n v="11590"/>
    <n v="12"/>
    <n v="108"/>
  </r>
  <r>
    <d v="2026-05-28T00:00:00"/>
    <s v="현대제철_대도_당진"/>
    <s v="세화철강"/>
    <s v="방통차"/>
    <s v="대전87아5426"/>
    <m/>
    <m/>
    <x v="1"/>
    <n v="37650"/>
    <n v="18760"/>
    <m/>
    <n v="18890"/>
  </r>
  <r>
    <d v="2026-05-28T00:00:00"/>
    <s v="현대제철_대도_당진"/>
    <s v="세화철강"/>
    <s v="방통차"/>
    <s v="충남94바3226"/>
    <s v="노성래"/>
    <s v="010-5421-2238"/>
    <x v="2"/>
    <n v="30830"/>
    <n v="17780"/>
    <m/>
    <n v="13050"/>
  </r>
  <r>
    <d v="2026-05-28T00:00:00"/>
    <s v="현대제철_대도_당진"/>
    <s v="세화철강"/>
    <s v="방통차"/>
    <s v="충남82바1054"/>
    <s v="한창용"/>
    <s v="010-2566-7740"/>
    <x v="2"/>
    <n v="28620"/>
    <n v="18050"/>
    <m/>
    <n v="10570"/>
  </r>
  <r>
    <d v="2026-05-28T00:00:00"/>
    <s v="현대제철_대도_당진"/>
    <s v="세화철강"/>
    <s v="방통차"/>
    <s v="경기96자1089"/>
    <s v="서건식"/>
    <s v="010-9037-6416"/>
    <x v="2"/>
    <n v="30820"/>
    <n v="18780"/>
    <m/>
    <n v="12040"/>
  </r>
  <r>
    <d v="2026-05-28T00:00:00"/>
    <s v="현대제철_대도_당진"/>
    <s v="세화철강"/>
    <s v="방통차"/>
    <s v="충남80바2810"/>
    <s v="김상철"/>
    <s v="010-7107-6000"/>
    <x v="2"/>
    <n v="29070"/>
    <n v="18800"/>
    <m/>
    <n v="10270"/>
  </r>
  <r>
    <d v="2026-05-28T00:00:00"/>
    <s v="현대제철_대도_당진"/>
    <s v="세화철강"/>
    <s v="집게차"/>
    <s v="87주8410"/>
    <s v="배민국"/>
    <s v="010-9110-0126"/>
    <x v="3"/>
    <n v="16320"/>
    <n v="13960"/>
    <m/>
    <n v="2360"/>
  </r>
  <r>
    <d v="2026-05-28T00:00:00"/>
    <s v="현대제철_대도_당진"/>
    <s v="원방"/>
    <s v="집게차"/>
    <s v="84나4888"/>
    <s v="이민규"/>
    <s v="010-5315-1508"/>
    <x v="4"/>
    <n v="22640"/>
    <n v="21350"/>
    <m/>
    <n v="1100"/>
  </r>
  <r>
    <d v="2026-05-28T00:00:00"/>
    <s v="현대제철_대도_당진"/>
    <s v="원방"/>
    <s v="집게차"/>
    <s v="84나4888"/>
    <s v="이민규"/>
    <s v="010-5315-1508"/>
    <x v="5"/>
    <m/>
    <m/>
    <m/>
    <n v="190"/>
  </r>
  <r>
    <d v="2026-05-29T00:00:00"/>
    <s v="현대제철_대도_당진"/>
    <s v="선진알앤디"/>
    <s v="집게차"/>
    <s v="87주8410"/>
    <s v="배민국"/>
    <s v="010-9110-0126"/>
    <x v="3"/>
    <n v="17950"/>
    <n v="15020"/>
    <m/>
    <n v="2930"/>
  </r>
  <r>
    <d v="2026-05-29T00:00:00"/>
    <s v="현대제철_대도_당진"/>
    <s v="원방"/>
    <s v="집게차"/>
    <s v="87주8410"/>
    <s v="배민국"/>
    <s v="010-9110-0126"/>
    <x v="6"/>
    <n v="15020"/>
    <n v="14400"/>
    <m/>
    <n v="620"/>
  </r>
  <r>
    <d v="2026-06-01T00:00:00"/>
    <s v="현대제철_대도_당진"/>
    <s v="세화철강"/>
    <s v="방통차"/>
    <s v="대전87아5975"/>
    <s v="성태규"/>
    <s v="010-9049-6769"/>
    <x v="1"/>
    <n v="36790"/>
    <n v="18510"/>
    <m/>
    <n v="18280"/>
  </r>
  <r>
    <d v="2026-06-01T00:00:00"/>
    <s v="현대제철_대도_당진"/>
    <s v="세화철강"/>
    <s v="방통차"/>
    <s v="대전87아5975"/>
    <s v="성태규"/>
    <s v="010-9049-6769"/>
    <x v="7"/>
    <n v="36360"/>
    <n v="18770"/>
    <m/>
    <n v="17590"/>
  </r>
  <r>
    <d v="2026-06-01T00:00:00"/>
    <s v="현대제철_대도_당진"/>
    <s v="세화철강"/>
    <s v="집게차"/>
    <s v="84나4888"/>
    <s v="이민규"/>
    <s v="010-5899-9660"/>
    <x v="3"/>
    <n v="24620"/>
    <n v="21220"/>
    <m/>
    <n v="3400"/>
  </r>
  <r>
    <d v="2026-06-04T00:00:00"/>
    <s v="현대제철_대도_당진"/>
    <s v="세화철강"/>
    <s v="방통차"/>
    <s v="전북80사5648"/>
    <s v="이윤희"/>
    <s v="010-8770-9101"/>
    <x v="1"/>
    <n v="39780"/>
    <n v="18570"/>
    <m/>
    <n v="21210"/>
  </r>
  <r>
    <d v="2026-06-04T00:00:00"/>
    <s v="현대제철_대도_당진"/>
    <s v="선진알앤디"/>
    <s v="집게차"/>
    <s v="84나4888"/>
    <s v="이민규"/>
    <s v="010-8282-5885"/>
    <x v="4"/>
    <n v="26580"/>
    <n v="21100"/>
    <m/>
    <n v="5240"/>
  </r>
  <r>
    <d v="2026-06-04T00:00:00"/>
    <s v="현대제철_대도_당진"/>
    <s v="원방"/>
    <s v="집게차"/>
    <s v="84나4888"/>
    <s v="이민규"/>
    <s v="010-8282-5885"/>
    <x v="6"/>
    <m/>
    <m/>
    <m/>
    <n v="240"/>
  </r>
  <r>
    <d v="2026-06-09T00:00:00"/>
    <s v="현대제철_대도_당진"/>
    <s v="세화철강"/>
    <s v="방통차"/>
    <s v="경기90자2889"/>
    <m/>
    <m/>
    <x v="1"/>
    <n v="37930"/>
    <n v="18530"/>
    <m/>
    <n v="19400"/>
  </r>
  <r>
    <d v="2026-06-09T00:00:00"/>
    <s v="현대제철_대도_당진"/>
    <s v="세화철강"/>
    <s v="방통차"/>
    <s v="충북91아2060"/>
    <m/>
    <m/>
    <x v="1"/>
    <n v="37530"/>
    <n v="18130"/>
    <m/>
    <n v="19400"/>
  </r>
  <r>
    <d v="2026-06-11T00:00:00"/>
    <s v="현대제철_대도_당진"/>
    <s v="세화철강"/>
    <s v="방통차"/>
    <s v="인천80자1904"/>
    <s v="배조성"/>
    <s v="010-4737-6803"/>
    <x v="1"/>
    <n v="36780"/>
    <n v="18600"/>
    <m/>
    <n v="18180"/>
  </r>
  <r>
    <d v="2026-06-11T00:00:00"/>
    <s v="현대제철_대도_당진"/>
    <s v="세화철강"/>
    <s v="방통차"/>
    <s v="전남90바1977"/>
    <m/>
    <m/>
    <x v="1"/>
    <n v="42010"/>
    <n v="18470"/>
    <m/>
    <n v="23540"/>
  </r>
  <r>
    <d v="2026-06-13T00:00:00"/>
    <s v="현대제철_대도_당진"/>
    <s v="세화철강"/>
    <s v="집게차"/>
    <s v="84나4888"/>
    <s v="김현수"/>
    <s v="010-5315-1508"/>
    <x v="8"/>
    <n v="30870"/>
    <n v="21170"/>
    <m/>
    <n v="9700"/>
  </r>
  <r>
    <m/>
    <m/>
    <m/>
    <m/>
    <m/>
    <m/>
    <m/>
    <x v="9"/>
    <m/>
    <m/>
    <m/>
    <n v="0"/>
  </r>
  <r>
    <m/>
    <m/>
    <m/>
    <m/>
    <m/>
    <m/>
    <m/>
    <x v="9"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d v="2026-05-16T00:00:00"/>
    <s v="동우PL1린텍_크로스_평택"/>
    <s v="세화철강"/>
    <s v="집게차"/>
    <s v="87주8410"/>
    <s v="배민국"/>
    <s v="010-9110-0126"/>
    <x v="0"/>
    <n v="17800"/>
    <n v="13930"/>
    <m/>
    <n v="3870"/>
  </r>
  <r>
    <d v="2026-05-17T00:00:00"/>
    <s v="동우PL1린텍_크로스_평택"/>
    <s v="세화철강"/>
    <s v="집게차"/>
    <s v="84나4888"/>
    <s v="이민규"/>
    <s v="010-5899-9660"/>
    <x v="1"/>
    <n v="32670"/>
    <n v="21390"/>
    <m/>
    <n v="11280"/>
  </r>
  <r>
    <d v="2026-05-17T00:00:00"/>
    <s v="동우PL1린텍_크로스_평택"/>
    <s v="원방"/>
    <s v="집게차"/>
    <s v="87주8410"/>
    <s v="배민국"/>
    <s v="010-9110-0126"/>
    <x v="2"/>
    <n v="16860"/>
    <n v="14100"/>
    <m/>
    <n v="2760"/>
  </r>
  <r>
    <d v="2026-05-17T00:00:00"/>
    <s v="동우PL1린텍_크로스_평택"/>
    <s v="원방"/>
    <s v="집게차"/>
    <s v="87주8410"/>
    <s v="배민국"/>
    <s v="010-9110-0126"/>
    <x v="2"/>
    <n v="16780"/>
    <n v="14090"/>
    <m/>
    <n v="2690"/>
  </r>
  <r>
    <d v="2026-05-17T00:00:00"/>
    <s v="동우PL1린텍_크로스_평택"/>
    <s v="세화철강"/>
    <s v="방통차"/>
    <s v="경북80아9218"/>
    <s v="정현철"/>
    <s v="010-3873-2063"/>
    <x v="1"/>
    <n v="32120"/>
    <n v="17930"/>
    <m/>
    <n v="14190"/>
  </r>
  <r>
    <d v="2026-05-17T00:00:00"/>
    <s v="동우PL1린텍_크로스_평택"/>
    <s v="세화철강"/>
    <s v="방통차"/>
    <s v="경북80아9218"/>
    <s v="정현철"/>
    <s v="010-3873-2063"/>
    <x v="1"/>
    <n v="33670"/>
    <n v="17910"/>
    <m/>
    <n v="15760"/>
  </r>
  <r>
    <d v="2026-05-18T00:00:00"/>
    <s v="동우PL1린텍_크로스_평택"/>
    <s v="원방"/>
    <s v="집게차"/>
    <s v="87주8410"/>
    <s v="배민국"/>
    <s v="010-9110-0126"/>
    <x v="3"/>
    <n v="15680"/>
    <n v="14690"/>
    <m/>
    <n v="990"/>
  </r>
  <r>
    <d v="2026-05-18T00:00:00"/>
    <s v="동우PL1린텍_크로스_평택"/>
    <s v="세화철강"/>
    <s v="집게차"/>
    <s v="87주8410"/>
    <s v="배민국"/>
    <s v="010-9110-0126"/>
    <x v="4"/>
    <n v="19660"/>
    <n v="15570"/>
    <m/>
    <n v="4090"/>
  </r>
  <r>
    <d v="2026-05-18T00:00:00"/>
    <s v="동우PL1린텍_크로스_평택"/>
    <s v="세화철강"/>
    <s v="집게차"/>
    <s v="87주8410"/>
    <s v="배민국"/>
    <s v="010-9110-0126"/>
    <x v="0"/>
    <m/>
    <m/>
    <m/>
    <n v="600"/>
  </r>
  <r>
    <d v="2026-05-18T00:00:00"/>
    <s v="동우PL1린텍_크로스_평택"/>
    <s v="세화철강"/>
    <s v="방통차"/>
    <s v="경북80아9218"/>
    <s v="정현철"/>
    <s v="010-3873-2063"/>
    <x v="5"/>
    <n v="26800"/>
    <n v="18080"/>
    <m/>
    <n v="8720"/>
  </r>
  <r>
    <d v="2026-05-18T00:00:00"/>
    <s v="동우PL1린텍_크로스_평택"/>
    <s v="세화철강"/>
    <s v="방통차"/>
    <s v="인천83사9675"/>
    <s v="서재하"/>
    <s v="010-9027-1162"/>
    <x v="5"/>
    <n v="25680"/>
    <n v="18610"/>
    <m/>
    <n v="7070"/>
  </r>
  <r>
    <d v="2026-05-18T00:00:00"/>
    <s v="동우PL1린텍_크로스_평택"/>
    <s v="세화철강"/>
    <s v="방통차"/>
    <s v="충남80바2810"/>
    <s v="김상철"/>
    <s v="010-7107-6000"/>
    <x v="6"/>
    <n v="32380"/>
    <n v="18840"/>
    <m/>
    <n v="13540"/>
  </r>
  <r>
    <d v="2026-05-18T00:00:00"/>
    <s v="동우PL1린텍_크로스_평택"/>
    <s v="세화철강"/>
    <s v="방통차"/>
    <s v="경기96자1089"/>
    <s v="서건식"/>
    <s v="010-9037-6416"/>
    <x v="6"/>
    <n v="31220"/>
    <n v="18700"/>
    <m/>
    <n v="12520"/>
  </r>
  <r>
    <d v="2026-05-19T00:00:00"/>
    <s v="동우PL1린텍_크로스_평택"/>
    <s v="세화철강"/>
    <s v="집게차"/>
    <s v="87주8410"/>
    <s v="배민국"/>
    <s v="010-9110-0126"/>
    <x v="5"/>
    <n v="21170"/>
    <n v="14560"/>
    <m/>
    <n v="3390"/>
  </r>
  <r>
    <d v="2026-05-19T00:00:00"/>
    <s v="동우PL1린텍_크로스_평택"/>
    <s v="세화철강"/>
    <s v="집게차"/>
    <s v="87주8410"/>
    <s v="배민국"/>
    <s v="010-9110-0126"/>
    <x v="4"/>
    <m/>
    <m/>
    <m/>
    <n v="3220"/>
  </r>
  <r>
    <d v="2026-05-20T00:00:00"/>
    <s v="동우PL1린텍_크로스_평택"/>
    <s v="세화철강"/>
    <s v="집게차"/>
    <s v="87주8410"/>
    <s v="배민국"/>
    <s v="010-9110-0126"/>
    <x v="7"/>
    <n v="20150"/>
    <n v="14090"/>
    <m/>
    <n v="6060"/>
  </r>
  <r>
    <d v="2026-05-26T00:00:00"/>
    <s v="동우PL1린텍_크로스_평택"/>
    <s v="원방"/>
    <s v="집게차"/>
    <s v="96거5789"/>
    <s v="배민국"/>
    <s v="010-9110-0126"/>
    <x v="8"/>
    <n v="15080"/>
    <n v="13600"/>
    <m/>
    <n v="1480"/>
  </r>
  <r>
    <d v="2026-06-08T00:00:00"/>
    <s v="동우PL1린텍_크로스_평택"/>
    <s v="원방"/>
    <s v="집게차"/>
    <s v="87주8410"/>
    <s v="배민국"/>
    <s v="010-9110-0126"/>
    <x v="9"/>
    <n v="15750"/>
    <n v="14100"/>
    <m/>
    <n v="1650"/>
  </r>
  <r>
    <d v="2026-06-11T00:00:00"/>
    <s v="동우PL1린텍_크로스_평택"/>
    <s v="원방"/>
    <s v="집게차"/>
    <s v="87주8410"/>
    <s v="배민국"/>
    <s v="010-9110-0126"/>
    <x v="8"/>
    <n v="17870"/>
    <n v="17510"/>
    <m/>
    <n v="36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d v="2026-05-04T00:00:00"/>
    <s v="포스코_KM_안산"/>
    <s v="선진알앤디"/>
    <s v="집게차"/>
    <s v="87주8410"/>
    <s v="배민국"/>
    <s v="010-9110-0126"/>
    <x v="0"/>
    <n v="17920"/>
    <n v="14120"/>
    <m/>
    <n v="3800"/>
    <s v="원방에서 계근 후 직납,_x000a_포스코 계근과 동일"/>
  </r>
  <r>
    <d v="2026-05-04T00:00:00"/>
    <s v="포스코_KM_안산"/>
    <s v="원방"/>
    <s v="카고"/>
    <s v="경기89사3442"/>
    <m/>
    <m/>
    <x v="1"/>
    <n v="16250"/>
    <n v="15120"/>
    <m/>
    <n v="1130"/>
    <s v="신주 일부 포함, 포스코 계근 7,060kg"/>
  </r>
  <r>
    <d v="2026-05-04T00:00:00"/>
    <s v="포스코_KM_안산"/>
    <s v="원방"/>
    <s v="카고"/>
    <s v="경기89사3442"/>
    <m/>
    <m/>
    <x v="2"/>
    <n v="12340"/>
    <n v="11610"/>
    <n v="500"/>
    <n v="230"/>
    <s v="양중박스 1개 감량, 분류계근"/>
  </r>
  <r>
    <d v="2026-05-04T00:00:00"/>
    <s v="포스코_KM_안산"/>
    <s v="원방"/>
    <s v="카고"/>
    <s v="경기89사3442"/>
    <m/>
    <m/>
    <x v="3"/>
    <n v="15130"/>
    <n v="8720"/>
    <n v="500"/>
    <n v="5680"/>
    <s v="양중박스, AL 분류계근 건 차감"/>
  </r>
  <r>
    <d v="2026-05-05T00:00:00"/>
    <s v="포스코_KM_안산"/>
    <s v="세화철강"/>
    <s v="집게차"/>
    <s v="87주8410"/>
    <s v="배민국"/>
    <s v="010-9110-0126"/>
    <x v="4"/>
    <n v="17620"/>
    <n v="14220"/>
    <m/>
    <n v="3400"/>
    <s v="세화 계근3,370kg"/>
  </r>
  <r>
    <d v="2026-05-06T00:00:00"/>
    <s v="포스코_KM_안산"/>
    <s v="원방"/>
    <s v="카고"/>
    <s v="경북86아9491"/>
    <m/>
    <m/>
    <x v="5"/>
    <n v="36330"/>
    <n v="15890"/>
    <m/>
    <n v="20440"/>
    <s v="포스코 계근 20,440kg 동일"/>
  </r>
  <r>
    <d v="2026-05-06T00:00:00"/>
    <s v="포스코_KM_안산"/>
    <s v="원방"/>
    <s v="카고"/>
    <s v="경기91사3176"/>
    <m/>
    <m/>
    <x v="5"/>
    <n v="26120"/>
    <n v="15780"/>
    <m/>
    <n v="10340"/>
    <s v="포스코계근 10,300kg 40kg 차이"/>
  </r>
  <r>
    <d v="2026-05-06T00:00:00"/>
    <s v="포스코_KM_안산"/>
    <s v="원방"/>
    <s v="집게차"/>
    <s v="96거5789"/>
    <s v="배민국"/>
    <s v="010-9110-0126"/>
    <x v="6"/>
    <n v="17640"/>
    <n v="13470"/>
    <m/>
    <n v="4170"/>
    <s v="포스코 계근 4,120kg 50kg 차이,_x000a_5/7하차, sus304(1,790kg) 작업철(2,380kg)예상-분류계근 예정"/>
  </r>
  <r>
    <d v="2026-05-07T00:00:00"/>
    <s v="포스코_KM_안산"/>
    <s v="원방"/>
    <s v="카고"/>
    <s v="충남80아2457"/>
    <s v="조병순"/>
    <s v="010-8804-1441"/>
    <x v="3"/>
    <n v="19470"/>
    <n v="9240"/>
    <n v="1000"/>
    <n v="7400"/>
    <s v="전선 분류계근량 1,830kg 차감,_x000a_양중박스 2개 감량"/>
  </r>
  <r>
    <d v="2026-05-07T00:00:00"/>
    <s v="포스코_KM_안산"/>
    <s v="원방"/>
    <s v="카고"/>
    <s v="충남80아2457"/>
    <s v="조병순"/>
    <s v="010-8804-1441"/>
    <x v="7"/>
    <n v="13890"/>
    <n v="11560"/>
    <n v="500"/>
    <n v="1830"/>
    <s v="지게차 분류계근, 양중박스 1개 감량"/>
  </r>
  <r>
    <d v="2026-05-09T00:00:00"/>
    <s v="포스코_KM_안산"/>
    <s v="원방"/>
    <s v="카고"/>
    <s v="충남80아2329"/>
    <m/>
    <m/>
    <x v="8"/>
    <n v="17840"/>
    <n v="9870"/>
    <m/>
    <n v="7090"/>
    <m/>
  </r>
  <r>
    <d v="2026-05-09T00:00:00"/>
    <s v="포스코_KM_안산"/>
    <s v="원방"/>
    <s v="카고"/>
    <s v="충남80아2329"/>
    <m/>
    <m/>
    <x v="9"/>
    <n v="11850"/>
    <n v="11550"/>
    <m/>
    <n v="300"/>
    <s v="지게차 분류계근"/>
  </r>
  <r>
    <d v="2026-05-09T00:00:00"/>
    <s v="포스코_KM_안산"/>
    <s v="원방"/>
    <s v="카고"/>
    <s v="충남80아2329"/>
    <m/>
    <m/>
    <x v="10"/>
    <n v="11730"/>
    <n v="11550"/>
    <m/>
    <n v="180"/>
    <s v="지게차 분류계근"/>
  </r>
  <r>
    <d v="2026-05-09T00:00:00"/>
    <s v="포스코_KM_안산"/>
    <s v="원방"/>
    <s v="카고"/>
    <s v="충남80아2329"/>
    <m/>
    <m/>
    <x v="7"/>
    <n v="11950"/>
    <n v="11550"/>
    <m/>
    <n v="400"/>
    <s v="지게차 분류계근"/>
  </r>
  <r>
    <d v="2026-05-12T00:00:00"/>
    <s v="포스코_KM_안산"/>
    <s v="원방"/>
    <s v="카고"/>
    <s v="충남83아1609"/>
    <s v="심재철"/>
    <s v="010-9390-2824"/>
    <x v="3"/>
    <n v="15480"/>
    <n v="9520"/>
    <n v="1500"/>
    <n v="2020"/>
    <s v="파란 양중박스 3개, 포스코 계근 5,940kg"/>
  </r>
  <r>
    <d v="2026-05-12T00:00:00"/>
    <s v="포스코_KM_안산"/>
    <s v="원방"/>
    <s v="카고"/>
    <s v="충남83아1609"/>
    <s v="심재철"/>
    <s v="010-9390-2824"/>
    <x v="7"/>
    <n v="11730"/>
    <n v="11520"/>
    <m/>
    <n v="210"/>
    <s v="지게차 분류계근"/>
  </r>
  <r>
    <d v="2026-05-12T00:00:00"/>
    <s v="포스코_KM_안산"/>
    <s v="원방"/>
    <s v="카고"/>
    <s v="충남83아1609"/>
    <s v="심재철"/>
    <s v="010-9390-2824"/>
    <x v="11"/>
    <n v="13480"/>
    <n v="11520"/>
    <n v="500"/>
    <n v="1460"/>
    <s v="지게차 분류계근, 고철 일부 포함"/>
  </r>
  <r>
    <d v="2026-05-12T00:00:00"/>
    <s v="포스코_KM_안산"/>
    <s v="원방"/>
    <s v="카고"/>
    <s v="충남83아1609"/>
    <s v="심재철"/>
    <s v="010-9390-2824"/>
    <x v="11"/>
    <n v="12790"/>
    <n v="11520"/>
    <n v="500"/>
    <n v="770"/>
    <s v="지게차 분류계근, 고철 일부 포함"/>
  </r>
  <r>
    <d v="2026-05-13T00:00:00"/>
    <s v="포스코_KM_안산"/>
    <s v="세화철강"/>
    <s v="방통차"/>
    <s v="경기90자2889"/>
    <m/>
    <m/>
    <x v="12"/>
    <n v="42920"/>
    <n v="18700"/>
    <m/>
    <n v="24220"/>
    <m/>
  </r>
  <r>
    <d v="2026-05-13T00:00:00"/>
    <s v="포스코_KM_안산"/>
    <s v="세화철강"/>
    <s v="방통차"/>
    <s v="경기80바7145"/>
    <m/>
    <m/>
    <x v="12"/>
    <n v="43200"/>
    <n v="18520"/>
    <m/>
    <n v="24680"/>
    <m/>
  </r>
  <r>
    <d v="2026-05-13T00:00:00"/>
    <s v="포스코_KM_안산"/>
    <s v="원방"/>
    <s v="카고"/>
    <s v="충남94바2021"/>
    <m/>
    <m/>
    <x v="8"/>
    <n v="12470"/>
    <n v="8030"/>
    <n v="1000"/>
    <n v="2100"/>
    <s v="포스코계근 동일, 전선 차감, 양중박스 2개 감량"/>
  </r>
  <r>
    <d v="2026-05-13T00:00:00"/>
    <s v="포스코_KM_안산"/>
    <s v="원방"/>
    <s v="카고"/>
    <s v="충남94바2021"/>
    <m/>
    <m/>
    <x v="7"/>
    <n v="13390"/>
    <n v="11550"/>
    <n v="500"/>
    <n v="1340"/>
    <s v="지게차 계근, 양중박스 감량"/>
  </r>
  <r>
    <d v="2026-05-13T00:00:00"/>
    <s v="포스코_KM_안산"/>
    <s v="세화철강"/>
    <s v="방통차"/>
    <s v="충북91아2060"/>
    <m/>
    <m/>
    <x v="12"/>
    <n v="43960"/>
    <n v="18140"/>
    <m/>
    <n v="25820"/>
    <m/>
  </r>
  <r>
    <d v="2026-05-13T00:00:00"/>
    <s v="포스코_KM_안산"/>
    <s v="세화철강"/>
    <s v="방통차"/>
    <s v="서울82바4890"/>
    <m/>
    <m/>
    <x v="12"/>
    <n v="43520"/>
    <n v="18460"/>
    <m/>
    <n v="25060"/>
    <m/>
  </r>
  <r>
    <d v="2026-05-13T00:00:00"/>
    <s v="포스코_KM_안산"/>
    <s v="세화철강"/>
    <s v="방통차"/>
    <s v="서울88아4910"/>
    <m/>
    <m/>
    <x v="12"/>
    <n v="43200"/>
    <n v="17940"/>
    <m/>
    <n v="25260"/>
    <m/>
  </r>
  <r>
    <d v="2026-05-13T00:00:00"/>
    <s v="포스코_KM_안산"/>
    <s v="세화철강"/>
    <s v="방통차"/>
    <s v="인천80자1904"/>
    <s v="배조성"/>
    <s v="010-4737-6803"/>
    <x v="12"/>
    <n v="42920"/>
    <n v="18540"/>
    <m/>
    <n v="24380"/>
    <m/>
  </r>
  <r>
    <d v="2026-05-13T00:00:00"/>
    <s v="포스코_KM_안산"/>
    <s v="세화철강"/>
    <s v="방통차"/>
    <s v="인천80사7274"/>
    <m/>
    <m/>
    <x v="12"/>
    <n v="42760"/>
    <n v="18300"/>
    <m/>
    <n v="24460"/>
    <m/>
  </r>
  <r>
    <d v="2026-05-13T00:00:00"/>
    <s v="포스코_KM_안산"/>
    <s v="세화철강"/>
    <s v="방통차"/>
    <s v="경기90자2889"/>
    <m/>
    <m/>
    <x v="12"/>
    <n v="42660"/>
    <n v="18580"/>
    <m/>
    <n v="24080"/>
    <m/>
  </r>
  <r>
    <d v="2026-05-13T00:00:00"/>
    <s v="포스코_KM_안산"/>
    <s v="세화철강"/>
    <s v="방통차"/>
    <s v="경기80바7145"/>
    <m/>
    <m/>
    <x v="12"/>
    <n v="43320"/>
    <n v="18360"/>
    <m/>
    <n v="24960"/>
    <m/>
  </r>
  <r>
    <d v="2026-05-13T00:00:00"/>
    <s v="포스코_KM_안산"/>
    <s v="세화철강"/>
    <s v="방통차"/>
    <s v="서울87아8165"/>
    <m/>
    <m/>
    <x v="12"/>
    <n v="42880"/>
    <n v="18500"/>
    <m/>
    <n v="24380"/>
    <m/>
  </r>
  <r>
    <d v="2026-05-14T00:00:00"/>
    <s v="포스코_KM_안산"/>
    <s v="세화철강"/>
    <s v="방통차"/>
    <s v="서울87아8165"/>
    <m/>
    <m/>
    <x v="12"/>
    <n v="42800"/>
    <n v="18500"/>
    <m/>
    <n v="24300"/>
    <m/>
  </r>
  <r>
    <d v="2026-05-14T00:00:00"/>
    <s v="포스코_KM_안산"/>
    <s v="세화철강"/>
    <s v="방통차"/>
    <s v="서울82바4890"/>
    <m/>
    <m/>
    <x v="12"/>
    <n v="43060"/>
    <n v="18500"/>
    <m/>
    <n v="24560"/>
    <m/>
  </r>
  <r>
    <d v="2026-05-14T00:00:00"/>
    <s v="포스코_KM_안산"/>
    <s v="세화철강"/>
    <s v="방통차"/>
    <s v="경기80바7145"/>
    <m/>
    <m/>
    <x v="12"/>
    <n v="42500"/>
    <n v="18380"/>
    <m/>
    <n v="24120"/>
    <m/>
  </r>
  <r>
    <d v="2026-05-14T00:00:00"/>
    <s v="포스코_KM_안산"/>
    <s v="세화철강"/>
    <s v="방통차"/>
    <s v="서울88아4910"/>
    <m/>
    <m/>
    <x v="12"/>
    <n v="42660"/>
    <n v="17920"/>
    <m/>
    <n v="24740"/>
    <m/>
  </r>
  <r>
    <d v="2026-05-14T00:00:00"/>
    <s v="포스코_KM_안산"/>
    <s v="세화철강"/>
    <s v="방통차"/>
    <s v="인천80자1932"/>
    <s v="이종화"/>
    <s v="010-5396-9846"/>
    <x v="12"/>
    <n v="43580"/>
    <n v="18400"/>
    <m/>
    <n v="25180"/>
    <m/>
  </r>
  <r>
    <d v="2026-05-14T00:00:00"/>
    <s v="포스코_KM_안산"/>
    <s v="세화철강"/>
    <s v="방통차"/>
    <s v="인천80사7274"/>
    <m/>
    <m/>
    <x v="12"/>
    <n v="42360"/>
    <n v="18420"/>
    <m/>
    <n v="23940"/>
    <m/>
  </r>
  <r>
    <d v="2026-05-14T00:00:00"/>
    <s v="포스코_KM_안산"/>
    <s v="세화철강"/>
    <s v="방통차"/>
    <s v="경기80바6092"/>
    <m/>
    <m/>
    <x v="12"/>
    <n v="42060"/>
    <n v="18800"/>
    <m/>
    <n v="23260"/>
    <m/>
  </r>
  <r>
    <d v="2026-05-14T00:00:00"/>
    <s v="포스코_KM_안산"/>
    <s v="세화철강"/>
    <s v="방통차"/>
    <s v="서울87아8165"/>
    <m/>
    <m/>
    <x v="12"/>
    <n v="42120"/>
    <n v="18460"/>
    <m/>
    <n v="23660"/>
    <m/>
  </r>
  <r>
    <d v="2026-05-14T00:00:00"/>
    <s v="포스코_KM_안산"/>
    <s v="세화철강"/>
    <s v="방통차"/>
    <s v="서울82바4890"/>
    <m/>
    <m/>
    <x v="12"/>
    <n v="43040"/>
    <n v="18700"/>
    <m/>
    <n v="24340"/>
    <m/>
  </r>
  <r>
    <d v="2026-05-14T00:00:00"/>
    <s v="포스코_KM_안산"/>
    <s v="세화철강"/>
    <s v="방통차"/>
    <s v="경기80바7145"/>
    <m/>
    <m/>
    <x v="12"/>
    <n v="42840"/>
    <n v="18500"/>
    <m/>
    <n v="24340"/>
    <m/>
  </r>
  <r>
    <d v="2026-05-15T00:00:00"/>
    <s v="포스코_KM_안산"/>
    <s v="세화철강"/>
    <s v="방통차"/>
    <s v="인천80자1904"/>
    <s v="배조성"/>
    <s v="010-4737-6803"/>
    <x v="12"/>
    <n v="43580"/>
    <n v="18560"/>
    <m/>
    <n v="25020"/>
    <m/>
  </r>
  <r>
    <d v="2026-05-15T00:00:00"/>
    <s v="포스코_KM_안산"/>
    <s v="세화철강"/>
    <s v="방통차"/>
    <s v="인천85아5409"/>
    <s v="김문중"/>
    <s v="010-6667-8255"/>
    <x v="12"/>
    <n v="42480"/>
    <n v="18240"/>
    <m/>
    <n v="24240"/>
    <m/>
  </r>
  <r>
    <d v="2026-05-15T00:00:00"/>
    <s v="포스코_KM_안산"/>
    <s v="세화철강"/>
    <s v="방통차"/>
    <s v="인천80자1932"/>
    <s v="이종화"/>
    <s v="010-5396-9846"/>
    <x v="12"/>
    <n v="43240"/>
    <n v="18400"/>
    <m/>
    <n v="24840"/>
    <m/>
  </r>
  <r>
    <d v="2026-05-15T00:00:00"/>
    <s v="포스코_KM_안산"/>
    <s v="세화철강"/>
    <s v="방통차"/>
    <s v="서울87아7712"/>
    <s v="김기범"/>
    <s v="010-7700-7041"/>
    <x v="12"/>
    <n v="43220"/>
    <n v="18740"/>
    <m/>
    <n v="24480"/>
    <m/>
  </r>
  <r>
    <d v="2026-05-15T00:00:00"/>
    <s v="포스코_KM_안산"/>
    <s v="세화철강"/>
    <s v="방통차"/>
    <s v="대구84아9559"/>
    <s v="임상현"/>
    <s v="010-4714-8294"/>
    <x v="12"/>
    <n v="42460"/>
    <n v="18760"/>
    <m/>
    <n v="23700"/>
    <m/>
  </r>
  <r>
    <d v="2026-05-15T00:00:00"/>
    <s v="포스코_KM_안산"/>
    <s v="세화철강"/>
    <s v="방통차"/>
    <s v="인천85바3859"/>
    <m/>
    <m/>
    <x v="12"/>
    <n v="43020"/>
    <n v="18420"/>
    <m/>
    <n v="24600"/>
    <m/>
  </r>
  <r>
    <d v="2026-05-16T00:00:00"/>
    <s v="포스코_KM_안산"/>
    <s v="세화철강"/>
    <s v="방통차"/>
    <s v="서울88아3514"/>
    <s v="박인규"/>
    <s v="010-5332-9890"/>
    <x v="12"/>
    <n v="33300"/>
    <n v="18520"/>
    <m/>
    <n v="14780"/>
    <m/>
  </r>
  <r>
    <d v="2026-05-16T00:00:00"/>
    <s v="포스코_KM_안산"/>
    <s v="세화철강"/>
    <s v="방통차"/>
    <s v="인천95바4643"/>
    <s v="홍정희"/>
    <s v="010-6224-9825"/>
    <x v="13"/>
    <n v="42140"/>
    <n v="19060"/>
    <m/>
    <n v="23080"/>
    <m/>
  </r>
  <r>
    <d v="2026-05-16T00:00:00"/>
    <s v="포스코_KM_안산"/>
    <s v="세화철강"/>
    <s v="방통차"/>
    <s v="경기93자8201"/>
    <m/>
    <m/>
    <x v="12"/>
    <n v="33780"/>
    <n v="18840"/>
    <m/>
    <n v="14940"/>
    <m/>
  </r>
  <r>
    <d v="2026-05-16T00:00:00"/>
    <s v="포스코_KM_안산"/>
    <s v="세화철강"/>
    <s v="방통차"/>
    <s v="경기80바6092"/>
    <m/>
    <m/>
    <x v="13"/>
    <n v="41780"/>
    <n v="18840"/>
    <m/>
    <n v="22940"/>
    <m/>
  </r>
  <r>
    <d v="2026-05-16T00:00:00"/>
    <s v="포스코_KM_안산"/>
    <s v="세화철강"/>
    <s v="방통차"/>
    <s v="서울87아7712"/>
    <s v="김기범"/>
    <s v="010-7700-7041"/>
    <x v="12"/>
    <n v="31080"/>
    <n v="18740"/>
    <m/>
    <n v="12340"/>
    <m/>
  </r>
  <r>
    <d v="2026-05-16T00:00:00"/>
    <s v="포스코_KM_안산"/>
    <s v="세화철강"/>
    <s v="방통차"/>
    <s v="대전89아7686"/>
    <s v="김민욱"/>
    <s v="010-7139-2998"/>
    <x v="12"/>
    <n v="32020"/>
    <n v="18640"/>
    <m/>
    <n v="13380"/>
    <m/>
  </r>
  <r>
    <d v="2026-05-16T00:00:00"/>
    <s v="포스코_KM_안산"/>
    <s v="세화철강"/>
    <s v="방통차"/>
    <s v="인천85바9168"/>
    <s v="최원곤"/>
    <s v="010-6495-2983"/>
    <x v="12"/>
    <n v="33500"/>
    <n v="18440"/>
    <m/>
    <n v="15060"/>
    <m/>
  </r>
  <r>
    <d v="2026-05-16T00:00:00"/>
    <s v="포스코_KM_안산"/>
    <s v="세화철강"/>
    <s v="방통차"/>
    <s v="충북91아2060"/>
    <m/>
    <m/>
    <x v="13"/>
    <n v="43060"/>
    <n v="17960"/>
    <m/>
    <n v="25100"/>
    <m/>
  </r>
  <r>
    <d v="2026-05-16T00:00:00"/>
    <s v="포스코_KM_안산"/>
    <s v="세화철강"/>
    <s v="방통차"/>
    <s v="인천80아8306"/>
    <s v="이용화"/>
    <s v="010-3323-9265"/>
    <x v="12"/>
    <n v="33460"/>
    <n v="18320"/>
    <m/>
    <n v="15140"/>
    <m/>
  </r>
  <r>
    <d v="2026-05-16T00:00:00"/>
    <s v="포스코_KM_안산"/>
    <s v="세화철강"/>
    <s v="방통차"/>
    <s v="경기90자2889"/>
    <m/>
    <m/>
    <x v="13"/>
    <n v="43600"/>
    <n v="18700"/>
    <m/>
    <n v="24900"/>
    <m/>
  </r>
  <r>
    <d v="2026-05-16T00:00:00"/>
    <s v="포스코_KM_안산"/>
    <s v="세화철강"/>
    <s v="방통차"/>
    <s v="인천86아1820"/>
    <s v="이종하"/>
    <s v="010-5396-9846"/>
    <x v="13"/>
    <n v="42860"/>
    <n v="18740"/>
    <m/>
    <n v="24120"/>
    <m/>
  </r>
  <r>
    <d v="2026-05-16T00:00:00"/>
    <s v="포스코_KM_안산"/>
    <s v="세화철강"/>
    <s v="방통차"/>
    <s v="경기93자8201"/>
    <m/>
    <m/>
    <x v="12"/>
    <n v="32300"/>
    <n v="18800"/>
    <m/>
    <n v="13500"/>
    <m/>
  </r>
  <r>
    <d v="2026-05-16T00:00:00"/>
    <s v="포스코_KM_안산"/>
    <s v="세화철강"/>
    <s v="방통차"/>
    <s v="서울87아7712"/>
    <s v="김기범"/>
    <s v="010-7700-7041"/>
    <x v="12"/>
    <n v="37720"/>
    <n v="18700"/>
    <m/>
    <n v="19020"/>
    <m/>
  </r>
  <r>
    <d v="2026-05-16T00:00:00"/>
    <s v="포스코_KM_안산"/>
    <s v="세화철강"/>
    <s v="방통차"/>
    <s v="대전89아7686"/>
    <s v="김민욱"/>
    <s v="010-7139-2998"/>
    <x v="12"/>
    <n v="31700"/>
    <n v="18580"/>
    <m/>
    <n v="13120"/>
    <m/>
  </r>
  <r>
    <d v="2026-05-16T00:00:00"/>
    <s v="포스코_KM_안산"/>
    <s v="세화철강"/>
    <s v="방통차"/>
    <s v="인천80아8306"/>
    <s v="이용화"/>
    <s v="010-3323-9265"/>
    <x v="12"/>
    <n v="35540"/>
    <n v="18280"/>
    <m/>
    <n v="17260"/>
    <m/>
  </r>
  <r>
    <d v="2026-05-18T00:00:00"/>
    <s v="포스코_KM_안산"/>
    <s v="대신에스티에스"/>
    <s v="집게차"/>
    <s v="87주8410"/>
    <s v="배민국"/>
    <s v="010-9110-0126"/>
    <x v="14"/>
    <n v="19060"/>
    <n v="14080"/>
    <m/>
    <n v="4980"/>
    <s v="대신 계근량 5,000kg"/>
  </r>
  <r>
    <d v="2026-05-18T00:00:00"/>
    <s v="포스코_KM_안산"/>
    <s v="세화철강"/>
    <s v="방통차"/>
    <s v="경기80바6092"/>
    <m/>
    <m/>
    <x v="12"/>
    <n v="43060"/>
    <n v="18820"/>
    <m/>
    <n v="24240"/>
    <m/>
  </r>
  <r>
    <d v="2026-05-18T00:00:00"/>
    <s v="포스코_KM_안산"/>
    <s v="원방"/>
    <s v="카고"/>
    <s v="경기89사3442"/>
    <m/>
    <m/>
    <x v="3"/>
    <n v="15820"/>
    <n v="8700"/>
    <n v="1500"/>
    <n v="4330"/>
    <s v="양중박스 3개 감량, 분류 분 차감"/>
  </r>
  <r>
    <d v="2026-05-18T00:00:00"/>
    <s v="포스코_KM_안산"/>
    <s v="원방"/>
    <s v="카고"/>
    <s v="경기89사3442"/>
    <m/>
    <m/>
    <x v="15"/>
    <n v="11670"/>
    <n v="11580"/>
    <m/>
    <n v="90"/>
    <s v="파이프 전선, 지게차 분류"/>
  </r>
  <r>
    <d v="2026-05-18T00:00:00"/>
    <s v="포스코_KM_안산"/>
    <s v="원방"/>
    <s v="카고"/>
    <s v="경기89사3442"/>
    <m/>
    <m/>
    <x v="16"/>
    <n v="13280"/>
    <n v="11580"/>
    <n v="500"/>
    <n v="1200"/>
    <s v="양중박스 1개 감량, 지게차 분류"/>
  </r>
  <r>
    <d v="2026-05-18T00:00:00"/>
    <s v="포스코_KM_안산"/>
    <s v="세화철강"/>
    <s v="방통차"/>
    <s v="서울87아7712"/>
    <s v="김기범"/>
    <s v="010-7700-7041"/>
    <x v="17"/>
    <n v="28660"/>
    <n v="18760"/>
    <m/>
    <n v="9900"/>
    <m/>
  </r>
  <r>
    <d v="2026-05-18T00:00:00"/>
    <s v="포스코_KM_안산"/>
    <s v="세화철강"/>
    <s v="방통차"/>
    <s v="충남80바2810"/>
    <s v="김상철"/>
    <s v="010-7107-6000"/>
    <x v="17"/>
    <n v="33420"/>
    <n v="18780"/>
    <m/>
    <n v="14640"/>
    <m/>
  </r>
  <r>
    <d v="2026-05-18T00:00:00"/>
    <s v="포스코_KM_안산"/>
    <s v="세화철강"/>
    <s v="방통차"/>
    <s v="경북80아9218"/>
    <s v="정현철"/>
    <s v="010-3873-2063"/>
    <x v="17"/>
    <n v="35340"/>
    <n v="18380"/>
    <m/>
    <n v="16960"/>
    <m/>
  </r>
  <r>
    <d v="2026-05-18T00:00:00"/>
    <s v="포스코_KM_안산"/>
    <s v="세화철강"/>
    <s v="방통차"/>
    <s v="인천86아1820"/>
    <s v="이종하"/>
    <s v="010-5396-9846"/>
    <x v="17"/>
    <n v="38140"/>
    <n v="18620"/>
    <m/>
    <n v="19520"/>
    <m/>
  </r>
  <r>
    <d v="2026-05-18T00:00:00"/>
    <s v="포스코_KM_안산"/>
    <s v="세화철강"/>
    <s v="방통차"/>
    <s v="인천80자1923"/>
    <s v="최한영"/>
    <s v="010-9651-9909"/>
    <x v="17"/>
    <n v="37640"/>
    <n v="17980"/>
    <m/>
    <n v="19660"/>
    <m/>
  </r>
  <r>
    <d v="2026-05-18T00:00:00"/>
    <s v="포스코_KM_안산"/>
    <s v="세화철강"/>
    <s v="방통차"/>
    <s v="인천80자1903"/>
    <s v="박영재"/>
    <s v="010-5063-2467"/>
    <x v="17"/>
    <n v="34640"/>
    <n v="18640"/>
    <m/>
    <n v="16000"/>
    <m/>
  </r>
  <r>
    <d v="2026-05-18T00:00:00"/>
    <s v="포스코_KM_안산"/>
    <s v="세화철강"/>
    <s v="방통차"/>
    <s v="경기96자1089"/>
    <s v="서건식"/>
    <s v="010-9037-6416"/>
    <x v="17"/>
    <n v="34600"/>
    <n v="18960"/>
    <m/>
    <n v="15640"/>
    <m/>
  </r>
  <r>
    <d v="2026-05-18T00:00:00"/>
    <s v="포스코_KM_안산"/>
    <s v="세화철강"/>
    <s v="방통차"/>
    <s v="대전87아8321"/>
    <s v="조병태"/>
    <s v="010-9082-6354"/>
    <x v="17"/>
    <n v="37080"/>
    <n v="19000"/>
    <m/>
    <n v="18080"/>
    <m/>
  </r>
  <r>
    <d v="2026-05-18T00:00:00"/>
    <s v="포스코_KM_안산"/>
    <s v="세화철강"/>
    <s v="방통차"/>
    <s v="인천86아1820"/>
    <s v="이종하"/>
    <s v="010-5396-9846"/>
    <x v="17"/>
    <n v="35280"/>
    <n v="18600"/>
    <m/>
    <n v="16680"/>
    <m/>
  </r>
  <r>
    <d v="2026-05-18T00:00:00"/>
    <s v="포스코_KM_안산"/>
    <s v="세화철강"/>
    <s v="방통차"/>
    <s v="인천80자1923"/>
    <s v="최한영"/>
    <s v="010-9651-9909"/>
    <x v="17"/>
    <n v="36460"/>
    <n v="18080"/>
    <m/>
    <n v="18380"/>
    <m/>
  </r>
  <r>
    <d v="2026-05-19T00:00:00"/>
    <s v="포스코_KM_안산"/>
    <s v="세화철강"/>
    <s v="방통차"/>
    <s v="대전87아8321"/>
    <s v="조병태"/>
    <s v="010-9082-6354"/>
    <x v="12"/>
    <n v="42040"/>
    <n v="18940"/>
    <m/>
    <n v="23100"/>
    <m/>
  </r>
  <r>
    <d v="2026-05-19T00:00:00"/>
    <s v="포스코_KM_안산"/>
    <s v="세화철강"/>
    <s v="방통차"/>
    <s v="경기90자2889"/>
    <m/>
    <m/>
    <x v="12"/>
    <n v="42320"/>
    <n v="18600"/>
    <m/>
    <n v="23720"/>
    <m/>
  </r>
  <r>
    <d v="2026-05-19T00:00:00"/>
    <s v="포스코_KM_안산"/>
    <s v="세화철강"/>
    <s v="방통차"/>
    <s v="경기80바6092"/>
    <m/>
    <m/>
    <x v="17"/>
    <n v="42180"/>
    <n v="18740"/>
    <m/>
    <n v="23440"/>
    <m/>
  </r>
  <r>
    <d v="2026-05-19T00:00:00"/>
    <s v="포스코_KM_안산"/>
    <s v="세화철강"/>
    <s v="방통차"/>
    <s v="대구84아9559"/>
    <s v="임상현"/>
    <s v="010-4714-8294"/>
    <x v="12"/>
    <n v="42660"/>
    <n v="18800"/>
    <m/>
    <n v="23860"/>
    <m/>
  </r>
  <r>
    <d v="2026-05-19T00:00:00"/>
    <s v="포스코_KM_안산"/>
    <s v="세화철강"/>
    <s v="방통차"/>
    <s v="인천85아5409"/>
    <s v="김문중"/>
    <s v="010-6667-8255"/>
    <x v="17"/>
    <n v="38560"/>
    <n v="18100"/>
    <m/>
    <n v="20460"/>
    <m/>
  </r>
  <r>
    <d v="2026-05-19T00:00:00"/>
    <s v="포스코_KM_안산"/>
    <s v="세화철강"/>
    <s v="방통차"/>
    <s v="인천80자1932"/>
    <s v="이종화"/>
    <s v="010-5396-9846"/>
    <x v="18"/>
    <n v="39520"/>
    <n v="18520"/>
    <m/>
    <n v="21000"/>
    <m/>
  </r>
  <r>
    <d v="2026-05-19T00:00:00"/>
    <s v="포스코_KM_안산"/>
    <s v="세화철강"/>
    <s v="방통차"/>
    <s v="대전87아8321"/>
    <s v="조병태"/>
    <s v="010-9082-6354"/>
    <x v="12"/>
    <n v="42600"/>
    <n v="18940"/>
    <m/>
    <n v="23660"/>
    <m/>
  </r>
  <r>
    <d v="2026-05-19T00:00:00"/>
    <s v="포스코_KM_안산"/>
    <s v="세화철강"/>
    <s v="방통차"/>
    <s v="경기90자2889"/>
    <m/>
    <m/>
    <x v="12"/>
    <n v="42620"/>
    <n v="18760"/>
    <m/>
    <n v="23860"/>
    <m/>
  </r>
  <r>
    <d v="2026-05-19T00:00:00"/>
    <s v="포스코_KM_안산"/>
    <s v="세화철강"/>
    <s v="방통차"/>
    <s v="경기80바6092"/>
    <m/>
    <m/>
    <x v="17"/>
    <n v="43100"/>
    <n v="18860"/>
    <m/>
    <n v="24240"/>
    <m/>
  </r>
  <r>
    <d v="2026-05-19T00:00:00"/>
    <s v="포스코_KM_안산"/>
    <s v="세화철강"/>
    <s v="방통차"/>
    <s v="대구84아9559"/>
    <s v="임상현"/>
    <s v="010-4714-8294"/>
    <x v="12"/>
    <n v="42520"/>
    <n v="18800"/>
    <m/>
    <n v="23720"/>
    <m/>
  </r>
  <r>
    <d v="2026-05-19T00:00:00"/>
    <s v="포스코_KM_안산"/>
    <s v="세화철강"/>
    <s v="카고"/>
    <s v="충남80바7815"/>
    <m/>
    <m/>
    <x v="19"/>
    <n v="20920"/>
    <n v="14820"/>
    <m/>
    <n v="6100"/>
    <m/>
  </r>
  <r>
    <d v="2026-05-19T00:00:00"/>
    <s v="포스코_KM_안산"/>
    <s v="한강그린"/>
    <s v="1톤트럭"/>
    <s v="93버4384"/>
    <m/>
    <m/>
    <x v="20"/>
    <n v="8000"/>
    <n v="3940"/>
    <m/>
    <n v="4060"/>
    <s v="크로스특수에서 정산"/>
  </r>
  <r>
    <d v="2026-05-19T00:00:00"/>
    <s v="포스코_KM_안산"/>
    <s v="한강그린"/>
    <s v="카고"/>
    <s v="인천86아6863"/>
    <m/>
    <m/>
    <x v="20"/>
    <n v="37620"/>
    <n v="15660"/>
    <m/>
    <n v="21960"/>
    <s v="크로스특수에서 정산"/>
  </r>
  <r>
    <d v="2026-05-19T00:00:00"/>
    <s v="포스코_KM_안산"/>
    <s v="한강그린"/>
    <s v="1톤트럭"/>
    <s v="806거1970"/>
    <m/>
    <m/>
    <x v="20"/>
    <n v="8920"/>
    <n v="4360"/>
    <m/>
    <n v="4560"/>
    <s v="크로스특수에서 정산"/>
  </r>
  <r>
    <d v="2026-05-19T00:00:00"/>
    <s v="포스코_KM_안산"/>
    <s v="한강그린"/>
    <s v="1톤트럭"/>
    <s v="81부6706"/>
    <m/>
    <m/>
    <x v="20"/>
    <n v="3800"/>
    <n v="2180"/>
    <m/>
    <n v="1620"/>
    <s v="크로스특수에서 정산"/>
  </r>
  <r>
    <d v="2026-05-19T00:00:00"/>
    <s v="포스코_KM_안산"/>
    <s v="한강그린"/>
    <s v="카고"/>
    <s v="86가7213"/>
    <m/>
    <m/>
    <x v="20"/>
    <n v="19360"/>
    <n v="7440"/>
    <m/>
    <n v="11920"/>
    <s v="크로스특수에서 정산"/>
  </r>
  <r>
    <d v="2026-05-20T00:00:00"/>
    <s v="포스코_KM_안산"/>
    <s v="세화철강"/>
    <s v="방통차"/>
    <s v="서울82바4890"/>
    <m/>
    <m/>
    <x v="12"/>
    <n v="43540"/>
    <n v="18520"/>
    <m/>
    <n v="25020"/>
    <m/>
  </r>
  <r>
    <d v="2026-05-20T00:00:00"/>
    <s v="포스코_KM_안산"/>
    <s v="세화철강"/>
    <s v="방통차"/>
    <s v="인천80자1912"/>
    <s v="곽노하"/>
    <s v="010-5315-3802"/>
    <x v="17"/>
    <n v="41460"/>
    <n v="18400"/>
    <m/>
    <n v="23060"/>
    <m/>
  </r>
  <r>
    <d v="2026-05-20T00:00:00"/>
    <s v="포스코_KM_안산"/>
    <s v="세화철강"/>
    <s v="방통차"/>
    <s v="충북91아2060"/>
    <m/>
    <m/>
    <x v="17"/>
    <n v="43180"/>
    <n v="18100"/>
    <m/>
    <n v="25080"/>
    <m/>
  </r>
  <r>
    <d v="2026-05-20T00:00:00"/>
    <s v="포스코_KM_안산"/>
    <s v="원방"/>
    <s v="카고"/>
    <s v="충남83아2315"/>
    <s v="허재훈"/>
    <s v="010-4905-8009"/>
    <x v="5"/>
    <n v="11560"/>
    <n v="8640"/>
    <m/>
    <n v="2920"/>
    <s v="전선, 작업철 차감 후 중량"/>
  </r>
  <r>
    <d v="2026-05-20T00:00:00"/>
    <s v="포스코_KM_안산"/>
    <s v="원방"/>
    <s v="카고"/>
    <s v="충남83아2315"/>
    <s v="허재훈"/>
    <s v="010-4905-8009"/>
    <x v="15"/>
    <n v="200"/>
    <m/>
    <m/>
    <n v="200"/>
    <s v="5/20 분류 계근"/>
  </r>
  <r>
    <d v="2026-05-20T00:00:00"/>
    <s v="포스코_KM_안산"/>
    <s v="원방"/>
    <s v="카고"/>
    <s v="충남83아2315"/>
    <s v="허재훈"/>
    <s v="010-4905-8009"/>
    <x v="8"/>
    <n v="12850"/>
    <n v="11610"/>
    <n v="500"/>
    <n v="740"/>
    <s v="양중박스1개 감량, 5/21 분류 계근"/>
  </r>
  <r>
    <d v="2026-05-21T00:00:00"/>
    <s v="포스코_KM_안산"/>
    <s v="원방"/>
    <s v="3.5톤트럭"/>
    <s v="81러3615"/>
    <s v="이원영"/>
    <s v="010-9992-4447"/>
    <x v="6"/>
    <n v="12370"/>
    <n v="10100"/>
    <m/>
    <n v="2270"/>
    <s v="소화기"/>
  </r>
  <r>
    <d v="2026-05-21T00:00:00"/>
    <s v="포스코_KM_안산"/>
    <s v="한강그린"/>
    <s v="1톤트럭"/>
    <s v="81부6706"/>
    <m/>
    <m/>
    <x v="20"/>
    <n v="4440"/>
    <n v="2180"/>
    <m/>
    <n v="2260"/>
    <m/>
  </r>
  <r>
    <d v="2026-05-21T00:00:00"/>
    <s v="포스코_KM_안산"/>
    <s v="한강그린"/>
    <s v="카고"/>
    <s v="806거1970"/>
    <m/>
    <m/>
    <x v="20"/>
    <n v="9820"/>
    <n v="4260"/>
    <m/>
    <n v="5560"/>
    <m/>
  </r>
  <r>
    <d v="2026-05-21T00:00:00"/>
    <s v="포스코_KM_안산"/>
    <s v="한강그린"/>
    <s v="카고"/>
    <s v="93버4384"/>
    <m/>
    <m/>
    <x v="20"/>
    <n v="8440"/>
    <n v="3960"/>
    <m/>
    <n v="4480"/>
    <m/>
  </r>
  <r>
    <d v="2026-05-21T00:00:00"/>
    <s v="포스코_KM_안산"/>
    <s v="세화철강"/>
    <s v="방통차"/>
    <s v="경기96자1089"/>
    <s v="서건식"/>
    <s v="010-9037-6416"/>
    <x v="8"/>
    <n v="43480"/>
    <n v="18940"/>
    <m/>
    <n v="24540"/>
    <m/>
  </r>
  <r>
    <d v="2026-05-21T00:00:00"/>
    <s v="포스코_KM_안산"/>
    <s v="세화철강"/>
    <s v="방통차"/>
    <s v="전북80사5648"/>
    <s v="이윤희"/>
    <s v="010-8770-9101"/>
    <x v="17"/>
    <n v="42260"/>
    <n v="19340"/>
    <m/>
    <n v="22920"/>
    <m/>
  </r>
  <r>
    <d v="2026-05-22T00:00:00"/>
    <s v="포스코_KM_안산"/>
    <s v="대신에스티에스"/>
    <s v="암롤트럭"/>
    <s v="86노1445"/>
    <m/>
    <m/>
    <x v="21"/>
    <n v="33160"/>
    <n v="20720"/>
    <n v="9"/>
    <n v="12431"/>
    <s v="마대3개, 대신에서 계근"/>
  </r>
  <r>
    <d v="2026-05-22T00:00:00"/>
    <s v="포스코_KM_안산"/>
    <s v="세화철강"/>
    <s v="방통차"/>
    <s v="인천80자1917"/>
    <s v="심충우"/>
    <s v="010-2801-5063"/>
    <x v="17"/>
    <n v="42920"/>
    <n v="18420"/>
    <m/>
    <n v="24500"/>
    <m/>
  </r>
  <r>
    <d v="2026-05-22T00:00:00"/>
    <s v="포스코_KM_안산"/>
    <s v="세화철강"/>
    <s v="방통차"/>
    <s v="경기96자1089"/>
    <s v="서건식"/>
    <s v="010-9037-6416"/>
    <x v="8"/>
    <n v="43460"/>
    <n v="18960"/>
    <m/>
    <n v="24500"/>
    <m/>
  </r>
  <r>
    <d v="2026-05-27T00:00:00"/>
    <s v="포스코_KM_안산"/>
    <s v="원방"/>
    <s v="카고"/>
    <s v="충남83아2363"/>
    <m/>
    <m/>
    <x v="6"/>
    <n v="20680"/>
    <n v="11740"/>
    <n v="3120"/>
    <n v="5820"/>
    <s v="스크랩(폐기물)"/>
  </r>
  <r>
    <m/>
    <m/>
    <m/>
    <m/>
    <m/>
    <m/>
    <m/>
    <x v="22"/>
    <m/>
    <m/>
    <m/>
    <n v="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0"/>
    <n v="1"/>
    <x v="0"/>
    <d v="2026-05-22T00:00:00"/>
    <s v="세화철강"/>
    <s v="87주8410"/>
    <s v="배민국"/>
    <s v="010-9110-0126"/>
    <s v="집게차"/>
    <x v="0"/>
    <n v="19430"/>
    <n v="14210"/>
    <m/>
    <n v="5220"/>
  </r>
  <r>
    <n v="1"/>
    <s v="1-1"/>
    <x v="1"/>
    <d v="2026-05-26T00:00:00"/>
    <s v="원방"/>
    <s v="89누1668"/>
    <s v="한성상"/>
    <m/>
    <s v="1톤트럭"/>
    <x v="1"/>
    <n v="3420"/>
    <n v="2350"/>
    <m/>
    <n v="1070"/>
  </r>
  <r>
    <n v="2"/>
    <s v="1-2"/>
    <x v="1"/>
    <d v="2026-05-26T00:00:00"/>
    <s v="원방"/>
    <s v="89누1668"/>
    <s v="한성상"/>
    <m/>
    <s v="1톤트럭"/>
    <x v="2"/>
    <n v="2350"/>
    <n v="2290"/>
    <m/>
    <n v="60"/>
  </r>
  <r>
    <n v="3"/>
    <s v="1-3"/>
    <x v="1"/>
    <d v="2026-05-26T00:00:00"/>
    <s v="원방"/>
    <s v="89누1668"/>
    <s v="한성상"/>
    <m/>
    <s v="1톤트럭"/>
    <x v="3"/>
    <n v="2290"/>
    <n v="2060"/>
    <m/>
    <n v="230"/>
  </r>
  <r>
    <n v="4"/>
    <s v="1-1"/>
    <x v="2"/>
    <d v="2026-06-08T00:00:00"/>
    <s v="원방"/>
    <s v="81로1401"/>
    <s v="이덕현"/>
    <m/>
    <s v="집게차"/>
    <x v="4"/>
    <n v="15310"/>
    <n v="13980"/>
    <n v="24"/>
    <n v="1306"/>
  </r>
  <r>
    <n v="5"/>
    <s v="1-2"/>
    <x v="2"/>
    <d v="2026-06-08T00:00:00"/>
    <s v="원방"/>
    <s v="81로1401"/>
    <s v="이덕현"/>
    <m/>
    <s v="집게차"/>
    <x v="5"/>
    <n v="13980"/>
    <n v="12580"/>
    <n v="8"/>
    <n v="1392"/>
  </r>
  <r>
    <n v="6"/>
    <s v="1-1"/>
    <x v="0"/>
    <d v="2026-06-11T00:00:00"/>
    <s v="원방"/>
    <s v="96거8410"/>
    <s v="김현수"/>
    <s v="010-5315-1508"/>
    <s v="집게차"/>
    <x v="6"/>
    <n v="17410"/>
    <n v="13550"/>
    <m/>
    <n v="3470"/>
  </r>
  <r>
    <n v="7"/>
    <s v="1-2"/>
    <x v="0"/>
    <d v="2026-06-11T00:00:00"/>
    <s v="원방"/>
    <m/>
    <m/>
    <m/>
    <s v="지게차"/>
    <x v="7"/>
    <n v="12570"/>
    <n v="11680"/>
    <n v="500"/>
    <n v="390"/>
  </r>
  <r>
    <n v="8"/>
    <s v="1-1"/>
    <x v="0"/>
    <d v="2026-06-20T00:00:00"/>
    <s v="원방"/>
    <s v="96거5789"/>
    <s v="김현수"/>
    <s v="010-5315-1508"/>
    <s v="집게차"/>
    <x v="8"/>
    <n v="16710"/>
    <n v="13580"/>
    <m/>
    <n v="90"/>
  </r>
  <r>
    <n v="9"/>
    <s v="1-2"/>
    <x v="0"/>
    <d v="2026-06-20T00:00:00"/>
    <s v="원방"/>
    <s v="지게차"/>
    <m/>
    <s v="이유리"/>
    <m/>
    <x v="9"/>
    <m/>
    <m/>
    <m/>
    <n v="770"/>
  </r>
  <r>
    <n v="10"/>
    <s v="1-3"/>
    <x v="0"/>
    <d v="2026-06-20T00:00:00"/>
    <s v="원방"/>
    <s v="지게차"/>
    <m/>
    <s v="이유리"/>
    <m/>
    <x v="7"/>
    <m/>
    <m/>
    <m/>
    <n v="170"/>
  </r>
  <r>
    <n v="11"/>
    <s v="1-4"/>
    <x v="0"/>
    <d v="2026-06-20T00:00:00"/>
    <s v="원방"/>
    <s v="지게차"/>
    <m/>
    <s v="이유리"/>
    <m/>
    <x v="10"/>
    <m/>
    <m/>
    <m/>
    <n v="1850"/>
  </r>
  <r>
    <n v="12"/>
    <s v="1-5"/>
    <x v="0"/>
    <d v="2026-06-20T00:00:00"/>
    <s v="원방"/>
    <s v="지게차"/>
    <m/>
    <s v="이유리"/>
    <m/>
    <x v="1"/>
    <m/>
    <m/>
    <m/>
    <n v="250"/>
  </r>
  <r>
    <n v="13"/>
    <s v="1-1"/>
    <x v="0"/>
    <d v="2026-07-07T00:00:00"/>
    <s v="세화철강"/>
    <s v="96거5789"/>
    <s v="배민국"/>
    <s v="010-9110-0126"/>
    <s v="집게차"/>
    <x v="0"/>
    <n v="16380"/>
    <n v="13600"/>
    <m/>
    <n v="2780"/>
  </r>
  <r>
    <n v="14"/>
    <s v="1-2"/>
    <x v="0"/>
    <d v="2026-07-07T00:00:00"/>
    <s v="원방"/>
    <s v="96거5789"/>
    <s v="배민국"/>
    <s v="010-9110-0126"/>
    <s v="집게차"/>
    <x v="7"/>
    <n v="13770"/>
    <n v="13630"/>
    <m/>
    <n v="140"/>
  </r>
  <r>
    <m/>
    <m/>
    <x v="3"/>
    <m/>
    <m/>
    <m/>
    <m/>
    <m/>
    <m/>
    <x v="11"/>
    <m/>
    <m/>
    <m/>
    <m/>
  </r>
  <r>
    <m/>
    <m/>
    <x v="3"/>
    <m/>
    <m/>
    <m/>
    <m/>
    <m/>
    <m/>
    <x v="11"/>
    <m/>
    <m/>
    <m/>
    <m/>
  </r>
  <r>
    <m/>
    <m/>
    <x v="3"/>
    <m/>
    <m/>
    <m/>
    <m/>
    <m/>
    <m/>
    <x v="11"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1"/>
    <n v="1"/>
    <d v="2026-01-09T00:00:00"/>
    <x v="0"/>
    <s v="원방"/>
    <s v="카고"/>
    <s v="820우7928"/>
    <s v="이원영"/>
    <m/>
    <x v="0"/>
    <n v="5320"/>
    <n v="4160"/>
    <m/>
    <n v="1160"/>
    <s v="LT메탈_인천"/>
  </r>
  <r>
    <n v="2"/>
    <n v="2"/>
    <d v="2026-01-09T00:00:00"/>
    <x v="0"/>
    <s v="원방"/>
    <s v="카고"/>
    <s v="대전88아5577"/>
    <m/>
    <m/>
    <x v="0"/>
    <n v="17580"/>
    <n v="9010"/>
    <m/>
    <n v="8570"/>
    <s v="LT메탈_인천"/>
  </r>
  <r>
    <n v="3"/>
    <n v="3"/>
    <d v="2026-01-09T00:00:00"/>
    <x v="0"/>
    <s v="원방"/>
    <s v="카고"/>
    <s v="인천83바4107"/>
    <m/>
    <m/>
    <x v="0"/>
    <n v="13810"/>
    <n v="8560"/>
    <m/>
    <n v="5250"/>
    <s v="LT메탈_인천"/>
  </r>
  <r>
    <n v="4"/>
    <n v="4"/>
    <d v="2026-01-09T00:00:00"/>
    <x v="0"/>
    <s v="원방"/>
    <s v="카고"/>
    <s v="경기91바3551"/>
    <m/>
    <m/>
    <x v="0"/>
    <n v="14730"/>
    <n v="8310"/>
    <m/>
    <n v="6420"/>
    <s v="LT메탈_인천"/>
  </r>
  <r>
    <n v="5"/>
    <n v="5"/>
    <d v="2026-01-09T00:00:00"/>
    <x v="0"/>
    <s v="원방"/>
    <s v="카고"/>
    <s v="충남80아3749"/>
    <m/>
    <m/>
    <x v="0"/>
    <n v="16550"/>
    <n v="9020"/>
    <m/>
    <n v="7530"/>
    <s v="LT메탈_인천"/>
  </r>
  <r>
    <n v="6"/>
    <n v="6"/>
    <d v="2026-01-09T00:00:00"/>
    <x v="0"/>
    <s v="원방"/>
    <s v="카고"/>
    <s v="경기85자5830"/>
    <s v="최상근"/>
    <s v="010-9395-1276"/>
    <x v="0"/>
    <n v="13110"/>
    <n v="7820"/>
    <m/>
    <n v="5290"/>
    <s v="LT메탈_인천"/>
  </r>
  <r>
    <n v="7"/>
    <n v="7"/>
    <d v="2026-01-09T00:00:00"/>
    <x v="0"/>
    <s v="원방"/>
    <s v="카고"/>
    <s v="81러3615"/>
    <s v="이원영"/>
    <m/>
    <x v="0"/>
    <n v="13350"/>
    <n v="7910"/>
    <m/>
    <n v="5440"/>
    <s v="LT메탈_인천"/>
  </r>
  <r>
    <n v="8"/>
    <n v="8"/>
    <d v="2026-01-09T00:00:00"/>
    <x v="0"/>
    <s v="원방"/>
    <s v="카고"/>
    <s v="충북80아5510"/>
    <m/>
    <m/>
    <x v="0"/>
    <n v="12730"/>
    <n v="7830"/>
    <m/>
    <n v="4900"/>
    <s v="LT메탈_인천"/>
  </r>
  <r>
    <n v="9"/>
    <n v="9"/>
    <d v="2026-01-09T00:00:00"/>
    <x v="0"/>
    <s v="원방"/>
    <s v="카고"/>
    <s v="충남80아3291"/>
    <m/>
    <m/>
    <x v="0"/>
    <n v="12060"/>
    <n v="7960"/>
    <m/>
    <n v="4100"/>
    <s v="LT메탈_인천"/>
  </r>
  <r>
    <n v="10"/>
    <n v="1"/>
    <d v="2026-01-14T00:00:00"/>
    <x v="0"/>
    <s v="원방"/>
    <s v="카고"/>
    <s v="경기91바3430"/>
    <s v="정성순"/>
    <s v="010-2043-8274"/>
    <x v="0"/>
    <n v="12790"/>
    <n v="8860"/>
    <m/>
    <n v="3930"/>
    <s v="LT메탈_인천, 폐판넬 상차"/>
  </r>
  <r>
    <n v="11"/>
    <n v="2"/>
    <d v="2026-01-14T00:00:00"/>
    <x v="0"/>
    <s v="원방"/>
    <s v="카고"/>
    <s v="경기85자5830"/>
    <s v="최상근"/>
    <s v="010-9395-1276"/>
    <x v="0"/>
    <n v="10180"/>
    <n v="7820"/>
    <m/>
    <n v="2360"/>
    <s v="LT메탈_인천"/>
  </r>
  <r>
    <n v="12"/>
    <n v="3"/>
    <d v="2026-01-14T00:00:00"/>
    <x v="0"/>
    <s v="원방"/>
    <s v="카고"/>
    <s v="인천85아3149"/>
    <s v="최수행"/>
    <s v="010-2901-2534"/>
    <x v="0"/>
    <n v="11300"/>
    <n v="8510"/>
    <n v="500"/>
    <n v="2290"/>
    <s v="LT메탈_인천, 크로스 양중박스 1개"/>
  </r>
  <r>
    <n v="13"/>
    <n v="4"/>
    <d v="2026-01-14T00:00:00"/>
    <x v="0"/>
    <s v="원방"/>
    <s v="카고"/>
    <s v="경기93아4888"/>
    <s v="조용수"/>
    <s v="010-3364-3181"/>
    <x v="0"/>
    <n v="11840"/>
    <n v="8810"/>
    <n v="1500"/>
    <n v="1530"/>
    <s v="LT메탈_인천, 크로스 양중박스 3개"/>
  </r>
  <r>
    <n v="14"/>
    <n v="1"/>
    <d v="2026-02-13T00:00:00"/>
    <x v="1"/>
    <s v="원방"/>
    <s v="암롤트럭"/>
    <s v="86노1445"/>
    <m/>
    <s v="010-5899-9660"/>
    <x v="0"/>
    <n v="28940"/>
    <n v="20090"/>
    <m/>
    <n v="8850"/>
    <s v="삼성전자 온양사업장 철거"/>
  </r>
  <r>
    <n v="15"/>
    <n v="2"/>
    <d v="2026-02-13T00:00:00"/>
    <x v="1"/>
    <s v="대신에스티에스"/>
    <s v="집게차"/>
    <s v="87주8410"/>
    <s v="배민국"/>
    <s v="010-9110-0126"/>
    <x v="0"/>
    <n v="15720"/>
    <n v="14140"/>
    <m/>
    <n v="1580"/>
    <s v="삼성전자 온양사업장 철거"/>
  </r>
  <r>
    <n v="16"/>
    <s v="3-1"/>
    <d v="2026-02-13T00:00:00"/>
    <x v="1"/>
    <s v="원방"/>
    <s v="암롤트럭"/>
    <s v="86노1445"/>
    <m/>
    <s v="010-5899-9660"/>
    <x v="0"/>
    <n v="29410"/>
    <n v="20080"/>
    <m/>
    <n v="7260"/>
    <s v="삼성전자 온양사업장 철거, 분류 차감"/>
  </r>
  <r>
    <n v="17"/>
    <s v="3-2"/>
    <d v="2026-02-13T00:00:00"/>
    <x v="1"/>
    <s v="원방"/>
    <s v="지게차"/>
    <m/>
    <m/>
    <m/>
    <x v="1"/>
    <m/>
    <m/>
    <m/>
    <n v="2070"/>
    <s v="삼성전자 온양사업장 철거, 6/25 분류"/>
  </r>
  <r>
    <n v="18"/>
    <n v="4"/>
    <d v="2026-02-13T00:00:00"/>
    <x v="1"/>
    <s v="선진알앤디"/>
    <s v="집게차"/>
    <s v="87주8410"/>
    <s v="배민국"/>
    <s v="010-9110-0126"/>
    <x v="0"/>
    <n v="18380"/>
    <n v="14140"/>
    <m/>
    <n v="4240"/>
    <s v="삼성전자 온양사업장 철거"/>
  </r>
  <r>
    <n v="19"/>
    <n v="1"/>
    <d v="2026-02-23T00:00:00"/>
    <x v="1"/>
    <s v="원방"/>
    <s v="1톤트럭"/>
    <s v="81구6225"/>
    <s v="배민국"/>
    <s v="010-9110-0126"/>
    <x v="2"/>
    <n v="2890"/>
    <n v="2160"/>
    <m/>
    <n v="730"/>
    <s v="삼성전자 온양사업장 철거"/>
  </r>
  <r>
    <n v="20"/>
    <n v="1"/>
    <d v="2026-02-24T00:00:00"/>
    <x v="1"/>
    <s v="원방"/>
    <s v="3.5톤트럭"/>
    <s v="820우7928"/>
    <s v="이원영"/>
    <s v="010-9992-4447"/>
    <x v="2"/>
    <n v="5030"/>
    <n v="4180"/>
    <m/>
    <n v="850"/>
    <s v="삼성전자 온양사업장 철거"/>
  </r>
  <r>
    <n v="21"/>
    <n v="1"/>
    <d v="2026-02-24T00:00:00"/>
    <x v="2"/>
    <s v="대호스틸"/>
    <s v="방통차"/>
    <s v="7274"/>
    <m/>
    <m/>
    <x v="3"/>
    <n v="30420"/>
    <n v="18210"/>
    <m/>
    <n v="12210"/>
    <s v="남동계량소에서 계근 후 직납"/>
  </r>
  <r>
    <n v="22"/>
    <n v="2"/>
    <d v="2026-02-24T00:00:00"/>
    <x v="2"/>
    <s v="대호스틸"/>
    <s v="집게차"/>
    <s v="7018집게차"/>
    <m/>
    <m/>
    <x v="4"/>
    <n v="22540"/>
    <n v="13670"/>
    <m/>
    <n v="8870"/>
    <s v="남동계량소에서 계근 후 직납"/>
  </r>
  <r>
    <n v="23"/>
    <n v="1"/>
    <d v="2026-02-25T00:00:00"/>
    <x v="2"/>
    <s v="선진알앤디"/>
    <s v="집게차"/>
    <s v="87주8410"/>
    <s v="배민국"/>
    <s v="010-9110-0126"/>
    <x v="4"/>
    <n v="17960"/>
    <n v="14150"/>
    <m/>
    <n v="3810"/>
    <s v="원방에서 계근 후 직납"/>
  </r>
  <r>
    <n v="24"/>
    <s v="1-1"/>
    <d v="2026-03-05T00:00:00"/>
    <x v="3"/>
    <s v="원방"/>
    <s v="3.5톤트럭"/>
    <s v="820우7928"/>
    <s v="이원영"/>
    <s v="010-8282-5885"/>
    <x v="0"/>
    <n v="4940"/>
    <n v="4210"/>
    <m/>
    <n v="730"/>
    <s v="잠실동 실내철거,_x000a_3/6하차, AL분류 340kg 차감"/>
  </r>
  <r>
    <n v="25"/>
    <s v="1-2"/>
    <d v="2026-03-05T00:00:00"/>
    <x v="3"/>
    <s v="원방"/>
    <s v="3.5톤트럭"/>
    <s v="820우7928"/>
    <s v="이원영"/>
    <s v="010-8282-5885"/>
    <x v="5"/>
    <n v="12320"/>
    <n v="10940"/>
    <n v="1040"/>
    <n v="340"/>
    <s v="잠실동 실내철거,_x000a_흰 양중박스 1개 감량"/>
  </r>
  <r>
    <n v="26"/>
    <n v="1"/>
    <d v="2026-03-05T00:00:00"/>
    <x v="1"/>
    <s v="선진알앤디"/>
    <s v="집게차"/>
    <s v="82모8185"/>
    <s v="최명동"/>
    <s v="010-7997-2485"/>
    <x v="6"/>
    <n v="15340"/>
    <n v="12780"/>
    <m/>
    <n v="2560"/>
    <s v="삼성전자 온양사업장 철거"/>
  </r>
  <r>
    <n v="27"/>
    <n v="2"/>
    <d v="2026-03-05T00:00:00"/>
    <x v="1"/>
    <s v="선진알앤디"/>
    <s v="집게차"/>
    <s v="82모8185"/>
    <s v="최명동"/>
    <s v="010-7997-2485"/>
    <x v="6"/>
    <n v="15330"/>
    <n v="12820"/>
    <m/>
    <n v="2510"/>
    <s v="삼성전자 온양사업장 철거"/>
  </r>
  <r>
    <n v="28"/>
    <n v="1"/>
    <d v="2026-03-06T00:00:00"/>
    <x v="1"/>
    <s v="세화철강"/>
    <s v="집게차"/>
    <s v="82모8185"/>
    <s v="최명동"/>
    <s v="010-7997-2485"/>
    <x v="4"/>
    <n v="15270"/>
    <n v="12910"/>
    <m/>
    <n v="2360"/>
    <s v="삼성전자 온양사업장 철거"/>
  </r>
  <r>
    <n v="29"/>
    <n v="2"/>
    <d v="2026-03-06T00:00:00"/>
    <x v="1"/>
    <s v="세화철강"/>
    <s v="집게차"/>
    <s v="91노1087"/>
    <s v="세화철강"/>
    <s v="041-552-5791"/>
    <x v="4"/>
    <n v="25900"/>
    <n v="22040"/>
    <m/>
    <n v="3860"/>
    <s v="삼성전자 온양사업장 철거"/>
  </r>
  <r>
    <n v="30"/>
    <n v="1"/>
    <d v="2026-03-07T00:00:00"/>
    <x v="1"/>
    <s v="세화철강"/>
    <s v="집게차"/>
    <s v="91노1087"/>
    <s v="세화철강"/>
    <s v="041-552-5791"/>
    <x v="7"/>
    <n v="40030"/>
    <n v="22000"/>
    <m/>
    <n v="18030"/>
    <s v="삼성전자 온양사업장 철거"/>
  </r>
  <r>
    <n v="31"/>
    <n v="1"/>
    <d v="2026-03-09T00:00:00"/>
    <x v="1"/>
    <s v="세화철강"/>
    <s v="집게차"/>
    <s v="91노1087"/>
    <s v="세화철강"/>
    <s v="041-552-5791"/>
    <x v="7"/>
    <n v="28520"/>
    <n v="25280"/>
    <m/>
    <n v="3240"/>
    <s v="삼성전자 온양사업장 철거"/>
  </r>
  <r>
    <n v="32"/>
    <n v="2"/>
    <d v="2026-03-09T00:00:00"/>
    <x v="1"/>
    <s v="세화철강"/>
    <s v="집게차"/>
    <s v="91노1087"/>
    <s v="세화철강"/>
    <s v="041-552-5791"/>
    <x v="4"/>
    <n v="25280"/>
    <n v="22110"/>
    <m/>
    <n v="3170"/>
    <s v="삼성전자 온양사업장 철거"/>
  </r>
  <r>
    <n v="33"/>
    <n v="3"/>
    <d v="2026-03-09T00:00:00"/>
    <x v="1"/>
    <s v="선진알앤디"/>
    <s v="집게차"/>
    <s v="96거5789"/>
    <s v="이선갑"/>
    <s v="010-5315-1508"/>
    <x v="4"/>
    <n v="18260"/>
    <n v="13780"/>
    <m/>
    <n v="4480"/>
    <s v="삼성전자 온양사업장 철거"/>
  </r>
  <r>
    <n v="34"/>
    <n v="1"/>
    <d v="2026-03-10T00:00:00"/>
    <x v="1"/>
    <s v="세화철강"/>
    <s v="집게차"/>
    <s v="91노1087"/>
    <s v="세화철강"/>
    <s v="041-552-5791"/>
    <x v="4"/>
    <n v="27730"/>
    <n v="21940"/>
    <m/>
    <n v="5790"/>
    <s v="삼성전자 온양사업장 철거"/>
  </r>
  <r>
    <n v="35"/>
    <n v="1"/>
    <d v="2026-03-11T00:00:00"/>
    <x v="1"/>
    <s v="세화철강"/>
    <s v="집게차"/>
    <s v="5998"/>
    <s v="세화철강"/>
    <s v="041-552-5791"/>
    <x v="4"/>
    <n v="28430"/>
    <n v="21810"/>
    <m/>
    <n v="6620"/>
    <s v="삼성전자 온양사업장 철거"/>
  </r>
  <r>
    <n v="36"/>
    <n v="1"/>
    <d v="2026-03-12T00:00:00"/>
    <x v="1"/>
    <s v="세화철강"/>
    <s v="집게차"/>
    <s v="91노1087"/>
    <s v="세화철강"/>
    <s v="041-552-5791"/>
    <x v="4"/>
    <n v="27970"/>
    <n v="22050"/>
    <m/>
    <n v="5920"/>
    <s v="삼성전자 온양사업장 철거"/>
  </r>
  <r>
    <n v="37"/>
    <n v="1"/>
    <d v="2026-03-13T00:00:00"/>
    <x v="1"/>
    <s v="세화철강"/>
    <s v="집게차"/>
    <s v="91노1087"/>
    <s v="세화철강"/>
    <s v="041-552-5791"/>
    <x v="4"/>
    <n v="27660"/>
    <n v="22020"/>
    <m/>
    <n v="5640"/>
    <s v="삼성전자 온양사업장 철거"/>
  </r>
  <r>
    <n v="38"/>
    <s v="2-1"/>
    <d v="2026-03-13T00:00:00"/>
    <x v="1"/>
    <s v="원방"/>
    <s v="집게차"/>
    <s v="96거5789"/>
    <s v="이선갑"/>
    <s v="010-5315-1508"/>
    <x v="8"/>
    <n v="18080"/>
    <n v="13690"/>
    <m/>
    <n v="140"/>
    <s v="삼성전자 온양사업장 철거"/>
  </r>
  <r>
    <n v="39"/>
    <s v="2-2"/>
    <d v="2026-03-13T00:00:00"/>
    <x v="1"/>
    <s v="원방"/>
    <s v="지게차"/>
    <m/>
    <m/>
    <m/>
    <x v="9"/>
    <m/>
    <m/>
    <m/>
    <n v="4250"/>
    <s v="삼성전자 온양사업장 철거, 6/25분류"/>
  </r>
  <r>
    <n v="40"/>
    <n v="3"/>
    <d v="2026-03-13T00:00:00"/>
    <x v="1"/>
    <s v="세화철강"/>
    <s v="집게차"/>
    <s v="91노1087"/>
    <s v="세화철강"/>
    <s v="041-552-5791"/>
    <x v="4"/>
    <n v="28380"/>
    <n v="21920"/>
    <m/>
    <n v="6460"/>
    <s v="삼성전자 온양사업장 철거"/>
  </r>
  <r>
    <n v="41"/>
    <n v="1"/>
    <d v="2026-03-16T00:00:00"/>
    <x v="1"/>
    <s v="선진알앤디"/>
    <s v="집게차"/>
    <s v="96거5789"/>
    <s v="이선갑"/>
    <s v="010-5315-1508"/>
    <x v="4"/>
    <n v="17730"/>
    <n v="14000"/>
    <m/>
    <n v="3730"/>
    <s v="삼성전자 온양사업장 철거"/>
  </r>
  <r>
    <n v="42"/>
    <n v="2"/>
    <d v="2026-03-16T00:00:00"/>
    <x v="1"/>
    <s v="원방"/>
    <s v="집게차"/>
    <s v="96거5789"/>
    <s v="이선갑"/>
    <s v="010-5315-1508"/>
    <x v="10"/>
    <n v="13990"/>
    <n v="13770"/>
    <m/>
    <n v="220"/>
    <s v="삼성전자 온양사업장 철거"/>
  </r>
  <r>
    <n v="43"/>
    <n v="1"/>
    <d v="2026-03-17T00:00:00"/>
    <x v="1"/>
    <s v="세화철강"/>
    <s v="방통차"/>
    <s v="2810"/>
    <s v="김상철"/>
    <m/>
    <x v="11"/>
    <n v="33460"/>
    <n v="18940"/>
    <m/>
    <n v="14520"/>
    <s v="삼성전자 온양사업장 철거"/>
  </r>
  <r>
    <n v="44"/>
    <n v="1"/>
    <d v="2026-03-18T00:00:00"/>
    <x v="1"/>
    <s v="선진알앤디"/>
    <s v="집게차"/>
    <s v="96거5789"/>
    <s v="이선갑"/>
    <s v="010-4858-6409"/>
    <x v="4"/>
    <n v="18530"/>
    <n v="13810"/>
    <m/>
    <n v="4720"/>
    <s v="삼성전자 온양사업장 철거"/>
  </r>
  <r>
    <n v="45"/>
    <n v="2"/>
    <d v="2026-03-18T00:00:00"/>
    <x v="1"/>
    <s v="선진알앤디"/>
    <s v="집게차"/>
    <s v="96거5789"/>
    <s v="이선갑"/>
    <s v="010-4858-6409"/>
    <x v="12"/>
    <n v="19340"/>
    <n v="13740"/>
    <m/>
    <n v="5600"/>
    <s v="삼성전자 온양사업장 철거"/>
  </r>
  <r>
    <n v="46"/>
    <n v="1"/>
    <d v="2026-03-20T00:00:00"/>
    <x v="1"/>
    <s v="세화철강"/>
    <s v="방통차"/>
    <s v="서울86바4839"/>
    <s v="세화철강"/>
    <s v="041-552-5791"/>
    <x v="11"/>
    <n v="29180"/>
    <n v="18580"/>
    <m/>
    <n v="10600"/>
    <s v="삼성전자 온양사업장 철거"/>
  </r>
  <r>
    <n v="47"/>
    <n v="1"/>
    <d v="2026-03-23T00:00:00"/>
    <x v="1"/>
    <s v="세화철강"/>
    <s v="방통차"/>
    <s v="2810"/>
    <s v="김상철"/>
    <s v="041-552-5791"/>
    <x v="11"/>
    <n v="30040"/>
    <n v="18980"/>
    <m/>
    <n v="11060"/>
    <s v="삼성전자 온양사업장 철거"/>
  </r>
  <r>
    <n v="48"/>
    <s v="1-1"/>
    <d v="2026-04-29T00:00:00"/>
    <x v="3"/>
    <s v="원방"/>
    <s v="카고"/>
    <s v="서울80바4607"/>
    <m/>
    <m/>
    <x v="13"/>
    <n v="7930"/>
    <n v="4430"/>
    <m/>
    <n v="2720"/>
    <s v="잠실동 실내철거, 5/4 선진출고반영"/>
  </r>
  <r>
    <n v="21"/>
    <s v="1-2"/>
    <d v="2026-04-29T00:00:00"/>
    <x v="3"/>
    <s v="원방"/>
    <s v="카고"/>
    <s v="서울80바4607"/>
    <m/>
    <m/>
    <x v="5"/>
    <m/>
    <m/>
    <m/>
    <n v="780"/>
    <s v="잠실동 실내철거"/>
  </r>
  <r>
    <n v="50"/>
    <n v="2"/>
    <d v="2026-04-29T00:00:00"/>
    <x v="3"/>
    <s v="원방"/>
    <s v="1톤트럭"/>
    <s v="경기81자5768"/>
    <m/>
    <m/>
    <x v="5"/>
    <n v="2440"/>
    <n v="2320"/>
    <m/>
    <n v="120"/>
    <s v="잠실동 실내철거"/>
  </r>
  <r>
    <n v="51"/>
    <n v="1"/>
    <d v="2026-05-08T00:00:00"/>
    <x v="4"/>
    <s v="원방"/>
    <s v="카고"/>
    <s v="대전88아5577"/>
    <s v="우제훈"/>
    <s v="010-5678-7363"/>
    <x v="14"/>
    <n v="15340"/>
    <n v="8880"/>
    <m/>
    <n v="6460"/>
    <s v="LT메탈 남동공장, 파렛트 3개, 설비5ct"/>
  </r>
  <r>
    <n v="52"/>
    <n v="2"/>
    <d v="2026-05-08T00:00:00"/>
    <x v="4"/>
    <s v="원방"/>
    <s v="카고"/>
    <s v="충남80아3986"/>
    <s v="이창용"/>
    <s v="010-3464-3558"/>
    <x v="14"/>
    <n v="13640"/>
    <n v="8440"/>
    <m/>
    <n v="5200"/>
    <s v="LT메탈 남동공장, 소결로 2ea(2.7t, 3.4t)"/>
  </r>
  <r>
    <n v="53"/>
    <n v="3"/>
    <d v="2026-05-08T00:00:00"/>
    <x v="4"/>
    <s v="원방"/>
    <s v="카고"/>
    <s v="충남80바3775"/>
    <s v="차상철"/>
    <s v="010-7413-4241"/>
    <x v="14"/>
    <n v="14310"/>
    <n v="9360"/>
    <m/>
    <n v="4950"/>
    <s v="LT메탈 남동공장, 소결로 2ea(2.7t, 3.4t)"/>
  </r>
  <r>
    <n v="54"/>
    <n v="4"/>
    <d v="2026-05-08T00:00:00"/>
    <x v="4"/>
    <s v="원방"/>
    <s v="카고"/>
    <s v="충남80아3062"/>
    <s v="박오열"/>
    <s v="010-4470-7920"/>
    <x v="0"/>
    <n v="10510"/>
    <n v="8710"/>
    <m/>
    <n v="1800"/>
    <s v="LT메탈 남동공장, 잡자재"/>
  </r>
  <r>
    <n v="55"/>
    <m/>
    <m/>
    <x v="5"/>
    <m/>
    <m/>
    <m/>
    <m/>
    <m/>
    <x v="15"/>
    <m/>
    <m/>
    <m/>
    <m/>
    <m/>
  </r>
  <r>
    <n v="56"/>
    <m/>
    <m/>
    <x v="5"/>
    <m/>
    <m/>
    <m/>
    <m/>
    <m/>
    <x v="15"/>
    <m/>
    <m/>
    <m/>
    <n v="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d v="2026-05-04T00:00:00"/>
    <d v="2026-05-04T00:00:00"/>
    <x v="0"/>
    <x v="0"/>
    <s v="원방"/>
    <s v="주원"/>
    <s v="암롤트럭"/>
    <s v="경기85사3405"/>
    <s v="김태정"/>
    <s v="010-3311-8084"/>
    <x v="0"/>
    <n v="25590"/>
    <n v="21170"/>
    <m/>
    <n v="4420"/>
  </r>
  <r>
    <d v="2026-05-04T00:00:00"/>
    <d v="2026-05-04T00:00:00"/>
    <x v="1"/>
    <x v="1"/>
    <s v="케이엠티엘에스"/>
    <s v="투플러스"/>
    <s v="암롤트럭"/>
    <s v="86노1445"/>
    <s v="김태정"/>
    <s v="010-3311-8084"/>
    <x v="1"/>
    <n v="24520"/>
    <n v="20110"/>
    <m/>
    <n v="4410"/>
  </r>
  <r>
    <d v="2026-05-04T00:00:00"/>
    <d v="2026-05-05T00:00:00"/>
    <x v="1"/>
    <x v="1"/>
    <s v="케이엠티엘에스"/>
    <s v="투플러스"/>
    <s v="암롤트럭"/>
    <s v="86노1445"/>
    <s v="김태정"/>
    <s v="010-3311-8084"/>
    <x v="1"/>
    <n v="25490"/>
    <n v="20800"/>
    <m/>
    <n v="4690"/>
  </r>
  <r>
    <d v="2026-05-06T00:00:00"/>
    <d v="2026-05-06T00:00:00"/>
    <x v="1"/>
    <x v="1"/>
    <s v="케이엠티엘에스"/>
    <s v="투플러스"/>
    <s v="암롤트럭"/>
    <s v="86노1445"/>
    <s v="김태정"/>
    <s v="010-3311-8084"/>
    <x v="1"/>
    <n v="24220"/>
    <n v="20010"/>
    <m/>
    <n v="4210"/>
  </r>
  <r>
    <d v="2026-05-07T00:00:00"/>
    <d v="2026-05-07T00:00:00"/>
    <x v="1"/>
    <x v="1"/>
    <s v="케이엠티엘에스"/>
    <s v="도솔환경산업"/>
    <s v="암롤트럭"/>
    <s v="86노1445"/>
    <s v="김태정"/>
    <s v="010-3311-8084"/>
    <x v="2"/>
    <n v="35520"/>
    <n v="20940"/>
    <m/>
    <n v="14580"/>
  </r>
  <r>
    <d v="2026-05-07T00:00:00"/>
    <d v="2026-05-08T00:00:00"/>
    <x v="1"/>
    <x v="1"/>
    <s v="케이엠티엘에스"/>
    <s v="투플러스"/>
    <s v="암롤트럭"/>
    <s v="86노1445"/>
    <s v="김태정"/>
    <s v="010-3311-8084"/>
    <x v="1"/>
    <n v="24650"/>
    <n v="20100"/>
    <m/>
    <n v="4550"/>
  </r>
  <r>
    <d v="2026-05-11T00:00:00"/>
    <d v="2026-05-11T00:00:00"/>
    <x v="1"/>
    <x v="1"/>
    <s v="케이엠티엘에스"/>
    <s v="주원"/>
    <s v="암롤트럭"/>
    <s v="86노1445"/>
    <s v="이민수"/>
    <s v="010-9992-4447"/>
    <x v="0"/>
    <n v="33270"/>
    <n v="20920"/>
    <m/>
    <n v="12350"/>
  </r>
  <r>
    <d v="2026-05-12T00:00:00"/>
    <d v="2026-05-12T00:00:00"/>
    <x v="1"/>
    <x v="0"/>
    <s v="크로스특수"/>
    <s v="투플러스"/>
    <s v="암롤트럭"/>
    <s v="86노1445"/>
    <s v="이민수"/>
    <s v="010-9992-4447"/>
    <x v="3"/>
    <n v="28340"/>
    <n v="20120"/>
    <m/>
    <n v="8220"/>
  </r>
  <r>
    <d v="2026-05-12T00:00:00"/>
    <d v="2026-05-12T00:00:00"/>
    <x v="1"/>
    <x v="0"/>
    <s v="크로스특수"/>
    <s v="투플러스"/>
    <s v="집게차"/>
    <s v="87주8410"/>
    <s v="배민국"/>
    <s v="010-9110-0126"/>
    <x v="3"/>
    <n v="19510"/>
    <n v="14080"/>
    <m/>
    <n v="5430"/>
  </r>
  <r>
    <d v="2026-05-13T00:00:00"/>
    <d v="2026-05-13T00:00:00"/>
    <x v="1"/>
    <x v="0"/>
    <s v="크로스특수"/>
    <s v="투플러스"/>
    <s v="암롤트럭"/>
    <s v="86노1445"/>
    <s v="이민수"/>
    <s v="010-9992-4447"/>
    <x v="3"/>
    <n v="27600"/>
    <n v="20160"/>
    <m/>
    <n v="7440"/>
  </r>
  <r>
    <d v="2026-05-13T00:00:00"/>
    <d v="2026-05-13T00:00:00"/>
    <x v="1"/>
    <x v="0"/>
    <s v="크로스특수"/>
    <s v="투플러스"/>
    <s v="집게차"/>
    <s v="87주8410"/>
    <s v="배민국"/>
    <s v="010-9110-0126"/>
    <x v="3"/>
    <n v="18400"/>
    <n v="14080"/>
    <m/>
    <n v="4320"/>
  </r>
  <r>
    <d v="2026-05-14T00:00:00"/>
    <d v="2026-05-14T00:00:00"/>
    <x v="1"/>
    <x v="0"/>
    <s v="크로스특수"/>
    <s v="투플러스"/>
    <s v="암롤트럭"/>
    <s v="86노1445"/>
    <s v="이민수"/>
    <s v="010-9992-4447"/>
    <x v="3"/>
    <n v="27440"/>
    <n v="20160"/>
    <m/>
    <n v="7280"/>
  </r>
  <r>
    <d v="2026-05-14T00:00:00"/>
    <d v="2026-05-14T00:00:00"/>
    <x v="1"/>
    <x v="0"/>
    <s v="크로스특수"/>
    <s v="투플러스"/>
    <s v="집게차"/>
    <s v="87주8410"/>
    <s v="배민국"/>
    <s v="010-9110-0126"/>
    <x v="3"/>
    <n v="18560"/>
    <n v="13990"/>
    <m/>
    <n v="4570"/>
  </r>
  <r>
    <d v="2026-05-14T00:00:00"/>
    <d v="2026-05-15T00:00:00"/>
    <x v="1"/>
    <x v="0"/>
    <s v="크로스특수"/>
    <s v="투플러스"/>
    <s v="암롤트럭"/>
    <s v="86노1445"/>
    <s v="이민수"/>
    <s v="010-9992-4447"/>
    <x v="1"/>
    <n v="25300"/>
    <n v="20100"/>
    <s v=" "/>
    <n v="5200"/>
  </r>
  <r>
    <d v="2026-05-14T00:00:00"/>
    <d v="2026-05-15T00:00:00"/>
    <x v="1"/>
    <x v="0"/>
    <s v="크로스특수"/>
    <s v="투플러스"/>
    <s v="집게차"/>
    <s v="87주8410"/>
    <s v="배민국"/>
    <s v="010-9110-0126"/>
    <x v="1"/>
    <n v="16590"/>
    <n v="14040"/>
    <m/>
    <n v="2550"/>
  </r>
  <r>
    <d v="2026-05-15T00:00:00"/>
    <d v="2026-05-15T00:00:00"/>
    <x v="1"/>
    <x v="0"/>
    <s v="크로스특수"/>
    <s v="투플러스"/>
    <s v="암롤트럭"/>
    <s v="86노1445"/>
    <s v="이민수"/>
    <s v="010-9992-4447"/>
    <x v="1"/>
    <n v="27980"/>
    <n v="19990"/>
    <m/>
    <n v="7990"/>
  </r>
  <r>
    <d v="2026-05-15T00:00:00"/>
    <d v="2026-05-15T00:00:00"/>
    <x v="1"/>
    <x v="0"/>
    <s v="크로스특수"/>
    <s v="투플러스"/>
    <s v="집게차"/>
    <s v="87주8410"/>
    <s v="배민국"/>
    <s v="010-9110-0126"/>
    <x v="1"/>
    <n v="17500"/>
    <n v="14110"/>
    <m/>
    <n v="3390"/>
  </r>
  <r>
    <d v="2026-05-16T00:00:00"/>
    <d v="2026-05-16T00:00:00"/>
    <x v="1"/>
    <x v="0"/>
    <s v="크로스특수"/>
    <s v="투플러스"/>
    <s v="암롤트럭"/>
    <s v="86노1445"/>
    <s v="이민수"/>
    <s v="010-9992-4447"/>
    <x v="1"/>
    <n v="24430"/>
    <n v="20160"/>
    <m/>
    <n v="4270"/>
  </r>
  <r>
    <d v="2026-05-16T00:00:00"/>
    <d v="2026-05-16T00:00:00"/>
    <x v="1"/>
    <x v="0"/>
    <s v="크로스특수"/>
    <s v="투플러스"/>
    <s v="집게차"/>
    <s v="87주8410"/>
    <s v="배민국"/>
    <s v="010-9110-0126"/>
    <x v="1"/>
    <n v="16640"/>
    <n v="14020"/>
    <m/>
    <n v="2620"/>
  </r>
  <r>
    <d v="2026-05-18T00:00:00"/>
    <d v="2026-05-18T00:00:00"/>
    <x v="1"/>
    <x v="0"/>
    <s v="크로스특수"/>
    <s v="투플러스"/>
    <s v="암롤트럭"/>
    <s v="86노1445"/>
    <s v="이민수"/>
    <s v="010-9992-4447"/>
    <x v="1"/>
    <n v="24630"/>
    <n v="20080"/>
    <m/>
    <n v="4550"/>
  </r>
  <r>
    <d v="2026-05-18T00:00:00"/>
    <d v="2026-05-18T00:00:00"/>
    <x v="1"/>
    <x v="0"/>
    <s v="크로스특수"/>
    <s v="도솔환경산업"/>
    <s v="암롤트럭"/>
    <s v="86노1445"/>
    <s v="이민수"/>
    <s v="010-9992-4447"/>
    <x v="2"/>
    <n v="44150"/>
    <n v="20130"/>
    <m/>
    <n v="24020"/>
  </r>
  <r>
    <d v="2026-05-18T00:00:00"/>
    <d v="2026-05-18T00:00:00"/>
    <x v="1"/>
    <x v="0"/>
    <s v="크로스특수"/>
    <s v="도솔환경산업"/>
    <s v="방통차"/>
    <s v="충남06노1592"/>
    <s v="전종식"/>
    <m/>
    <x v="2"/>
    <n v="35960"/>
    <n v="14560"/>
    <m/>
    <n v="21400"/>
  </r>
  <r>
    <d v="2026-05-18T00:00:00"/>
    <d v="2026-05-18T00:00:00"/>
    <x v="1"/>
    <x v="0"/>
    <s v="크로스특수"/>
    <s v="도솔환경산업"/>
    <s v="방통차"/>
    <s v="충남06모5639"/>
    <s v="조성환"/>
    <m/>
    <x v="2"/>
    <n v="38690"/>
    <n v="14890"/>
    <m/>
    <n v="23800"/>
  </r>
  <r>
    <d v="2026-05-18T00:00:00"/>
    <d v="2026-05-18T00:00:00"/>
    <x v="1"/>
    <x v="0"/>
    <s v="크로스특수"/>
    <s v="도솔환경산업"/>
    <s v="방통차"/>
    <s v="충남06고1626"/>
    <s v="양명석"/>
    <m/>
    <x v="2"/>
    <n v="35460"/>
    <n v="14660"/>
    <m/>
    <n v="20800"/>
  </r>
  <r>
    <d v="2026-05-18T00:00:00"/>
    <d v="2026-05-18T00:00:00"/>
    <x v="1"/>
    <x v="0"/>
    <s v="크로스특수"/>
    <s v="도솔환경산업"/>
    <s v="방통차"/>
    <s v="충남06노1598"/>
    <s v="임지환"/>
    <m/>
    <x v="2"/>
    <n v="41940"/>
    <n v="15680"/>
    <m/>
    <n v="26260"/>
  </r>
  <r>
    <d v="2026-05-19T00:00:00"/>
    <d v="2026-05-19T00:00:00"/>
    <x v="1"/>
    <x v="0"/>
    <s v="크로스특수"/>
    <s v="도솔환경산업"/>
    <s v="방통차"/>
    <s v="충남06노1592"/>
    <s v="전종식"/>
    <m/>
    <x v="2"/>
    <n v="38290"/>
    <n v="14560"/>
    <m/>
    <n v="23730"/>
  </r>
  <r>
    <d v="2026-05-19T00:00:00"/>
    <d v="2026-05-19T00:00:00"/>
    <x v="1"/>
    <x v="0"/>
    <s v="크로스특수"/>
    <s v="도솔환경산업"/>
    <s v="방통차"/>
    <s v="충남06노1598"/>
    <s v="임지환"/>
    <m/>
    <x v="2"/>
    <n v="39530"/>
    <n v="15680"/>
    <m/>
    <n v="23850"/>
  </r>
  <r>
    <d v="2026-05-19T00:00:00"/>
    <d v="2026-05-19T00:00:00"/>
    <x v="1"/>
    <x v="0"/>
    <s v="크로스특수"/>
    <s v="도솔환경산업"/>
    <s v="방통차"/>
    <s v="충남06고1626"/>
    <s v="양명석"/>
    <m/>
    <x v="2"/>
    <n v="39390"/>
    <n v="14660"/>
    <m/>
    <n v="24730"/>
  </r>
  <r>
    <d v="2026-05-19T00:00:00"/>
    <d v="2026-05-19T00:00:00"/>
    <x v="1"/>
    <x v="0"/>
    <s v="크로스특수"/>
    <s v="도솔환경산업"/>
    <s v="방통차"/>
    <s v="충남06고3191"/>
    <s v="이준호"/>
    <m/>
    <x v="2"/>
    <n v="40120"/>
    <n v="14570"/>
    <m/>
    <n v="25550"/>
  </r>
  <r>
    <d v="2026-05-19T00:00:00"/>
    <d v="2026-05-19T00:00:00"/>
    <x v="1"/>
    <x v="0"/>
    <s v="크로스특수"/>
    <s v="도솔환경산업"/>
    <s v="방통차"/>
    <s v="충남06노1592"/>
    <s v="전종식"/>
    <m/>
    <x v="2"/>
    <n v="37840"/>
    <n v="14560"/>
    <m/>
    <n v="23280"/>
  </r>
  <r>
    <d v="2026-05-19T00:00:00"/>
    <d v="2026-05-19T00:00:00"/>
    <x v="1"/>
    <x v="0"/>
    <s v="크로스특수"/>
    <s v="도솔환경산업"/>
    <s v="방통차"/>
    <s v="충남06노1598"/>
    <s v="임지환"/>
    <m/>
    <x v="2"/>
    <n v="40420"/>
    <n v="15680"/>
    <m/>
    <n v="24740"/>
  </r>
  <r>
    <d v="2026-05-19T00:00:00"/>
    <d v="2026-05-19T00:00:00"/>
    <x v="1"/>
    <x v="0"/>
    <s v="크로스특수"/>
    <s v="도솔환경산업"/>
    <s v="방통차"/>
    <s v="충남06고1626"/>
    <s v="양명석"/>
    <m/>
    <x v="2"/>
    <n v="25890"/>
    <n v="14660"/>
    <m/>
    <n v="11230"/>
  </r>
  <r>
    <d v="2026-05-19T00:00:00"/>
    <d v="2026-05-19T00:00:00"/>
    <x v="2"/>
    <x v="0"/>
    <m/>
    <s v="원방"/>
    <s v="집게차"/>
    <s v="87주8410"/>
    <s v="배민국"/>
    <s v="010-9110-0126"/>
    <x v="4"/>
    <n v="18510"/>
    <n v="15020"/>
    <m/>
    <n v="3490"/>
  </r>
  <r>
    <d v="2026-05-19T00:00:00"/>
    <m/>
    <x v="2"/>
    <x v="1"/>
    <m/>
    <s v="한강그린"/>
    <s v="탱크로리"/>
    <s v="84두0416"/>
    <m/>
    <m/>
    <x v="5"/>
    <n v="27820"/>
    <n v="15220"/>
    <m/>
    <n v="12600"/>
  </r>
  <r>
    <d v="2026-05-21T00:00:00"/>
    <d v="2026-05-21T00:00:00"/>
    <x v="1"/>
    <x v="1"/>
    <s v="케이엠티엘에스"/>
    <s v="도솔환경산업"/>
    <s v="암롤트럭"/>
    <s v="86노1445"/>
    <s v="이민수"/>
    <s v="010-9992-4447"/>
    <x v="2"/>
    <n v="44110"/>
    <n v="20130"/>
    <m/>
    <n v="23980"/>
  </r>
  <r>
    <d v="2026-05-22T00:00:00"/>
    <d v="2026-05-22T00:00:00"/>
    <x v="1"/>
    <x v="1"/>
    <s v="케이엠티엘에스"/>
    <s v="주원"/>
    <s v="암롤트럭"/>
    <s v="86노1445"/>
    <s v="이민수"/>
    <s v="010-9992-4447"/>
    <x v="0"/>
    <n v="37660"/>
    <n v="20690"/>
    <m/>
    <n v="16970"/>
  </r>
  <r>
    <d v="2026-05-26T00:00:00"/>
    <d v="2026-05-26T00:00:00"/>
    <x v="2"/>
    <x v="0"/>
    <m/>
    <s v="원방"/>
    <s v="집게차"/>
    <s v="96거5789"/>
    <s v="배민국"/>
    <s v="010-9110-0126"/>
    <x v="6"/>
    <n v="19660"/>
    <n v="15080"/>
    <m/>
    <n v="4580"/>
  </r>
  <r>
    <d v="2026-05-29T00:00:00"/>
    <d v="2026-05-29T00:00:00"/>
    <x v="1"/>
    <x v="1"/>
    <s v="케이엠티엘에스"/>
    <s v="도솔환경산업"/>
    <s v="덤프트럭"/>
    <s v="충남06노1598"/>
    <m/>
    <m/>
    <x v="7"/>
    <n v="23000"/>
    <n v="14560"/>
    <m/>
    <n v="8440"/>
  </r>
  <r>
    <d v="2026-05-29T00:00:00"/>
    <d v="2026-05-29T00:00:00"/>
    <x v="1"/>
    <x v="1"/>
    <s v="케이엠티엘에스"/>
    <s v="도솔환경산업"/>
    <s v="덤프트럭"/>
    <s v="충남06고1626"/>
    <m/>
    <m/>
    <x v="7"/>
    <n v="26910"/>
    <n v="14660"/>
    <m/>
    <n v="12250"/>
  </r>
  <r>
    <d v="2026-05-29T00:00:00"/>
    <d v="2026-05-29T00:00:00"/>
    <x v="1"/>
    <x v="1"/>
    <s v="케이엠티엘에스"/>
    <s v="도솔환경산업"/>
    <s v="덤프트럭"/>
    <s v="충남06노1592"/>
    <m/>
    <m/>
    <x v="7"/>
    <n v="28090"/>
    <n v="14560"/>
    <m/>
    <n v="13530"/>
  </r>
  <r>
    <d v="2026-06-05T00:00:00"/>
    <d v="2026-06-05T00:00:00"/>
    <x v="1"/>
    <x v="0"/>
    <s v="크로스특수"/>
    <s v="투플러스"/>
    <s v="암롤트럭"/>
    <s v="86노1445"/>
    <s v="김현수"/>
    <s v="010-5315-1508"/>
    <x v="3"/>
    <n v="29210"/>
    <n v="20890"/>
    <m/>
    <n v="8320"/>
  </r>
  <r>
    <d v="2026-06-05T00:00:00"/>
    <d v="2026-06-05T00:00:00"/>
    <x v="1"/>
    <x v="0"/>
    <s v="크로스특수"/>
    <s v="투플러스"/>
    <s v="집게차"/>
    <s v="84나4888"/>
    <s v="이민규"/>
    <s v="010-5899-9660"/>
    <x v="3"/>
    <n v="27040"/>
    <n v="21370"/>
    <m/>
    <n v="5670"/>
  </r>
  <r>
    <d v="2026-06-08T00:00:00"/>
    <m/>
    <x v="2"/>
    <x v="0"/>
    <m/>
    <s v="원방"/>
    <s v="집게차"/>
    <s v="87주8410"/>
    <s v="배민국"/>
    <s v="010-9110-0126"/>
    <x v="1"/>
    <n v="15860"/>
    <n v="14050"/>
    <m/>
    <n v="1810"/>
  </r>
  <r>
    <d v="2026-06-09T00:00:00"/>
    <d v="2026-06-09T00:00:00"/>
    <x v="1"/>
    <x v="0"/>
    <s v="크로스특수"/>
    <s v="투플러스"/>
    <s v="암롤트럭"/>
    <s v="86노1445"/>
    <s v="김현수"/>
    <s v="010-5315-1508"/>
    <x v="3"/>
    <n v="30010"/>
    <n v="20160"/>
    <m/>
    <n v="9850"/>
  </r>
  <r>
    <d v="2026-06-09T00:00:00"/>
    <d v="2026-06-09T00:00:00"/>
    <x v="1"/>
    <x v="0"/>
    <s v="크로스특수"/>
    <s v="투플러스"/>
    <s v="집게차"/>
    <s v="84나4888"/>
    <s v="배민국"/>
    <s v="010-9110-0126"/>
    <x v="3"/>
    <n v="25350"/>
    <n v="21000"/>
    <m/>
    <n v="4350"/>
  </r>
  <r>
    <d v="2026-06-10T00:00:00"/>
    <d v="2026-06-10T00:00:00"/>
    <x v="1"/>
    <x v="0"/>
    <s v="크로스특수"/>
    <s v="투플러스"/>
    <s v="암롤트럭"/>
    <s v="86노1445"/>
    <s v="김현수"/>
    <s v="010-5315-1508"/>
    <x v="3"/>
    <n v="29200"/>
    <n v="20750"/>
    <m/>
    <n v="8450"/>
  </r>
  <r>
    <d v="2026-06-10T00:00:00"/>
    <d v="2026-06-10T00:00:00"/>
    <x v="1"/>
    <x v="0"/>
    <s v="크로스특수"/>
    <s v="투플러스"/>
    <s v="집게차"/>
    <s v="87주8410"/>
    <s v="배민국"/>
    <s v="010-9110-0126"/>
    <x v="3"/>
    <n v="18150"/>
    <n v="14050"/>
    <m/>
    <n v="4100"/>
  </r>
  <r>
    <d v="2026-06-11T00:00:00"/>
    <m/>
    <x v="2"/>
    <x v="0"/>
    <m/>
    <s v="원방"/>
    <s v="집게차"/>
    <s v="87주8410"/>
    <s v="배민국"/>
    <s v="010-9110-0126"/>
    <x v="1"/>
    <n v="18090"/>
    <n v="17870"/>
    <m/>
    <n v="220"/>
  </r>
  <r>
    <d v="2026-06-11T00:00:00"/>
    <m/>
    <x v="2"/>
    <x v="0"/>
    <m/>
    <s v="원방"/>
    <s v="집게차"/>
    <s v="87주8410"/>
    <s v="배민국"/>
    <s v="010-9110-0126"/>
    <x v="0"/>
    <n v="17510"/>
    <n v="14410"/>
    <m/>
    <n v="3100"/>
  </r>
  <r>
    <d v="2026-06-12T00:00:00"/>
    <d v="2026-06-12T00:00:00"/>
    <x v="1"/>
    <x v="0"/>
    <s v="크로스특수"/>
    <s v="투플러스"/>
    <s v="암롤트럭"/>
    <s v="86노1445"/>
    <s v="김현수"/>
    <s v="010-5315-1508"/>
    <x v="3"/>
    <n v="30080"/>
    <n v="20810"/>
    <m/>
    <n v="9270"/>
  </r>
  <r>
    <d v="2026-06-12T00:00:00"/>
    <d v="2026-06-12T00:00:00"/>
    <x v="1"/>
    <x v="0"/>
    <s v="크로스특수"/>
    <s v="투플러스"/>
    <s v="집게차"/>
    <s v="84나4888"/>
    <s v="배민국"/>
    <s v="010-9110-0126"/>
    <x v="3"/>
    <n v="26570"/>
    <n v="21110"/>
    <m/>
    <n v="5460"/>
  </r>
  <r>
    <d v="2026-06-15T00:00:00"/>
    <d v="2026-06-15T00:00:00"/>
    <x v="3"/>
    <x v="1"/>
    <s v="포스코"/>
    <s v="서윤산업"/>
    <s v="암롤트럭"/>
    <s v="88어1563"/>
    <m/>
    <m/>
    <x v="8"/>
    <n v="40240"/>
    <n v="17600"/>
    <m/>
    <n v="22640"/>
  </r>
  <r>
    <d v="2026-06-15T00:00:00"/>
    <d v="2026-06-15T00:00:00"/>
    <x v="1"/>
    <x v="0"/>
    <s v="크로스특수"/>
    <s v="투플러스"/>
    <s v="암롤트럭"/>
    <s v="86노1445"/>
    <s v="김현수"/>
    <s v="010-5315-1508"/>
    <x v="3"/>
    <n v="29920"/>
    <n v="20140"/>
    <m/>
    <n v="9780"/>
  </r>
  <r>
    <d v="2026-06-15T00:00:00"/>
    <d v="2026-06-15T00:00:00"/>
    <x v="1"/>
    <x v="0"/>
    <s v="크로스특수"/>
    <s v="투플러스"/>
    <s v="집게차"/>
    <s v="84나4888"/>
    <s v="배민국"/>
    <s v="010-9110-0126"/>
    <x v="3"/>
    <n v="26020"/>
    <n v="21150"/>
    <m/>
    <n v="4870"/>
  </r>
  <r>
    <d v="2026-06-16T00:00:00"/>
    <d v="2026-06-16T00:00:00"/>
    <x v="1"/>
    <x v="0"/>
    <s v="크로스특수"/>
    <s v="투플러스"/>
    <s v="암롤트럭"/>
    <s v="86노1445"/>
    <s v="김현수"/>
    <s v="010-5315-1508"/>
    <x v="3"/>
    <n v="29840"/>
    <n v="20830"/>
    <m/>
    <n v="9010"/>
  </r>
  <r>
    <d v="2026-06-16T00:00:00"/>
    <d v="2026-06-16T00:00:00"/>
    <x v="1"/>
    <x v="0"/>
    <s v="크로스특수"/>
    <s v="투플러스"/>
    <s v="집게차"/>
    <s v="84나4888"/>
    <s v="배민국"/>
    <s v="010-9110-0126"/>
    <x v="3"/>
    <n v="26890"/>
    <n v="21030"/>
    <m/>
    <n v="5860"/>
  </r>
  <r>
    <d v="2026-06-18T00:00:00"/>
    <d v="2026-06-18T00:00:00"/>
    <x v="1"/>
    <x v="0"/>
    <s v="크로스특수"/>
    <s v="투플러스"/>
    <s v="암롤트럭"/>
    <s v="86노1445"/>
    <s v="김현수"/>
    <s v="010-5315-1508"/>
    <x v="3"/>
    <n v="30070"/>
    <n v="20150"/>
    <m/>
    <n v="9920"/>
  </r>
  <r>
    <d v="2026-06-18T00:00:00"/>
    <d v="2026-06-18T00:00:00"/>
    <x v="1"/>
    <x v="0"/>
    <s v="크로스특수"/>
    <s v="투플러스"/>
    <s v="집게차"/>
    <s v="84나4888"/>
    <s v="배민국"/>
    <s v="010-9110-0126"/>
    <x v="3"/>
    <n v="25570"/>
    <n v="21360"/>
    <m/>
    <n v="4210"/>
  </r>
  <r>
    <d v="2026-06-19T00:00:00"/>
    <d v="2026-06-19T00:00:00"/>
    <x v="1"/>
    <x v="0"/>
    <s v="크로스특수"/>
    <s v="투플러스"/>
    <s v="암롤트럭"/>
    <s v="86노1445"/>
    <s v="김현수"/>
    <s v="010-5315-1508"/>
    <x v="3"/>
    <n v="31460"/>
    <n v="20820"/>
    <m/>
    <n v="10640"/>
  </r>
  <r>
    <d v="2026-06-19T00:00:00"/>
    <d v="2026-06-19T00:00:00"/>
    <x v="1"/>
    <x v="0"/>
    <s v="크로스특수"/>
    <s v="투플러스"/>
    <s v="집게차"/>
    <s v="84나4888"/>
    <s v="배민국"/>
    <s v="010-9110-0126"/>
    <x v="3"/>
    <n v="27090"/>
    <n v="21000"/>
    <m/>
    <n v="6090"/>
  </r>
  <r>
    <d v="2026-06-24T00:00:00"/>
    <d v="2026-06-24T00:00:00"/>
    <x v="3"/>
    <x v="1"/>
    <s v="포스코"/>
    <s v="서윤산업"/>
    <s v="암롤트럭"/>
    <s v="88어1563"/>
    <m/>
    <m/>
    <x v="8"/>
    <n v="36660"/>
    <n v="17220"/>
    <m/>
    <n v="19440"/>
  </r>
  <r>
    <d v="2026-06-24T00:00:00"/>
    <d v="2026-06-24T00:00:00"/>
    <x v="3"/>
    <x v="1"/>
    <s v="포스코"/>
    <s v="서윤산업"/>
    <s v="암롤트럭"/>
    <s v="88어1563"/>
    <m/>
    <m/>
    <x v="8"/>
    <n v="31620"/>
    <n v="17140"/>
    <m/>
    <n v="14480"/>
  </r>
  <r>
    <d v="2026-06-29T00:00:00"/>
    <d v="2026-06-29T00:00:00"/>
    <x v="1"/>
    <x v="0"/>
    <s v="크로스특수"/>
    <s v="투플러스"/>
    <s v="집게차"/>
    <s v="84나4888"/>
    <m/>
    <m/>
    <x v="3"/>
    <n v="26280"/>
    <n v="21160"/>
    <m/>
    <n v="5120"/>
  </r>
  <r>
    <m/>
    <m/>
    <x v="0"/>
    <x v="2"/>
    <m/>
    <m/>
    <m/>
    <m/>
    <m/>
    <m/>
    <x v="9"/>
    <m/>
    <m/>
    <m/>
    <m/>
  </r>
  <r>
    <m/>
    <m/>
    <x v="0"/>
    <x v="2"/>
    <m/>
    <m/>
    <m/>
    <m/>
    <m/>
    <m/>
    <x v="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2EB10-4328-4B66-8849-8301E741401C}" name="피벗 테이블2" cacheId="35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제품명" colHeaderCaption="프로젝트명">
  <location ref="H50:N67" firstHeaderRow="1" firstDataRow="2" firstDataCol="1"/>
  <pivotFields count="15">
    <pivotField showAll="0"/>
    <pivotField showAll="0"/>
    <pivotField showAll="0"/>
    <pivotField axis="axisCol" showAll="0">
      <items count="7">
        <item x="4"/>
        <item x="0"/>
        <item x="1"/>
        <item x="2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7">
        <item x="7"/>
        <item x="6"/>
        <item x="4"/>
        <item x="12"/>
        <item x="3"/>
        <item x="11"/>
        <item x="10"/>
        <item x="14"/>
        <item x="0"/>
        <item x="5"/>
        <item x="8"/>
        <item x="2"/>
        <item x="13"/>
        <item x="15"/>
        <item x="1"/>
        <item x="9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9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합계 : 입고량(kg)" fld="13" baseField="0" baseItem="0" numFmtId="41"/>
  </dataFields>
  <formats count="1">
    <format dxfId="11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732DD-0CB3-4A18-9536-4339F1B3C890}" name="피벗 테이블10" cacheId="31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제품명" colHeaderCaption="프로젝트명">
  <location ref="B50:F63" firstHeaderRow="1" firstDataRow="2" firstDataCol="1"/>
  <pivotFields count="14">
    <pivotField showAll="0"/>
    <pivotField showAll="0"/>
    <pivotField axis="axisCol" showAll="0">
      <items count="9">
        <item m="1" x="4"/>
        <item m="1" x="5"/>
        <item x="0"/>
        <item x="2"/>
        <item m="1" x="7"/>
        <item x="1"/>
        <item m="1" x="6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7">
        <item x="4"/>
        <item x="7"/>
        <item x="3"/>
        <item m="1" x="14"/>
        <item x="0"/>
        <item m="1" x="13"/>
        <item m="1" x="15"/>
        <item m="1" x="12"/>
        <item x="6"/>
        <item x="9"/>
        <item x="1"/>
        <item x="2"/>
        <item x="8"/>
        <item x="5"/>
        <item x="11"/>
        <item x="10"/>
        <item t="default"/>
      </items>
    </pivotField>
    <pivotField showAll="0"/>
    <pivotField showAll="0"/>
    <pivotField showAll="0"/>
    <pivotField dataField="1" showAll="0"/>
  </pivotFields>
  <rowFields count="1">
    <field x="9"/>
  </rowFields>
  <rowItems count="12">
    <i>
      <x/>
    </i>
    <i>
      <x v="1"/>
    </i>
    <i>
      <x v="2"/>
    </i>
    <i>
      <x v="4"/>
    </i>
    <i>
      <x v="8"/>
    </i>
    <i>
      <x v="9"/>
    </i>
    <i>
      <x v="10"/>
    </i>
    <i>
      <x v="11"/>
    </i>
    <i>
      <x v="12"/>
    </i>
    <i>
      <x v="13"/>
    </i>
    <i>
      <x v="15"/>
    </i>
    <i t="grand">
      <x/>
    </i>
  </rowItems>
  <colFields count="1">
    <field x="2"/>
  </colFields>
  <colItems count="4">
    <i>
      <x v="2"/>
    </i>
    <i>
      <x v="3"/>
    </i>
    <i>
      <x v="5"/>
    </i>
    <i t="grand">
      <x/>
    </i>
  </colItems>
  <dataFields count="1">
    <dataField name="합계 : 입고량(Kg)" fld="13" baseField="0" baseItem="0" numFmtId="41"/>
  </dataFields>
  <formats count="8">
    <format dxfId="126">
      <pivotArea outline="0" collapsedLevelsAreSubtotals="1" fieldPosition="0"/>
    </format>
    <format dxfId="125">
      <pivotArea type="origin" dataOnly="0" labelOnly="1" outline="0" fieldPosition="0"/>
    </format>
    <format dxfId="124">
      <pivotArea field="2" type="button" dataOnly="0" labelOnly="1" outline="0" axis="axisCol" fieldPosition="0"/>
    </format>
    <format dxfId="123">
      <pivotArea type="topRight" dataOnly="0" labelOnly="1" outline="0" fieldPosition="0"/>
    </format>
    <format dxfId="122">
      <pivotArea field="9" type="button" dataOnly="0" labelOnly="1" outline="0" axis="axisRow" fieldPosition="0"/>
    </format>
    <format dxfId="121">
      <pivotArea dataOnly="0" labelOnly="1" fieldPosition="0">
        <references count="1">
          <reference field="2" count="0"/>
        </references>
      </pivotArea>
    </format>
    <format dxfId="120">
      <pivotArea dataOnly="0" labelOnly="1" grandCol="1" outline="0" fieldPosition="0"/>
    </format>
    <format dxfId="119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F5CD6-01EC-432B-B279-287E0E65AD56}" name="피벗 테이블8" cacheId="5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제품명">
  <location ref="B22:C26" firstHeaderRow="1" firstDataRow="1" firstDataCol="1" rowPageCount="2" colPageCount="1"/>
  <pivotFields count="15">
    <pivotField showAll="0"/>
    <pivotField showAll="0"/>
    <pivotField axis="axisPage" multipleItemSelectionAllowed="1" showAll="0">
      <items count="5">
        <item x="1"/>
        <item h="1" x="2"/>
        <item h="1" x="0"/>
        <item h="1" x="3"/>
        <item t="default"/>
      </items>
    </pivotField>
    <pivotField axis="axisPage" multipleItemSelectionAllowed="1" showAll="0">
      <items count="8">
        <item h="1" m="1" x="5"/>
        <item x="0"/>
        <item h="1" m="1" x="4"/>
        <item h="1" x="1"/>
        <item h="1" m="1" x="3"/>
        <item h="1" m="1" x="6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4">
        <item x="6"/>
        <item m="1" x="11"/>
        <item x="5"/>
        <item x="3"/>
        <item x="4"/>
        <item x="8"/>
        <item x="7"/>
        <item m="1" x="10"/>
        <item m="1" x="12"/>
        <item x="2"/>
        <item x="1"/>
        <item x="0"/>
        <item x="9"/>
        <item t="default"/>
      </items>
    </pivotField>
    <pivotField showAll="0"/>
    <pivotField showAll="0"/>
    <pivotField showAll="0"/>
    <pivotField dataField="1" showAll="0"/>
  </pivotFields>
  <rowFields count="1">
    <field x="10"/>
  </rowFields>
  <rowItems count="4">
    <i>
      <x v="3"/>
    </i>
    <i>
      <x v="9"/>
    </i>
    <i>
      <x v="10"/>
    </i>
    <i t="grand">
      <x/>
    </i>
  </rowItems>
  <colItems count="1">
    <i/>
  </colItems>
  <pageFields count="2">
    <pageField fld="3" hier="-1"/>
    <pageField fld="2" hier="-1"/>
  </pageFields>
  <dataFields count="1">
    <dataField name="합계 : 입고량(kg)" fld="14" baseField="0" baseItem="0" numFmtId="41"/>
  </dataFields>
  <formats count="3">
    <format dxfId="129">
      <pivotArea outline="0" collapsedLevelsAreSubtotals="1" fieldPosition="0"/>
    </format>
    <format dxfId="128">
      <pivotArea field="10" type="button" dataOnly="0" labelOnly="1" outline="0" axis="axisRow" fieldPosition="0"/>
    </format>
    <format dxfId="127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E2AD8-B957-4173-8407-36E1F8A45E4A}" name="피벗 테이블9" cacheId="5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제품명">
  <location ref="E22:F27" firstHeaderRow="1" firstDataRow="1" firstDataCol="1" rowPageCount="2" colPageCount="1"/>
  <pivotFields count="15">
    <pivotField showAll="0"/>
    <pivotField showAll="0"/>
    <pivotField axis="axisPage" multipleItemSelectionAllowed="1" showAll="0">
      <items count="5">
        <item x="1"/>
        <item h="1" x="2"/>
        <item h="1" x="0"/>
        <item h="1" x="3"/>
        <item t="default"/>
      </items>
    </pivotField>
    <pivotField axis="axisPage" multipleItemSelectionAllowed="1" showAll="0">
      <items count="8">
        <item h="1" m="1" x="5"/>
        <item h="1" x="0"/>
        <item h="1" m="1" x="4"/>
        <item x="1"/>
        <item h="1" m="1" x="3"/>
        <item h="1" m="1" x="6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4">
        <item x="6"/>
        <item m="1" x="11"/>
        <item x="5"/>
        <item x="3"/>
        <item x="4"/>
        <item x="8"/>
        <item x="7"/>
        <item m="1" x="10"/>
        <item m="1" x="12"/>
        <item x="2"/>
        <item x="1"/>
        <item x="0"/>
        <item x="9"/>
        <item t="default"/>
      </items>
    </pivotField>
    <pivotField showAll="0"/>
    <pivotField showAll="0"/>
    <pivotField showAll="0"/>
    <pivotField dataField="1" showAll="0"/>
  </pivotFields>
  <rowFields count="1">
    <field x="10"/>
  </rowFields>
  <rowItems count="5">
    <i>
      <x v="6"/>
    </i>
    <i>
      <x v="9"/>
    </i>
    <i>
      <x v="10"/>
    </i>
    <i>
      <x v="11"/>
    </i>
    <i t="grand">
      <x/>
    </i>
  </rowItems>
  <colItems count="1">
    <i/>
  </colItems>
  <pageFields count="2">
    <pageField fld="3" hier="-1"/>
    <pageField fld="2" hier="-1"/>
  </pageFields>
  <dataFields count="1">
    <dataField name="합계 : 입고량(kg)" fld="14" baseField="0" baseItem="0" numFmtId="41"/>
  </dataFields>
  <formats count="3">
    <format dxfId="132">
      <pivotArea outline="0" collapsedLevelsAreSubtotals="1" fieldPosition="0"/>
    </format>
    <format dxfId="131">
      <pivotArea field="10" type="button" dataOnly="0" labelOnly="1" outline="0" axis="axisRow" fieldPosition="0"/>
    </format>
    <format dxfId="13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0BF41-D0B2-4E70-8DBA-6182C2C080B7}" name="피벗 테이블2" cacheId="6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제품명">
  <location ref="C31:D41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m="1" x="11"/>
        <item m="1" x="10"/>
        <item x="8"/>
        <item x="3"/>
        <item x="4"/>
        <item x="2"/>
        <item m="1" x="13"/>
        <item x="7"/>
        <item x="1"/>
        <item x="6"/>
        <item m="1" x="15"/>
        <item x="5"/>
        <item m="1" x="14"/>
        <item m="1" x="12"/>
        <item x="0"/>
        <item h="1" x="9"/>
        <item t="default"/>
      </items>
    </pivotField>
    <pivotField showAll="0"/>
    <pivotField showAll="0"/>
    <pivotField showAll="0"/>
    <pivotField dataField="1" numFmtId="41" showAll="0"/>
  </pivotFields>
  <rowFields count="1">
    <field x="7"/>
  </rowFields>
  <rowItems count="10">
    <i>
      <x v="2"/>
    </i>
    <i>
      <x v="3"/>
    </i>
    <i>
      <x v="4"/>
    </i>
    <i>
      <x v="5"/>
    </i>
    <i>
      <x v="7"/>
    </i>
    <i>
      <x v="8"/>
    </i>
    <i>
      <x v="9"/>
    </i>
    <i>
      <x v="11"/>
    </i>
    <i>
      <x v="14"/>
    </i>
    <i t="grand">
      <x/>
    </i>
  </rowItems>
  <colItems count="1">
    <i/>
  </colItems>
  <dataFields count="1">
    <dataField name="반입량(kg)" fld="11" baseField="7" baseItem="0" numFmtId="41"/>
  </dataFields>
  <formats count="16">
    <format dxfId="114">
      <pivotArea field="7" type="button" dataOnly="0" labelOnly="1" outline="0" axis="axisRow" fieldPosition="0"/>
    </format>
    <format dxfId="113">
      <pivotArea dataOnly="0" labelOnly="1" outline="0" axis="axisValues" fieldPosition="0"/>
    </format>
    <format dxfId="112">
      <pivotArea field="7" type="button" dataOnly="0" labelOnly="1" outline="0" axis="axisRow" fieldPosition="0"/>
    </format>
    <format dxfId="111">
      <pivotArea dataOnly="0" labelOnly="1" outline="0" axis="axisValues" fieldPosition="0"/>
    </format>
    <format dxfId="110">
      <pivotArea outline="0" collapsedLevelsAreSubtotals="1" fieldPosition="0"/>
    </format>
    <format dxfId="109">
      <pivotArea grandRow="1" outline="0" collapsedLevelsAreSubtotals="1" fieldPosition="0"/>
    </format>
    <format dxfId="108">
      <pivotArea dataOnly="0" labelOnly="1" grandRow="1" outline="0" fieldPosition="0"/>
    </format>
    <format dxfId="107">
      <pivotArea dataOnly="0" labelOnly="1" grandRow="1" outline="0" fieldPosition="0"/>
    </format>
    <format dxfId="106">
      <pivotArea dataOnly="0" grandRow="1" fieldPosition="0"/>
    </format>
    <format dxfId="105">
      <pivotArea field="7" type="button" dataOnly="0" labelOnly="1" outline="0" axis="axisRow" fieldPosition="0"/>
    </format>
    <format dxfId="104">
      <pivotArea dataOnly="0" labelOnly="1" outline="0" axis="axisValues" fieldPosition="0"/>
    </format>
    <format dxfId="103">
      <pivotArea dataOnly="0" fieldPosition="0">
        <references count="1">
          <reference field="7" count="7">
            <x v="2"/>
            <x v="3"/>
            <x v="4"/>
            <x v="5"/>
            <x v="6"/>
            <x v="7"/>
            <x v="8"/>
          </reference>
        </references>
      </pivotArea>
    </format>
    <format dxfId="102">
      <pivotArea field="7" type="button" dataOnly="0" labelOnly="1" outline="0" axis="axisRow" fieldPosition="0"/>
    </format>
    <format dxfId="101">
      <pivotArea dataOnly="0" labelOnly="1" outline="0" axis="axisValues" fieldPosition="0"/>
    </format>
    <format dxfId="100">
      <pivotArea grandRow="1" outline="0" collapsedLevelsAreSubtotals="1" fieldPosition="0"/>
    </format>
    <format dxfId="99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EA72A-FAFE-4B5C-B556-A531EB44AFEA}" name="피벗 테이블1" cacheId="35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제품명" colHeaderCaption="프로젝트명">
  <location ref="C63:I80" firstHeaderRow="1" firstDataRow="2" firstDataCol="1"/>
  <pivotFields count="15">
    <pivotField showAll="0"/>
    <pivotField showAll="0"/>
    <pivotField showAll="0"/>
    <pivotField axis="axisCol" showAll="0">
      <items count="7">
        <item x="4"/>
        <item x="0"/>
        <item x="1"/>
        <item x="2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7">
        <item x="7"/>
        <item x="6"/>
        <item x="4"/>
        <item x="12"/>
        <item x="3"/>
        <item x="11"/>
        <item x="10"/>
        <item x="14"/>
        <item x="0"/>
        <item x="5"/>
        <item x="8"/>
        <item x="2"/>
        <item x="13"/>
        <item x="15"/>
        <item x="1"/>
        <item x="9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9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합계 : 입고량(kg)" fld="13" baseField="0" baseItem="0" numFmtId="41"/>
  </dataFields>
  <formats count="1">
    <format dxfId="9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56883-E2C7-47D1-B5C3-E5E19A9EFC46}" name="피벗 테이블8" cacheId="31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제품명" colHeaderCaption="프로젝트명">
  <location ref="C28:G41" firstHeaderRow="1" firstDataRow="2" firstDataCol="1"/>
  <pivotFields count="14">
    <pivotField showAll="0"/>
    <pivotField showAll="0"/>
    <pivotField axis="axisCol" showAll="0">
      <items count="9">
        <item m="1" x="4"/>
        <item m="1" x="5"/>
        <item x="0"/>
        <item x="2"/>
        <item m="1" x="7"/>
        <item x="1"/>
        <item m="1" x="6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7">
        <item x="4"/>
        <item x="7"/>
        <item x="3"/>
        <item m="1" x="14"/>
        <item x="0"/>
        <item m="1" x="13"/>
        <item m="1" x="15"/>
        <item m="1" x="12"/>
        <item x="6"/>
        <item x="9"/>
        <item x="1"/>
        <item x="2"/>
        <item x="8"/>
        <item x="5"/>
        <item x="11"/>
        <item x="10"/>
        <item t="default"/>
      </items>
    </pivotField>
    <pivotField showAll="0"/>
    <pivotField showAll="0"/>
    <pivotField showAll="0"/>
    <pivotField dataField="1" showAll="0"/>
  </pivotFields>
  <rowFields count="1">
    <field x="9"/>
  </rowFields>
  <rowItems count="12">
    <i>
      <x/>
    </i>
    <i>
      <x v="1"/>
    </i>
    <i>
      <x v="2"/>
    </i>
    <i>
      <x v="4"/>
    </i>
    <i>
      <x v="8"/>
    </i>
    <i>
      <x v="9"/>
    </i>
    <i>
      <x v="10"/>
    </i>
    <i>
      <x v="11"/>
    </i>
    <i>
      <x v="12"/>
    </i>
    <i>
      <x v="13"/>
    </i>
    <i>
      <x v="15"/>
    </i>
    <i t="grand">
      <x/>
    </i>
  </rowItems>
  <colFields count="1">
    <field x="2"/>
  </colFields>
  <colItems count="4">
    <i>
      <x v="2"/>
    </i>
    <i>
      <x v="3"/>
    </i>
    <i>
      <x v="5"/>
    </i>
    <i t="grand">
      <x/>
    </i>
  </colItems>
  <dataFields count="1">
    <dataField name="합계 : 입고량(Kg)" fld="13" baseField="0" baseItem="0" numFmtId="41"/>
  </dataFields>
  <formats count="8">
    <format dxfId="79">
      <pivotArea outline="0" collapsedLevelsAreSubtotals="1" fieldPosition="0"/>
    </format>
    <format dxfId="78">
      <pivotArea type="origin" dataOnly="0" labelOnly="1" outline="0" fieldPosition="0"/>
    </format>
    <format dxfId="77">
      <pivotArea field="2" type="button" dataOnly="0" labelOnly="1" outline="0" axis="axisCol" fieldPosition="0"/>
    </format>
    <format dxfId="76">
      <pivotArea type="topRight" dataOnly="0" labelOnly="1" outline="0" fieldPosition="0"/>
    </format>
    <format dxfId="75">
      <pivotArea field="9" type="button" dataOnly="0" labelOnly="1" outline="0" axis="axisRow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Col="1" outline="0" fieldPosition="0"/>
    </format>
    <format dxfId="72">
      <pivotArea dataOnly="0" labelOnly="1" grandRow="1" outline="0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40EA7-3AFC-4024-A453-06A6E6C878DB}" name="피벗 테이블3" cacheId="24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제품명">
  <location ref="C28:D39" firstHeaderRow="1" firstDataRow="1" firstDataCol="1"/>
  <pivotFields count="12">
    <pivotField numFmtId="176"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8"/>
        <item m="1" x="12"/>
        <item x="0"/>
        <item m="1" x="11"/>
        <item x="5"/>
        <item x="1"/>
        <item x="7"/>
        <item x="6"/>
        <item x="4"/>
        <item m="1" x="13"/>
        <item x="9"/>
        <item m="1" x="17"/>
        <item x="3"/>
        <item m="1" x="14"/>
        <item m="1" x="16"/>
        <item m="1" x="10"/>
        <item m="1" x="15"/>
        <item x="2"/>
        <item t="default"/>
      </items>
    </pivotField>
    <pivotField showAll="0"/>
    <pivotField showAll="0"/>
    <pivotField showAll="0"/>
    <pivotField dataField="1" numFmtId="41" showAll="0"/>
  </pivotFields>
  <rowFields count="1">
    <field x="7"/>
  </rowFields>
  <rowItems count="11">
    <i>
      <x/>
    </i>
    <i>
      <x v="2"/>
    </i>
    <i>
      <x v="4"/>
    </i>
    <i>
      <x v="5"/>
    </i>
    <i>
      <x v="6"/>
    </i>
    <i>
      <x v="7"/>
    </i>
    <i>
      <x v="8"/>
    </i>
    <i>
      <x v="10"/>
    </i>
    <i>
      <x v="12"/>
    </i>
    <i>
      <x v="17"/>
    </i>
    <i t="grand">
      <x/>
    </i>
  </rowItems>
  <colItems count="1">
    <i/>
  </colItems>
  <dataFields count="1">
    <dataField name="반입량(kg)" fld="11" baseField="0" baseItem="0" numFmtId="41"/>
  </dataFields>
  <formats count="15">
    <format dxfId="71">
      <pivotArea outline="0" collapsedLevelsAreSubtotals="1" fieldPosition="0"/>
    </format>
    <format dxfId="70">
      <pivotArea field="7" type="button" dataOnly="0" labelOnly="1" outline="0" axis="axisRow" fieldPosition="0"/>
    </format>
    <format dxfId="69">
      <pivotArea dataOnly="0" labelOnly="1" outline="0" axis="axisValues" fieldPosition="0"/>
    </format>
    <format dxfId="68">
      <pivotArea grandRow="1" outline="0" collapsedLevelsAreSubtotals="1" fieldPosition="0"/>
    </format>
    <format dxfId="67">
      <pivotArea dataOnly="0" labelOnly="1" grandRow="1" outline="0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  <format dxfId="64">
      <pivotArea field="7" type="button" dataOnly="0" labelOnly="1" outline="0" axis="axisRow" fieldPosition="0"/>
    </format>
    <format dxfId="63">
      <pivotArea dataOnly="0" labelOnly="1" outline="0" axis="axisValues" fieldPosition="0"/>
    </format>
    <format dxfId="62">
      <pivotArea grandRow="1" outline="0" collapsedLevelsAreSubtotals="1" fieldPosition="0"/>
    </format>
    <format dxfId="61">
      <pivotArea dataOnly="0" labelOnly="1" grandRow="1" outline="0" fieldPosition="0"/>
    </format>
    <format dxfId="60">
      <pivotArea collapsedLevelsAreSubtotals="1" fieldPosition="0">
        <references count="1">
          <reference field="7" count="1">
            <x v="10"/>
          </reference>
        </references>
      </pivotArea>
    </format>
    <format dxfId="59">
      <pivotArea dataOnly="0" labelOnly="1" fieldPosition="0">
        <references count="1">
          <reference field="7" count="1">
            <x v="10"/>
          </reference>
        </references>
      </pivotArea>
    </format>
    <format dxfId="58">
      <pivotArea collapsedLevelsAreSubtotals="1" fieldPosition="0">
        <references count="1">
          <reference field="7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7">
      <pivotArea dataOnly="0" labelOnly="1" fieldPosition="0">
        <references count="1">
          <reference field="7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DF02F-6896-42E9-B3F3-9D5EE5DA8853}" name="피벗 테이블4" cacheId="27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제품명">
  <location ref="C117:D14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1">
        <item m="1" x="35"/>
        <item x="14"/>
        <item x="21"/>
        <item m="1" x="39"/>
        <item m="1" x="23"/>
        <item x="18"/>
        <item x="4"/>
        <item x="0"/>
        <item m="1" x="26"/>
        <item x="13"/>
        <item x="19"/>
        <item x="12"/>
        <item m="1" x="31"/>
        <item x="17"/>
        <item x="16"/>
        <item x="3"/>
        <item m="1" x="25"/>
        <item m="1" x="30"/>
        <item x="20"/>
        <item x="10"/>
        <item m="1" x="38"/>
        <item x="6"/>
        <item x="9"/>
        <item m="1" x="36"/>
        <item x="2"/>
        <item m="1" x="33"/>
        <item x="8"/>
        <item m="1" x="29"/>
        <item m="1" x="37"/>
        <item m="1" x="28"/>
        <item x="7"/>
        <item x="11"/>
        <item m="1" x="34"/>
        <item x="1"/>
        <item m="1" x="24"/>
        <item x="5"/>
        <item m="1" x="32"/>
        <item m="1" x="27"/>
        <item x="15"/>
        <item h="1" x="22"/>
        <item t="default"/>
      </items>
    </pivotField>
    <pivotField showAll="0"/>
    <pivotField showAll="0"/>
    <pivotField showAll="0"/>
    <pivotField dataField="1" numFmtId="41" showAll="0"/>
    <pivotField showAll="0"/>
  </pivotFields>
  <rowFields count="1">
    <field x="7"/>
  </rowFields>
  <rowItems count="23">
    <i>
      <x v="1"/>
    </i>
    <i>
      <x v="2"/>
    </i>
    <i>
      <x v="5"/>
    </i>
    <i>
      <x v="6"/>
    </i>
    <i>
      <x v="7"/>
    </i>
    <i>
      <x v="9"/>
    </i>
    <i>
      <x v="10"/>
    </i>
    <i>
      <x v="11"/>
    </i>
    <i>
      <x v="13"/>
    </i>
    <i>
      <x v="14"/>
    </i>
    <i>
      <x v="15"/>
    </i>
    <i>
      <x v="18"/>
    </i>
    <i>
      <x v="19"/>
    </i>
    <i>
      <x v="21"/>
    </i>
    <i>
      <x v="22"/>
    </i>
    <i>
      <x v="24"/>
    </i>
    <i>
      <x v="26"/>
    </i>
    <i>
      <x v="30"/>
    </i>
    <i>
      <x v="31"/>
    </i>
    <i>
      <x v="33"/>
    </i>
    <i>
      <x v="35"/>
    </i>
    <i>
      <x v="38"/>
    </i>
    <i t="grand">
      <x/>
    </i>
  </rowItems>
  <colItems count="1">
    <i/>
  </colItems>
  <dataFields count="1">
    <dataField name="반입량(kg)" fld="11" baseField="0" baseItem="0" numFmtId="41"/>
  </dataFields>
  <formats count="24">
    <format dxfId="33">
      <pivotArea collapsedLevelsAreSubtotals="1" fieldPosition="0">
        <references count="1">
          <reference field="7" count="1">
            <x v="4"/>
          </reference>
        </references>
      </pivotArea>
    </format>
    <format dxfId="34">
      <pivotArea dataOnly="0" labelOnly="1" fieldPosition="0">
        <references count="1">
          <reference field="7" count="1">
            <x v="4"/>
          </reference>
        </references>
      </pivotArea>
    </format>
    <format dxfId="35">
      <pivotArea dataOnly="0" fieldPosition="0">
        <references count="1">
          <reference field="7" count="1">
            <x v="13"/>
          </reference>
        </references>
      </pivotArea>
    </format>
    <format dxfId="36">
      <pivotArea collapsedLevelsAreSubtotals="1" fieldPosition="0">
        <references count="1">
          <reference field="7" count="1">
            <x v="25"/>
          </reference>
        </references>
      </pivotArea>
    </format>
    <format dxfId="37">
      <pivotArea dataOnly="0" labelOnly="1" fieldPosition="0">
        <references count="1">
          <reference field="7" count="1">
            <x v="25"/>
          </reference>
        </references>
      </pivotArea>
    </format>
    <format dxfId="38">
      <pivotArea collapsedLevelsAreSubtotals="1" fieldPosition="0">
        <references count="1">
          <reference field="7" count="1">
            <x v="29"/>
          </reference>
        </references>
      </pivotArea>
    </format>
    <format dxfId="39">
      <pivotArea dataOnly="0" labelOnly="1" fieldPosition="0">
        <references count="1">
          <reference field="7" count="1">
            <x v="29"/>
          </reference>
        </references>
      </pivotArea>
    </format>
    <format dxfId="40">
      <pivotArea collapsedLevelsAreSubtotals="1" fieldPosition="0">
        <references count="1">
          <reference field="7" count="1">
            <x v="34"/>
          </reference>
        </references>
      </pivotArea>
    </format>
    <format dxfId="41">
      <pivotArea dataOnly="0" labelOnly="1" fieldPosition="0">
        <references count="1">
          <reference field="7" count="1">
            <x v="34"/>
          </reference>
        </references>
      </pivotArea>
    </format>
    <format dxfId="42">
      <pivotArea grandRow="1" outline="0" collapsedLevelsAreSubtotals="1" fieldPosition="0"/>
    </format>
    <format dxfId="43">
      <pivotArea dataOnly="0" labelOnly="1" grandRow="1" outline="0" fieldPosition="0"/>
    </format>
    <format dxfId="44">
      <pivotArea field="7" type="button" dataOnly="0" labelOnly="1" outline="0" axis="axisRow" fieldPosition="0"/>
    </format>
    <format dxfId="45">
      <pivotArea dataOnly="0" labelOnly="1" outline="0" axis="axisValues" fieldPosition="0"/>
    </format>
    <format dxfId="46">
      <pivotArea grandRow="1" outline="0" collapsedLevelsAreSubtotals="1" fieldPosition="0"/>
    </format>
    <format dxfId="47">
      <pivotArea dataOnly="0" labelOnly="1" grandRow="1" outline="0" fieldPosition="0"/>
    </format>
    <format dxfId="48">
      <pivotArea field="7" type="button" dataOnly="0" labelOnly="1" outline="0" axis="axisRow" fieldPosition="0"/>
    </format>
    <format dxfId="49">
      <pivotArea dataOnly="0" labelOnly="1" outline="0" axis="axisValues" fieldPosition="0"/>
    </format>
    <format dxfId="50">
      <pivotArea outline="0" collapsedLevelsAreSubtotals="1" fieldPosition="0"/>
    </format>
    <format dxfId="51">
      <pivotArea collapsedLevelsAreSubtotals="1" fieldPosition="0">
        <references count="1">
          <reference field="7" count="1">
            <x v="0"/>
          </reference>
        </references>
      </pivotArea>
    </format>
    <format dxfId="52">
      <pivotArea dataOnly="0" labelOnly="1" fieldPosition="0">
        <references count="1">
          <reference field="7" count="1">
            <x v="0"/>
          </reference>
        </references>
      </pivotArea>
    </format>
    <format dxfId="53">
      <pivotArea grandRow="1" outline="0" collapsedLevelsAreSubtotals="1" fieldPosition="0"/>
    </format>
    <format dxfId="54">
      <pivotArea dataOnly="0" labelOnly="1" grandRow="1" outline="0" fieldPosition="0"/>
    </format>
    <format dxfId="55">
      <pivotArea collapsedLevelsAreSubtotals="1" fieldPosition="0">
        <references count="1">
          <reference field="7" count="9"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56">
      <pivotArea dataOnly="0" labelOnly="1" fieldPosition="0">
        <references count="1">
          <reference field="7" count="9"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프로젝트명" xr10:uid="{3F448BAD-2460-466B-AD75-227C9769B65E}" sourceName="프로젝트명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프로젝트명" xr10:uid="{F5332DE7-0EBB-4851-ABD7-12C56102AAA1}" cache="슬라이서_프로젝트명" caption="프로젝트명" columnCount="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D80F7-F4ED-4E07-9F2D-445DC37677DE}" name="표1" displayName="표1" ref="A3:O59" totalsRowShown="0" headerRowDxfId="97" headerRowBorderDxfId="96" tableBorderDxfId="95">
  <autoFilter ref="A3:O59" xr:uid="{9B0A4593-F501-492C-9F1F-3EE24F03F6D5}"/>
  <tableColumns count="15">
    <tableColumn id="1" xr3:uid="{97420D23-AE23-489A-923B-59C03C9E2D5A}" name="NO_x000a_(1)" dataDxfId="94">
      <calculatedColumnFormula>ROW()-3</calculatedColumnFormula>
    </tableColumn>
    <tableColumn id="2" xr3:uid="{55FD5AA5-D9A4-4380-938D-D193FC32C1A7}" name="NO_x000a_(2)" dataDxfId="93"/>
    <tableColumn id="3" xr3:uid="{24411226-A3BE-4EBA-8D15-6D177F7AC412}" name="상차일" dataDxfId="92"/>
    <tableColumn id="4" xr3:uid="{BDCEF282-B78D-4C08-B249-3C588775545E}" name="프로젝트명" dataDxfId="91"/>
    <tableColumn id="5" xr3:uid="{66ADB1B0-8F46-4F3E-AA21-91F297342824}" name="하차지" dataDxfId="90"/>
    <tableColumn id="6" xr3:uid="{9F92CC94-AA5D-4C97-9AF2-2813F5643CBC}" name="차종" dataDxfId="89"/>
    <tableColumn id="7" xr3:uid="{1E1E9729-52F5-4F8E-B3E0-BD03BBAD7039}" name="차량번호" dataDxfId="88"/>
    <tableColumn id="8" xr3:uid="{E150D8C5-CEB4-4278-B5BC-8A5E7D49ACA6}" name="운전자" dataDxfId="87"/>
    <tableColumn id="9" xr3:uid="{BC3139B9-E4E2-408F-83AA-889102777490}" name="연락처" dataDxfId="86"/>
    <tableColumn id="10" xr3:uid="{58ECA865-299E-4246-B923-8DA568E749FC}" name="제품명" dataDxfId="85"/>
    <tableColumn id="11" xr3:uid="{D5F54E54-CCB9-44FE-8A63-D26A0B69732F}" name="총중량(kg)" dataDxfId="84" dataCellStyle="쉼표 [0]"/>
    <tableColumn id="12" xr3:uid="{32933558-77AE-4F1A-A694-AB9DCC4CB77B}" name="공차중량(kg)" dataDxfId="83" dataCellStyle="쉼표 [0]"/>
    <tableColumn id="13" xr3:uid="{E4880C4C-6103-4383-B0AD-1D411DC7AE0E}" name="감량(kg)" dataDxfId="82" dataCellStyle="쉼표 [0]"/>
    <tableColumn id="14" xr3:uid="{AC0C19D0-7808-49BD-94DA-3B2382C716C5}" name="입고량(kg)" dataDxfId="81" dataCellStyle="쉼표 [0]"/>
    <tableColumn id="17" xr3:uid="{7338D648-D920-4487-B8B2-CCDB140651CF}" name="비고" dataDxfId="8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omments" Target="../comments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Relationship Id="rId6" Type="http://schemas.microsoft.com/office/2007/relationships/slicer" Target="../slicers/slicer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2157-FE07-45BD-A998-854FB657843B}">
  <sheetPr>
    <pageSetUpPr fitToPage="1"/>
  </sheetPr>
  <dimension ref="A1:O87"/>
  <sheetViews>
    <sheetView tabSelected="1" zoomScale="85" zoomScaleNormal="85" workbookViewId="0">
      <selection activeCell="J18" sqref="J18"/>
    </sheetView>
  </sheetViews>
  <sheetFormatPr defaultColWidth="9.140625" defaultRowHeight="16.5" x14ac:dyDescent="0.25"/>
  <cols>
    <col min="1" max="1" width="9.28515625" style="163" bestFit="1" customWidth="1"/>
    <col min="2" max="2" width="26.85546875" style="163" customWidth="1"/>
    <col min="3" max="3" width="18.140625" style="163" bestFit="1" customWidth="1"/>
    <col min="4" max="4" width="12.7109375" style="163" bestFit="1" customWidth="1"/>
    <col min="5" max="5" width="20" style="163" bestFit="1" customWidth="1"/>
    <col min="6" max="6" width="18" style="163" customWidth="1"/>
    <col min="7" max="7" width="17.7109375" style="163" bestFit="1" customWidth="1"/>
    <col min="8" max="8" width="12.7109375" style="163" bestFit="1" customWidth="1"/>
    <col min="9" max="9" width="20.42578125" style="163" bestFit="1" customWidth="1"/>
    <col min="10" max="10" width="21.140625" style="163" bestFit="1" customWidth="1"/>
    <col min="11" max="11" width="17.42578125" style="163" bestFit="1" customWidth="1"/>
    <col min="12" max="12" width="24.5703125" style="163" bestFit="1" customWidth="1"/>
    <col min="13" max="13" width="18" style="163" bestFit="1" customWidth="1"/>
    <col min="14" max="14" width="9.85546875" style="163" bestFit="1" customWidth="1"/>
    <col min="15" max="16384" width="9.140625" style="163"/>
  </cols>
  <sheetData>
    <row r="1" spans="1:10" ht="41.25" customHeight="1" x14ac:dyDescent="0.25">
      <c r="A1" s="552" t="s">
        <v>240</v>
      </c>
      <c r="B1" s="552"/>
      <c r="C1" s="552"/>
      <c r="D1" s="552"/>
      <c r="E1" s="552"/>
      <c r="F1" s="552"/>
      <c r="G1" s="552"/>
      <c r="H1" s="552"/>
      <c r="I1" s="552"/>
      <c r="J1" s="552"/>
    </row>
    <row r="2" spans="1:10" ht="17.25" thickBot="1" x14ac:dyDescent="0.3">
      <c r="J2" s="170">
        <v>46211</v>
      </c>
    </row>
    <row r="3" spans="1:10" ht="24.95" customHeight="1" x14ac:dyDescent="0.25">
      <c r="A3" s="554" t="s">
        <v>211</v>
      </c>
      <c r="B3" s="553" t="s">
        <v>228</v>
      </c>
      <c r="C3" s="553" t="s">
        <v>231</v>
      </c>
      <c r="D3" s="553"/>
      <c r="E3" s="557" t="s">
        <v>253</v>
      </c>
      <c r="F3" s="553" t="s">
        <v>232</v>
      </c>
      <c r="G3" s="553"/>
      <c r="H3" s="559" t="s">
        <v>254</v>
      </c>
      <c r="I3" s="548" t="s">
        <v>241</v>
      </c>
      <c r="J3" s="550" t="s">
        <v>230</v>
      </c>
    </row>
    <row r="4" spans="1:10" ht="24.95" customHeight="1" x14ac:dyDescent="0.25">
      <c r="A4" s="555"/>
      <c r="B4" s="556"/>
      <c r="C4" s="167" t="s">
        <v>225</v>
      </c>
      <c r="D4" s="167" t="s">
        <v>229</v>
      </c>
      <c r="E4" s="558"/>
      <c r="F4" s="167" t="s">
        <v>225</v>
      </c>
      <c r="G4" s="167" t="s">
        <v>229</v>
      </c>
      <c r="H4" s="560"/>
      <c r="I4" s="549"/>
      <c r="J4" s="551"/>
    </row>
    <row r="5" spans="1:10" ht="24.95" customHeight="1" x14ac:dyDescent="0.25">
      <c r="A5" s="166">
        <f t="shared" ref="A5:A7" si="0">ROW()-4</f>
        <v>1</v>
      </c>
      <c r="B5" s="165" t="s">
        <v>307</v>
      </c>
      <c r="C5" s="164">
        <f>SUMIFS('기타 현장'!$N$4:$N$60,'기타 현장'!$D$4:$D$60,갑지!B5,'기타 현장'!E4:$E$60,"원방")</f>
        <v>18410</v>
      </c>
      <c r="D5" s="164">
        <f>SUMIF('기타 현장'!$D$4:$D$60,갑지!B5,'기타 현장'!$N$4:$N$60)-갑지!C5</f>
        <v>0</v>
      </c>
      <c r="E5" s="191">
        <f t="shared" ref="E5:E10" si="1">D5+C5</f>
        <v>18410</v>
      </c>
      <c r="F5" s="164">
        <f>SUMIFS('폐기물 입고'!$P$4:$P$70,'폐기물 입고'!$E$4:$E$70,갑지!B5,'폐기물 입고'!$G$4:$G$70,"원방")</f>
        <v>0</v>
      </c>
      <c r="G5" s="164">
        <f>SUMIF('폐기물 입고'!$E$4:$E$70,갑지!B5,'폐기물 입고'!$P$4:$P$70)-갑지!F5</f>
        <v>0</v>
      </c>
      <c r="H5" s="192">
        <f t="shared" ref="H5" si="2">SUM(F5:G5)</f>
        <v>0</v>
      </c>
      <c r="I5" s="193">
        <f t="shared" ref="I5:I10" si="3">H5+E5</f>
        <v>18410</v>
      </c>
      <c r="J5" s="190" t="s">
        <v>198</v>
      </c>
    </row>
    <row r="6" spans="1:10" ht="24.95" customHeight="1" x14ac:dyDescent="0.25">
      <c r="A6" s="166">
        <f t="shared" si="0"/>
        <v>2</v>
      </c>
      <c r="B6" s="382" t="s">
        <v>184</v>
      </c>
      <c r="C6" s="383">
        <f>SUMIFS(스크랩입고량!$N$4:$N$228,스크랩입고량!$D$4:$D$228,갑지!B6,스크랩입고량!$E$4:$E$228,"원방")</f>
        <v>2258</v>
      </c>
      <c r="D6" s="383">
        <f>현대_대도_당진!N2-갑지!C6</f>
        <v>226050</v>
      </c>
      <c r="E6" s="384">
        <f t="shared" si="1"/>
        <v>228308</v>
      </c>
      <c r="F6" s="383">
        <f>SUMIFS('폐기물 입고'!$P$4:$P$70,'폐기물 입고'!$E$4:$E$70,갑지!B6,'폐기물 입고'!$G$4:$G$70,"원방")</f>
        <v>0</v>
      </c>
      <c r="G6" s="383">
        <f>SUMIF('폐기물 입고'!$E$4:$E$70,갑지!B6,'폐기물 입고'!$P$4:$P$70)-갑지!F6</f>
        <v>0</v>
      </c>
      <c r="H6" s="385">
        <f>SUM(F6:G6)</f>
        <v>0</v>
      </c>
      <c r="I6" s="193">
        <f t="shared" si="3"/>
        <v>228308</v>
      </c>
      <c r="J6" s="386"/>
    </row>
    <row r="7" spans="1:10" ht="24.95" customHeight="1" x14ac:dyDescent="0.25">
      <c r="A7" s="166">
        <f t="shared" si="0"/>
        <v>3</v>
      </c>
      <c r="B7" s="382" t="s">
        <v>646</v>
      </c>
      <c r="C7" s="383">
        <f>SUMIFS(스크랩입고량!$N$4:$N$228,스크랩입고량!$D$4:$D$228,갑지!B7,스크랩입고량!$E$4:$E$228,"원방")</f>
        <v>98220</v>
      </c>
      <c r="D7" s="383">
        <f>선진_진천식품기계!N2-갑지!C7</f>
        <v>0</v>
      </c>
      <c r="E7" s="384">
        <f t="shared" si="1"/>
        <v>98220</v>
      </c>
      <c r="F7" s="383">
        <f>SUMIFS('폐기물 입고'!$P$4:$P$70,'폐기물 입고'!$E$4:$E$70,갑지!B7,'폐기물 입고'!$G$4:$G$70,"원방")</f>
        <v>0</v>
      </c>
      <c r="G7" s="383">
        <f>SUMIF('폐기물 입고'!$E$4:$E$70,갑지!B7,'폐기물 입고'!$P$4:$P$70)-갑지!F7</f>
        <v>0</v>
      </c>
      <c r="H7" s="385">
        <f>SUM(F7:G7)</f>
        <v>0</v>
      </c>
      <c r="I7" s="193">
        <f t="shared" si="3"/>
        <v>98220</v>
      </c>
      <c r="J7" s="386"/>
    </row>
    <row r="8" spans="1:10" ht="24.95" customHeight="1" x14ac:dyDescent="0.25">
      <c r="A8" s="292">
        <f>ROW()-4</f>
        <v>4</v>
      </c>
      <c r="B8" s="293" t="s">
        <v>459</v>
      </c>
      <c r="C8" s="294">
        <f>SUMIFS(스크랩입고량!$N$4:$N$228,스크랩입고량!$D$4:$D$228,갑지!B8,스크랩입고량!$E$4:$E$228,"원방")</f>
        <v>118420</v>
      </c>
      <c r="D8" s="294">
        <f>삼성_이텍솔루션_안성!N2-갑지!C8</f>
        <v>0</v>
      </c>
      <c r="E8" s="295">
        <f t="shared" si="1"/>
        <v>118420</v>
      </c>
      <c r="F8" s="294">
        <f>SUMIFS('폐기물 입고'!$P$4:$P$70,'폐기물 입고'!$E$4:$E$70,갑지!B8,'폐기물 입고'!$G$4:$G$70,"원방")</f>
        <v>0</v>
      </c>
      <c r="G8" s="294">
        <f>SUMIF('폐기물 입고'!$E$4:$E$70,갑지!B8,'폐기물 입고'!$P$4:$P$70)-갑지!F8</f>
        <v>0</v>
      </c>
      <c r="H8" s="296">
        <f>SUM(F8:G8)</f>
        <v>0</v>
      </c>
      <c r="I8" s="297">
        <f t="shared" si="3"/>
        <v>118420</v>
      </c>
      <c r="J8" s="298" t="s">
        <v>620</v>
      </c>
    </row>
    <row r="9" spans="1:10" ht="24.95" customHeight="1" x14ac:dyDescent="0.25">
      <c r="A9" s="292">
        <f>ROW()-4</f>
        <v>5</v>
      </c>
      <c r="B9" s="293" t="s">
        <v>34</v>
      </c>
      <c r="C9" s="294">
        <f>SUMIFS(스크랩입고량!$N$4:$N$228,스크랩입고량!$D$4:$D$228,갑지!B9,스크랩입고량!$E$4:$E$228,"원방")</f>
        <v>84660</v>
      </c>
      <c r="D9" s="294">
        <f>포스코_KM안산!N2-갑지!C9</f>
        <v>1582811</v>
      </c>
      <c r="E9" s="295">
        <f t="shared" si="1"/>
        <v>1667471</v>
      </c>
      <c r="F9" s="294">
        <f>SUMIFS('폐기물 입고'!$P$4:$P$70,'폐기물 입고'!$E$4:$E$70,갑지!B9,'폐기물 입고'!$G$4:$G$70,"원방")</f>
        <v>0</v>
      </c>
      <c r="G9" s="294">
        <f>SUMIF('폐기물 입고'!$E$4:$E$70,갑지!B9,'폐기물 입고'!$P$4:$P$70)-갑지!F9</f>
        <v>189120</v>
      </c>
      <c r="H9" s="296">
        <f>SUM(F9:G9)</f>
        <v>189120</v>
      </c>
      <c r="I9" s="297">
        <f t="shared" si="3"/>
        <v>1856591</v>
      </c>
      <c r="J9" s="298"/>
    </row>
    <row r="10" spans="1:10" ht="24.95" customHeight="1" x14ac:dyDescent="0.25">
      <c r="A10" s="292">
        <f t="shared" ref="A10:A12" si="4">ROW()-4</f>
        <v>6</v>
      </c>
      <c r="B10" s="293" t="s">
        <v>85</v>
      </c>
      <c r="C10" s="294">
        <f>SUMIFS(스크랩입고량!$N$4:$N$228,스크랩입고량!$D$4:$D$228,갑지!B10,스크랩입고량!$E$4:$E$228,"원방")</f>
        <v>9930</v>
      </c>
      <c r="D10" s="294">
        <f>동우PL1_평택!N2-갑지!C10</f>
        <v>104310</v>
      </c>
      <c r="E10" s="295">
        <f t="shared" si="1"/>
        <v>114240</v>
      </c>
      <c r="F10" s="294">
        <f>SUMIFS('폐기물 입고'!$P$4:$P$70,'폐기물 입고'!$E$4:$E$70,갑지!B10,'폐기물 입고'!$G$4:$G$70,"원방")</f>
        <v>13200</v>
      </c>
      <c r="G10" s="294">
        <f>SUMIF('폐기물 입고'!$E$4:$E$70,갑지!B10,'폐기물 입고'!$P$4:$P$70)-갑지!F10</f>
        <v>466610</v>
      </c>
      <c r="H10" s="296">
        <f>SUM(F10:G10)</f>
        <v>479810</v>
      </c>
      <c r="I10" s="297">
        <f t="shared" si="3"/>
        <v>594050</v>
      </c>
      <c r="J10" s="298"/>
    </row>
    <row r="11" spans="1:10" ht="24.95" customHeight="1" x14ac:dyDescent="0.25">
      <c r="A11" s="292">
        <f t="shared" si="4"/>
        <v>7</v>
      </c>
      <c r="B11" s="293" t="s">
        <v>177</v>
      </c>
      <c r="C11" s="294">
        <f>SUMIFS('기타 현장'!$N$4:$N$60,'기타 현장'!$D$4:$D$60,갑지!B11,'기타 현장'!E4:$E$60,"원방")</f>
        <v>4690</v>
      </c>
      <c r="D11" s="294">
        <f>SUMIF('기타 현장'!$D$4:$D$60,갑지!B11,'기타 현장'!$N$4:$N$60)-갑지!C11</f>
        <v>0</v>
      </c>
      <c r="E11" s="295">
        <f t="shared" ref="E11:E12" si="5">D11+C11</f>
        <v>4690</v>
      </c>
      <c r="F11" s="294">
        <f>SUMIFS('폐기물 입고'!$P$4:$P$70,'폐기물 입고'!$E$4:$E$70,갑지!B11,'폐기물 입고'!$G$4:$G$70,"원방")</f>
        <v>0</v>
      </c>
      <c r="G11" s="294">
        <f>SUMIF('폐기물 입고'!$E$4:$E$70,갑지!B11,'폐기물 입고'!$P$4:$P$70)-갑지!F11</f>
        <v>0</v>
      </c>
      <c r="H11" s="296">
        <f t="shared" ref="H11:H13" si="6">SUM(F11:G11)</f>
        <v>0</v>
      </c>
      <c r="I11" s="297">
        <f t="shared" ref="I11:I13" si="7">H11+E11</f>
        <v>4690</v>
      </c>
      <c r="J11" s="298" t="s">
        <v>198</v>
      </c>
    </row>
    <row r="12" spans="1:10" ht="24.95" customHeight="1" x14ac:dyDescent="0.25">
      <c r="A12" s="292">
        <f t="shared" si="4"/>
        <v>8</v>
      </c>
      <c r="B12" s="293" t="s">
        <v>233</v>
      </c>
      <c r="C12" s="294">
        <f>SUMIFS('기타 현장'!$N$4:$N$60,'기타 현장'!$D$4:$D$60,갑지!B12,'기타 현장'!E4:$E$60,"원방")</f>
        <v>58770</v>
      </c>
      <c r="D12" s="294">
        <f>SUMIF('기타 현장'!$D$4:$D$60,갑지!B12,'기타 현장'!$N$4:$N$60)-갑지!C12</f>
        <v>0</v>
      </c>
      <c r="E12" s="295">
        <f t="shared" si="5"/>
        <v>58770</v>
      </c>
      <c r="F12" s="294">
        <f>SUMIFS('폐기물 입고'!$P$4:$P$70,'폐기물 입고'!$E$4:$E$70,갑지!B12,'폐기물 입고'!$G$4:$G$70,"원방")</f>
        <v>0</v>
      </c>
      <c r="G12" s="294">
        <f>SUMIF('폐기물 입고'!$E$4:$E$70,갑지!B12,'폐기물 입고'!$P$4:$P$70)-갑지!F12</f>
        <v>0</v>
      </c>
      <c r="H12" s="296">
        <f t="shared" si="6"/>
        <v>0</v>
      </c>
      <c r="I12" s="297">
        <f t="shared" si="7"/>
        <v>58770</v>
      </c>
      <c r="J12" s="298" t="s">
        <v>198</v>
      </c>
    </row>
    <row r="13" spans="1:10" ht="24.95" customHeight="1" x14ac:dyDescent="0.25">
      <c r="A13" s="309"/>
      <c r="B13" s="310" t="s">
        <v>564</v>
      </c>
      <c r="C13" s="310"/>
      <c r="D13" s="310"/>
      <c r="E13" s="311">
        <f>스크랩입고량!N2-(갑지!E9+갑지!E10+E7+E8+갑지!E5+갑지!E6+갑지!E11+갑지!E12)</f>
        <v>-47192</v>
      </c>
      <c r="F13" s="310"/>
      <c r="G13" s="310"/>
      <c r="H13" s="312">
        <f t="shared" si="6"/>
        <v>0</v>
      </c>
      <c r="I13" s="313">
        <f t="shared" si="7"/>
        <v>-47192</v>
      </c>
      <c r="J13" s="314"/>
    </row>
    <row r="14" spans="1:10" ht="30" customHeight="1" thickBot="1" x14ac:dyDescent="0.3">
      <c r="A14" s="546" t="s">
        <v>238</v>
      </c>
      <c r="B14" s="547"/>
      <c r="C14" s="300">
        <f>SUM(C5:C13)</f>
        <v>395358</v>
      </c>
      <c r="D14" s="300">
        <f>SUM(D5:D13)</f>
        <v>1913171</v>
      </c>
      <c r="E14" s="301">
        <f>SUM(E5:E13)</f>
        <v>2261337</v>
      </c>
      <c r="F14" s="300">
        <f>SUM(F5:F13)</f>
        <v>13200</v>
      </c>
      <c r="G14" s="300">
        <f>SUM(G5:G13)</f>
        <v>655730</v>
      </c>
      <c r="H14" s="302">
        <f>SUM(H5:H13)</f>
        <v>668930</v>
      </c>
      <c r="I14" s="194">
        <f>SUM(I5:I13)</f>
        <v>2930267</v>
      </c>
      <c r="J14" s="299"/>
    </row>
    <row r="15" spans="1:10" x14ac:dyDescent="0.25">
      <c r="A15" s="169" t="s">
        <v>242</v>
      </c>
      <c r="J15" s="168" t="s">
        <v>239</v>
      </c>
    </row>
    <row r="16" spans="1:10" x14ac:dyDescent="0.25">
      <c r="A16" s="169"/>
      <c r="D16" s="196"/>
      <c r="E16" s="196"/>
    </row>
    <row r="17" spans="1:9" ht="17.25" x14ac:dyDescent="0.25">
      <c r="A17" s="169"/>
      <c r="B17" s="466" t="s">
        <v>615</v>
      </c>
      <c r="D17" s="196"/>
      <c r="E17" s="196"/>
    </row>
    <row r="19" spans="1:9" x14ac:dyDescent="0.25">
      <c r="B19" s="461" t="s">
        <v>1</v>
      </c>
      <c r="C19" t="s">
        <v>85</v>
      </c>
      <c r="E19" s="461" t="s">
        <v>1</v>
      </c>
      <c r="F19" t="s">
        <v>34</v>
      </c>
    </row>
    <row r="20" spans="1:9" x14ac:dyDescent="0.25">
      <c r="B20" s="461" t="s">
        <v>610</v>
      </c>
      <c r="C20" t="s">
        <v>191</v>
      </c>
      <c r="E20" s="461" t="s">
        <v>610</v>
      </c>
      <c r="F20" t="s">
        <v>191</v>
      </c>
    </row>
    <row r="21" spans="1:9" x14ac:dyDescent="0.25">
      <c r="B21"/>
      <c r="C21"/>
      <c r="E21"/>
      <c r="F21"/>
    </row>
    <row r="22" spans="1:9" x14ac:dyDescent="0.25">
      <c r="B22" s="491" t="s">
        <v>7</v>
      </c>
      <c r="C22" s="492" t="s">
        <v>609</v>
      </c>
      <c r="D22" s="493"/>
      <c r="E22" s="491" t="s">
        <v>7</v>
      </c>
      <c r="F22" s="492" t="s">
        <v>609</v>
      </c>
    </row>
    <row r="23" spans="1:9" x14ac:dyDescent="0.25">
      <c r="B23" s="446" t="s">
        <v>643</v>
      </c>
      <c r="C23" s="449">
        <v>158230</v>
      </c>
      <c r="E23" s="446" t="s">
        <v>607</v>
      </c>
      <c r="F23" s="449">
        <v>34220</v>
      </c>
    </row>
    <row r="24" spans="1:9" x14ac:dyDescent="0.25">
      <c r="B24" s="446" t="s">
        <v>608</v>
      </c>
      <c r="C24" s="449">
        <v>273390</v>
      </c>
      <c r="E24" s="446" t="s">
        <v>608</v>
      </c>
      <c r="F24" s="449">
        <v>38560</v>
      </c>
    </row>
    <row r="25" spans="1:9" x14ac:dyDescent="0.25">
      <c r="B25" s="446" t="s">
        <v>220</v>
      </c>
      <c r="C25" s="449">
        <v>30570</v>
      </c>
      <c r="E25" s="446" t="s">
        <v>220</v>
      </c>
      <c r="F25" s="449">
        <v>17860</v>
      </c>
    </row>
    <row r="26" spans="1:9" x14ac:dyDescent="0.25">
      <c r="B26" s="446" t="s">
        <v>588</v>
      </c>
      <c r="C26" s="449">
        <v>462190</v>
      </c>
      <c r="E26" s="446" t="s">
        <v>412</v>
      </c>
      <c r="F26" s="449">
        <v>29320</v>
      </c>
    </row>
    <row r="27" spans="1:9" x14ac:dyDescent="0.25">
      <c r="B27"/>
      <c r="C27"/>
      <c r="E27" s="446" t="s">
        <v>588</v>
      </c>
      <c r="F27" s="449">
        <v>119960</v>
      </c>
    </row>
    <row r="28" spans="1:9" x14ac:dyDescent="0.25">
      <c r="E28"/>
      <c r="F28"/>
      <c r="H28"/>
      <c r="I28"/>
    </row>
    <row r="29" spans="1:9" x14ac:dyDescent="0.25">
      <c r="B29" s="169" t="s">
        <v>644</v>
      </c>
      <c r="E29"/>
      <c r="F29"/>
      <c r="H29"/>
      <c r="I29"/>
    </row>
    <row r="30" spans="1:9" x14ac:dyDescent="0.25">
      <c r="H30"/>
      <c r="I30"/>
    </row>
    <row r="32" spans="1:9" x14ac:dyDescent="0.25">
      <c r="B32" s="450" t="s">
        <v>616</v>
      </c>
      <c r="F32" s="450" t="s">
        <v>617</v>
      </c>
    </row>
    <row r="34" spans="2:14" x14ac:dyDescent="0.25">
      <c r="B34" s="496" t="str">
        <f>현대_대도_당진!F31</f>
        <v>제품</v>
      </c>
      <c r="C34" s="497" t="str">
        <f>현대_대도_당진!G31</f>
        <v>반입량(kg)</v>
      </c>
      <c r="D34" s="498" t="str">
        <f>현대_대도_당진!H31</f>
        <v>비율</v>
      </c>
      <c r="F34" s="496" t="str">
        <f>포스코_KM안산!F117</f>
        <v>제품</v>
      </c>
      <c r="G34" s="497" t="str">
        <f>포스코_KM안산!G117</f>
        <v>반입량(kg)</v>
      </c>
      <c r="H34" s="498" t="str">
        <f>포스코_KM안산!H117</f>
        <v>비율</v>
      </c>
    </row>
    <row r="35" spans="2:14" x14ac:dyDescent="0.25">
      <c r="B35" s="485" t="str">
        <f>현대_대도_당진!F32</f>
        <v>고철</v>
      </c>
      <c r="C35" s="486">
        <f>현대_대도_당진!G32</f>
        <v>227150</v>
      </c>
      <c r="D35" s="487">
        <f>현대_대도_당진!H32</f>
        <v>0.99492790440983236</v>
      </c>
      <c r="F35" s="485" t="str">
        <f>포스코_KM안산!F118</f>
        <v>고철</v>
      </c>
      <c r="G35" s="486">
        <f>포스코_KM안산!G118</f>
        <v>1459940</v>
      </c>
      <c r="H35" s="487">
        <f>포스코_KM안산!H118</f>
        <v>0.87554146368962338</v>
      </c>
    </row>
    <row r="36" spans="2:14" x14ac:dyDescent="0.25">
      <c r="B36" s="485" t="str">
        <f>현대_대도_당진!F33</f>
        <v>비철</v>
      </c>
      <c r="C36" s="486">
        <f>현대_대도_당진!G33</f>
        <v>1158</v>
      </c>
      <c r="D36" s="487">
        <f>현대_대도_당진!H33</f>
        <v>5.0720955901676686E-3</v>
      </c>
      <c r="F36" s="485" t="str">
        <f>포스코_KM안산!F119</f>
        <v>스텐</v>
      </c>
      <c r="G36" s="486">
        <f>포스코_KM안산!G119</f>
        <v>17411</v>
      </c>
      <c r="H36" s="487">
        <f>포스코_KM안산!H119</f>
        <v>1.0441560902708353E-2</v>
      </c>
    </row>
    <row r="37" spans="2:14" x14ac:dyDescent="0.25">
      <c r="B37" s="488" t="str">
        <f>현대_대도_당진!F34</f>
        <v>합계</v>
      </c>
      <c r="C37" s="489">
        <f>현대_대도_당진!G34</f>
        <v>228308</v>
      </c>
      <c r="D37" s="490">
        <f>현대_대도_당진!H34</f>
        <v>1</v>
      </c>
      <c r="F37" s="485" t="str">
        <f>포스코_KM안산!F120</f>
        <v>비철</v>
      </c>
      <c r="G37" s="486">
        <f>포스코_KM안산!G120</f>
        <v>190120</v>
      </c>
      <c r="H37" s="487">
        <f>포스코_KM안산!H120</f>
        <v>0.11401697540766825</v>
      </c>
    </row>
    <row r="38" spans="2:14" x14ac:dyDescent="0.25">
      <c r="B38" s="570"/>
      <c r="C38" s="572"/>
      <c r="D38" s="573"/>
      <c r="F38" s="488" t="str">
        <f>포스코_KM안산!F121</f>
        <v>합계</v>
      </c>
      <c r="G38" s="489">
        <f ca="1">포스코_KM안산!G121</f>
        <v>0</v>
      </c>
      <c r="H38" s="490">
        <f>포스코_KM안산!H121</f>
        <v>1</v>
      </c>
    </row>
    <row r="39" spans="2:14" x14ac:dyDescent="0.25">
      <c r="F39" s="570"/>
      <c r="G39" s="570"/>
      <c r="H39" s="570"/>
    </row>
    <row r="40" spans="2:14" x14ac:dyDescent="0.25">
      <c r="B40" s="450" t="s">
        <v>618</v>
      </c>
      <c r="F40" s="569"/>
      <c r="G40" s="570"/>
      <c r="H40" s="570"/>
      <c r="I40" s="570"/>
      <c r="J40" s="570"/>
    </row>
    <row r="41" spans="2:14" x14ac:dyDescent="0.25">
      <c r="F41" s="570"/>
      <c r="G41" s="570"/>
      <c r="H41" s="570"/>
      <c r="I41" s="570"/>
      <c r="J41" s="570"/>
      <c r="K41" s="574"/>
    </row>
    <row r="42" spans="2:14" x14ac:dyDescent="0.25">
      <c r="B42" s="496" t="str">
        <f>동우PL1_평택!F28</f>
        <v>제품</v>
      </c>
      <c r="C42" s="497" t="str">
        <f>동우PL1_평택!G28</f>
        <v>반입량(kg)</v>
      </c>
      <c r="D42" s="498" t="str">
        <f>동우PL1_평택!H28</f>
        <v>비율</v>
      </c>
      <c r="F42" s="571"/>
      <c r="G42" s="571"/>
      <c r="H42" s="571"/>
      <c r="I42" s="570"/>
      <c r="J42" s="570"/>
      <c r="K42" s="574"/>
    </row>
    <row r="43" spans="2:14" x14ac:dyDescent="0.25">
      <c r="B43" s="485" t="str">
        <f>동우PL1_평택!F29</f>
        <v>고철</v>
      </c>
      <c r="C43" s="486">
        <f>동우PL1_평택!G29</f>
        <v>107800</v>
      </c>
      <c r="D43" s="487">
        <f>동우PL1_평택!H29</f>
        <v>0.94362745098039214</v>
      </c>
      <c r="F43" s="570"/>
      <c r="G43" s="572"/>
      <c r="H43" s="573"/>
      <c r="I43" s="570"/>
      <c r="J43" s="570"/>
      <c r="K43" s="574"/>
    </row>
    <row r="44" spans="2:14" x14ac:dyDescent="0.25">
      <c r="B44" s="488" t="str">
        <f>동우PL1_평택!F30</f>
        <v>비철</v>
      </c>
      <c r="C44" s="489">
        <f>동우PL1_평택!G30</f>
        <v>6440</v>
      </c>
      <c r="D44" s="490">
        <f>동우PL1_평택!H30</f>
        <v>5.6372549019607844E-2</v>
      </c>
      <c r="F44" s="570"/>
      <c r="G44" s="572"/>
      <c r="H44" s="573"/>
      <c r="I44" s="570"/>
      <c r="J44" s="570"/>
      <c r="K44" s="574"/>
    </row>
    <row r="45" spans="2:14" s="493" customFormat="1" x14ac:dyDescent="0.25">
      <c r="B45" s="499" t="str">
        <f>동우PL1_평택!F31</f>
        <v>합계</v>
      </c>
      <c r="C45" s="500">
        <f>동우PL1_평택!G31</f>
        <v>114240</v>
      </c>
      <c r="D45" s="501">
        <f>동우PL1_평택!H31</f>
        <v>1</v>
      </c>
      <c r="F45" s="571"/>
      <c r="G45" s="575"/>
      <c r="H45" s="576"/>
      <c r="I45" s="571"/>
      <c r="J45" s="571"/>
      <c r="K45" s="577"/>
    </row>
    <row r="46" spans="2:14" x14ac:dyDescent="0.25">
      <c r="F46" s="570"/>
      <c r="G46" s="570"/>
      <c r="H46" s="570"/>
      <c r="I46" s="570"/>
      <c r="J46" s="570"/>
      <c r="K46" s="574"/>
    </row>
    <row r="48" spans="2:14" x14ac:dyDescent="0.25">
      <c r="B48" s="450" t="s">
        <v>619</v>
      </c>
      <c r="C48" s="83"/>
      <c r="D48" s="83"/>
      <c r="E48" s="88"/>
      <c r="F48" s="89"/>
      <c r="H48" s="450" t="s">
        <v>601</v>
      </c>
      <c r="I48" s="27"/>
      <c r="J48" s="578" t="s">
        <v>680</v>
      </c>
      <c r="K48" s="27"/>
      <c r="L48" s="27"/>
      <c r="M48" s="27"/>
      <c r="N48" s="27"/>
    </row>
    <row r="49" spans="2:15" ht="17.25" x14ac:dyDescent="0.25">
      <c r="B49" s="83"/>
      <c r="C49" s="83"/>
      <c r="D49" s="83"/>
      <c r="E49" s="91"/>
      <c r="F49" s="92"/>
      <c r="H49" s="37"/>
      <c r="I49" s="27"/>
      <c r="J49" s="27"/>
      <c r="K49" s="27"/>
      <c r="L49" s="27"/>
      <c r="M49" s="27"/>
      <c r="N49" s="27"/>
    </row>
    <row r="50" spans="2:15" x14ac:dyDescent="0.25">
      <c r="B50" s="503" t="s">
        <v>626</v>
      </c>
      <c r="C50" s="503" t="s">
        <v>1</v>
      </c>
      <c r="D50" s="502"/>
      <c r="E50" s="502"/>
      <c r="F50" s="502"/>
      <c r="H50" s="461" t="s">
        <v>609</v>
      </c>
      <c r="I50" s="461" t="s">
        <v>1</v>
      </c>
      <c r="J50"/>
      <c r="K50"/>
      <c r="L50"/>
      <c r="M50"/>
      <c r="N50"/>
    </row>
    <row r="51" spans="2:15" x14ac:dyDescent="0.25">
      <c r="B51" s="503" t="s">
        <v>7</v>
      </c>
      <c r="C51" s="502" t="s">
        <v>598</v>
      </c>
      <c r="D51" s="502" t="s">
        <v>597</v>
      </c>
      <c r="E51" s="502" t="s">
        <v>419</v>
      </c>
      <c r="F51" s="502" t="s">
        <v>588</v>
      </c>
      <c r="H51" s="461" t="s">
        <v>7</v>
      </c>
      <c r="I51" t="s">
        <v>306</v>
      </c>
      <c r="J51" t="s">
        <v>188</v>
      </c>
      <c r="K51" t="s">
        <v>636</v>
      </c>
      <c r="L51" t="s">
        <v>167</v>
      </c>
      <c r="M51" t="s">
        <v>177</v>
      </c>
      <c r="N51" t="s">
        <v>588</v>
      </c>
    </row>
    <row r="52" spans="2:15" x14ac:dyDescent="0.25">
      <c r="B52" s="446" t="s">
        <v>526</v>
      </c>
      <c r="C52" s="449"/>
      <c r="D52" s="449">
        <v>1306</v>
      </c>
      <c r="E52" s="449"/>
      <c r="F52" s="449">
        <v>1306</v>
      </c>
      <c r="H52" s="446" t="s">
        <v>179</v>
      </c>
      <c r="I52" s="449"/>
      <c r="J52" s="449"/>
      <c r="K52" s="449">
        <v>21270</v>
      </c>
      <c r="L52" s="449"/>
      <c r="M52" s="449"/>
      <c r="N52" s="449">
        <v>21270</v>
      </c>
    </row>
    <row r="53" spans="2:15" x14ac:dyDescent="0.25">
      <c r="B53" s="446" t="s">
        <v>58</v>
      </c>
      <c r="C53" s="449">
        <v>700</v>
      </c>
      <c r="D53" s="449"/>
      <c r="E53" s="449"/>
      <c r="F53" s="449">
        <v>700</v>
      </c>
      <c r="H53" s="446" t="s">
        <v>176</v>
      </c>
      <c r="I53" s="449"/>
      <c r="J53" s="449"/>
      <c r="K53" s="449">
        <v>5070</v>
      </c>
      <c r="L53" s="449"/>
      <c r="M53" s="449"/>
      <c r="N53" s="449">
        <v>5070</v>
      </c>
    </row>
    <row r="54" spans="2:15" x14ac:dyDescent="0.25">
      <c r="B54" s="446" t="s">
        <v>43</v>
      </c>
      <c r="C54" s="449"/>
      <c r="D54" s="449"/>
      <c r="E54" s="449">
        <v>230</v>
      </c>
      <c r="F54" s="449">
        <v>230</v>
      </c>
      <c r="H54" s="446" t="s">
        <v>33</v>
      </c>
      <c r="I54" s="449"/>
      <c r="J54" s="449"/>
      <c r="K54" s="449">
        <v>52750</v>
      </c>
      <c r="L54" s="449">
        <v>12680</v>
      </c>
      <c r="M54" s="449"/>
      <c r="N54" s="449">
        <v>65430</v>
      </c>
    </row>
    <row r="55" spans="2:15" x14ac:dyDescent="0.25">
      <c r="B55" s="446" t="s">
        <v>37</v>
      </c>
      <c r="C55" s="449">
        <v>8000</v>
      </c>
      <c r="D55" s="449"/>
      <c r="E55" s="449"/>
      <c r="F55" s="449">
        <v>8000</v>
      </c>
      <c r="H55" s="446" t="s">
        <v>183</v>
      </c>
      <c r="I55" s="449"/>
      <c r="J55" s="449"/>
      <c r="K55" s="449">
        <v>5600</v>
      </c>
      <c r="L55" s="449"/>
      <c r="M55" s="449"/>
      <c r="N55" s="449">
        <v>5600</v>
      </c>
    </row>
    <row r="56" spans="2:15" x14ac:dyDescent="0.25">
      <c r="B56" s="446" t="s">
        <v>135</v>
      </c>
      <c r="C56" s="449">
        <v>3470</v>
      </c>
      <c r="D56" s="449"/>
      <c r="E56" s="449"/>
      <c r="F56" s="449">
        <v>3470</v>
      </c>
      <c r="H56" s="446" t="s">
        <v>71</v>
      </c>
      <c r="I56" s="449"/>
      <c r="J56" s="449"/>
      <c r="K56" s="449"/>
      <c r="L56" s="449">
        <v>12210</v>
      </c>
      <c r="M56" s="449"/>
      <c r="N56" s="449">
        <v>12210</v>
      </c>
    </row>
    <row r="57" spans="2:15" x14ac:dyDescent="0.25">
      <c r="B57" s="446" t="s">
        <v>624</v>
      </c>
      <c r="C57" s="449">
        <v>770</v>
      </c>
      <c r="D57" s="449"/>
      <c r="E57" s="449"/>
      <c r="F57" s="449">
        <v>770</v>
      </c>
      <c r="H57" s="446" t="s">
        <v>182</v>
      </c>
      <c r="I57" s="449"/>
      <c r="J57" s="449"/>
      <c r="K57" s="449">
        <v>36180</v>
      </c>
      <c r="L57" s="449"/>
      <c r="M57" s="449"/>
      <c r="N57" s="449">
        <v>36180</v>
      </c>
    </row>
    <row r="58" spans="2:15" x14ac:dyDescent="0.25">
      <c r="B58" s="446" t="s">
        <v>57</v>
      </c>
      <c r="C58" s="449">
        <v>250</v>
      </c>
      <c r="D58" s="449"/>
      <c r="E58" s="449">
        <v>1070</v>
      </c>
      <c r="F58" s="449">
        <v>1320</v>
      </c>
      <c r="H58" s="446" t="s">
        <v>152</v>
      </c>
      <c r="I58" s="449"/>
      <c r="J58" s="449"/>
      <c r="K58" s="449">
        <v>220</v>
      </c>
      <c r="L58" s="449"/>
      <c r="M58" s="449"/>
      <c r="N58" s="449">
        <v>220</v>
      </c>
    </row>
    <row r="59" spans="2:15" x14ac:dyDescent="0.25">
      <c r="B59" s="446" t="s">
        <v>423</v>
      </c>
      <c r="C59" s="449"/>
      <c r="D59" s="449"/>
      <c r="E59" s="449">
        <v>60</v>
      </c>
      <c r="F59" s="449">
        <v>60</v>
      </c>
      <c r="H59" s="446" t="s">
        <v>53</v>
      </c>
      <c r="I59" s="449">
        <v>16610</v>
      </c>
      <c r="J59" s="449"/>
      <c r="K59" s="449"/>
      <c r="L59" s="449"/>
      <c r="M59" s="449"/>
      <c r="N59" s="449">
        <v>16610</v>
      </c>
    </row>
    <row r="60" spans="2:15" x14ac:dyDescent="0.25">
      <c r="B60" s="446" t="s">
        <v>30</v>
      </c>
      <c r="C60" s="449">
        <v>90</v>
      </c>
      <c r="D60" s="449"/>
      <c r="E60" s="449"/>
      <c r="F60" s="449">
        <v>90</v>
      </c>
      <c r="H60" s="446" t="s">
        <v>30</v>
      </c>
      <c r="I60" s="449">
        <v>1800</v>
      </c>
      <c r="J60" s="449">
        <v>58770</v>
      </c>
      <c r="K60" s="449">
        <v>21930</v>
      </c>
      <c r="L60" s="449"/>
      <c r="M60" s="449">
        <v>730</v>
      </c>
      <c r="N60" s="449">
        <v>83230</v>
      </c>
      <c r="O60"/>
    </row>
    <row r="61" spans="2:15" x14ac:dyDescent="0.25">
      <c r="B61" s="446" t="s">
        <v>528</v>
      </c>
      <c r="C61" s="449"/>
      <c r="D61" s="449">
        <v>1392</v>
      </c>
      <c r="E61" s="449"/>
      <c r="F61" s="449">
        <v>1392</v>
      </c>
      <c r="H61" s="446" t="s">
        <v>31</v>
      </c>
      <c r="I61" s="449"/>
      <c r="J61" s="449"/>
      <c r="K61" s="449"/>
      <c r="L61" s="449"/>
      <c r="M61" s="449">
        <v>1240</v>
      </c>
      <c r="N61" s="449">
        <v>1240</v>
      </c>
      <c r="O61"/>
    </row>
    <row r="62" spans="2:15" x14ac:dyDescent="0.25">
      <c r="B62" s="446" t="s">
        <v>20</v>
      </c>
      <c r="C62" s="449">
        <v>1850</v>
      </c>
      <c r="D62" s="449"/>
      <c r="E62" s="449"/>
      <c r="F62" s="449">
        <v>1850</v>
      </c>
      <c r="H62" s="446" t="s">
        <v>54</v>
      </c>
      <c r="I62" s="449"/>
      <c r="J62" s="449"/>
      <c r="K62" s="449">
        <v>140</v>
      </c>
      <c r="L62" s="449"/>
      <c r="M62" s="449"/>
      <c r="N62" s="449">
        <v>140</v>
      </c>
      <c r="O62"/>
    </row>
    <row r="63" spans="2:15" x14ac:dyDescent="0.25">
      <c r="B63" s="502" t="s">
        <v>588</v>
      </c>
      <c r="C63" s="449">
        <v>15130</v>
      </c>
      <c r="D63" s="449">
        <v>2698</v>
      </c>
      <c r="E63" s="449">
        <v>1360</v>
      </c>
      <c r="F63" s="449">
        <v>19188</v>
      </c>
      <c r="H63" s="446" t="s">
        <v>166</v>
      </c>
      <c r="I63" s="449"/>
      <c r="J63" s="449"/>
      <c r="K63" s="449">
        <v>1580</v>
      </c>
      <c r="L63" s="449"/>
      <c r="M63" s="449"/>
      <c r="N63" s="449">
        <v>1580</v>
      </c>
      <c r="O63"/>
    </row>
    <row r="64" spans="2:15" x14ac:dyDescent="0.25">
      <c r="H64" s="446" t="s">
        <v>186</v>
      </c>
      <c r="I64" s="449"/>
      <c r="J64" s="449"/>
      <c r="K64" s="449"/>
      <c r="L64" s="449"/>
      <c r="M64" s="449">
        <v>2720</v>
      </c>
      <c r="N64" s="449">
        <v>2720</v>
      </c>
      <c r="O64"/>
    </row>
    <row r="65" spans="7:15" x14ac:dyDescent="0.25">
      <c r="H65" s="446" t="s">
        <v>58</v>
      </c>
      <c r="I65" s="449"/>
      <c r="J65" s="449"/>
      <c r="K65" s="449">
        <v>2070</v>
      </c>
      <c r="L65" s="449"/>
      <c r="M65" s="449"/>
      <c r="N65" s="449">
        <v>2070</v>
      </c>
      <c r="O65"/>
    </row>
    <row r="66" spans="7:15" x14ac:dyDescent="0.25">
      <c r="H66" s="446" t="s">
        <v>20</v>
      </c>
      <c r="I66" s="449"/>
      <c r="J66" s="449"/>
      <c r="K66" s="449">
        <v>4250</v>
      </c>
      <c r="L66" s="449"/>
      <c r="M66" s="449"/>
      <c r="N66" s="449">
        <v>4250</v>
      </c>
      <c r="O66"/>
    </row>
    <row r="67" spans="7:15" x14ac:dyDescent="0.25">
      <c r="H67" s="446" t="s">
        <v>588</v>
      </c>
      <c r="I67" s="449">
        <v>18410</v>
      </c>
      <c r="J67" s="449">
        <v>58770</v>
      </c>
      <c r="K67" s="449">
        <v>151060</v>
      </c>
      <c r="L67" s="449">
        <v>24890</v>
      </c>
      <c r="M67" s="449">
        <v>4690</v>
      </c>
      <c r="N67" s="449">
        <v>257820</v>
      </c>
      <c r="O67"/>
    </row>
    <row r="68" spans="7:15" x14ac:dyDescent="0.25">
      <c r="G68" s="85"/>
      <c r="H68" s="54"/>
      <c r="I68" s="83"/>
      <c r="J68" s="83"/>
      <c r="O68"/>
    </row>
    <row r="69" spans="7:15" ht="17.25" x14ac:dyDescent="0.25">
      <c r="G69" s="93"/>
      <c r="H69" s="91"/>
      <c r="I69" s="83"/>
      <c r="J69" s="83"/>
      <c r="O69"/>
    </row>
    <row r="70" spans="7:15" x14ac:dyDescent="0.25">
      <c r="G70"/>
      <c r="H70"/>
      <c r="I70"/>
      <c r="J70"/>
      <c r="O70"/>
    </row>
    <row r="71" spans="7:15" x14ac:dyDescent="0.25">
      <c r="G71"/>
      <c r="H71"/>
      <c r="I71"/>
      <c r="J71"/>
      <c r="O71"/>
    </row>
    <row r="72" spans="7:15" x14ac:dyDescent="0.25">
      <c r="G72"/>
      <c r="H72"/>
      <c r="I72"/>
      <c r="J72"/>
      <c r="O72"/>
    </row>
    <row r="73" spans="7:15" x14ac:dyDescent="0.25">
      <c r="G73"/>
      <c r="H73"/>
      <c r="I73"/>
      <c r="J73"/>
      <c r="O73"/>
    </row>
    <row r="74" spans="7:15" x14ac:dyDescent="0.25">
      <c r="G74"/>
      <c r="H74"/>
      <c r="I74"/>
      <c r="J74"/>
      <c r="O74"/>
    </row>
    <row r="75" spans="7:15" x14ac:dyDescent="0.25">
      <c r="G75"/>
      <c r="H75"/>
      <c r="I75"/>
      <c r="J75"/>
      <c r="O75"/>
    </row>
    <row r="76" spans="7:15" x14ac:dyDescent="0.25">
      <c r="G76"/>
      <c r="H76"/>
      <c r="I76"/>
      <c r="J76"/>
      <c r="O76"/>
    </row>
    <row r="77" spans="7:15" x14ac:dyDescent="0.25">
      <c r="G77"/>
      <c r="H77"/>
      <c r="I77"/>
      <c r="J77"/>
      <c r="O77"/>
    </row>
    <row r="78" spans="7:15" x14ac:dyDescent="0.25">
      <c r="G78"/>
      <c r="H78"/>
      <c r="I78"/>
      <c r="J78"/>
    </row>
    <row r="79" spans="7:15" x14ac:dyDescent="0.25">
      <c r="G79"/>
      <c r="H79"/>
      <c r="I79"/>
      <c r="J79"/>
    </row>
    <row r="80" spans="7:15" x14ac:dyDescent="0.25">
      <c r="G80"/>
      <c r="H80"/>
      <c r="I80"/>
      <c r="J80"/>
    </row>
    <row r="81" spans="2:10" x14ac:dyDescent="0.25">
      <c r="G81"/>
      <c r="H81"/>
      <c r="I81"/>
      <c r="J81"/>
    </row>
    <row r="82" spans="2:10" x14ac:dyDescent="0.25">
      <c r="G82"/>
      <c r="H82"/>
      <c r="I82"/>
      <c r="J82"/>
    </row>
    <row r="83" spans="2:10" x14ac:dyDescent="0.25">
      <c r="G83"/>
      <c r="H83"/>
      <c r="I83"/>
      <c r="J83"/>
    </row>
    <row r="84" spans="2:10" x14ac:dyDescent="0.25">
      <c r="B84"/>
      <c r="C84"/>
      <c r="D84"/>
      <c r="E84"/>
      <c r="F84"/>
      <c r="G84"/>
      <c r="H84"/>
      <c r="I84"/>
      <c r="J84"/>
    </row>
    <row r="85" spans="2:10" x14ac:dyDescent="0.25">
      <c r="B85"/>
      <c r="C85"/>
      <c r="D85"/>
      <c r="E85"/>
      <c r="F85"/>
      <c r="G85"/>
      <c r="H85"/>
      <c r="I85"/>
      <c r="J85"/>
    </row>
    <row r="86" spans="2:10" x14ac:dyDescent="0.25">
      <c r="B86"/>
      <c r="C86"/>
      <c r="D86"/>
      <c r="E86"/>
      <c r="F86"/>
      <c r="G86"/>
      <c r="H86"/>
      <c r="I86"/>
      <c r="J86"/>
    </row>
    <row r="87" spans="2:10" x14ac:dyDescent="0.25">
      <c r="B87"/>
      <c r="C87"/>
      <c r="D87"/>
      <c r="E87"/>
      <c r="F87"/>
      <c r="G87"/>
      <c r="H87"/>
      <c r="I87"/>
      <c r="J87"/>
    </row>
  </sheetData>
  <mergeCells count="10">
    <mergeCell ref="A14:B14"/>
    <mergeCell ref="I3:I4"/>
    <mergeCell ref="J3:J4"/>
    <mergeCell ref="A1:J1"/>
    <mergeCell ref="C3:D3"/>
    <mergeCell ref="F3:G3"/>
    <mergeCell ref="A3:A4"/>
    <mergeCell ref="B3:B4"/>
    <mergeCell ref="E3:E4"/>
    <mergeCell ref="H3:H4"/>
  </mergeCells>
  <phoneticPr fontId="5" type="noConversion"/>
  <conditionalFormatting sqref="D43:D4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{11698F76-B20B-4E08-B23C-F07BB7A70F37}</x14:id>
        </ext>
      </extLst>
    </cfRule>
  </conditionalFormatting>
  <conditionalFormatting sqref="H43:H4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{6D483159-FEA6-4AC9-9706-ABD9FF775401}</x14:id>
        </ext>
      </extLst>
    </cfRule>
  </conditionalFormatting>
  <conditionalFormatting sqref="H43:H4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{10F80BDE-13BC-4EB0-9F68-2E9F30C6CD71}</x14:id>
        </ext>
      </extLst>
    </cfRule>
  </conditionalFormatting>
  <conditionalFormatting sqref="D35:D3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{A0AB91AA-6FB9-483C-A414-8C3582BCCB37}</x14:id>
        </ext>
      </extLst>
    </cfRule>
  </conditionalFormatting>
  <conditionalFormatting sqref="H35:H3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{6949B446-BA62-43B7-B340-70496986CC17}</x14:id>
        </ext>
      </extLst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9" scale="42" orientation="portrait"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698F76-B20B-4E08-B23C-F07BB7A70F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D43:D45</xm:sqref>
        </x14:conditionalFormatting>
        <x14:conditionalFormatting xmlns:xm="http://schemas.microsoft.com/office/excel/2006/main">
          <x14:cfRule type="dataBar" id="{6D483159-FEA6-4AC9-9706-ABD9FF7754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10F80BDE-13BC-4EB0-9F68-2E9F30C6CD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H43:H45</xm:sqref>
        </x14:conditionalFormatting>
        <x14:conditionalFormatting xmlns:xm="http://schemas.microsoft.com/office/excel/2006/main">
          <x14:cfRule type="dataBar" id="{A0AB91AA-6FB9-483C-A414-8C3582BCCB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D35:D38</xm:sqref>
        </x14:conditionalFormatting>
        <x14:conditionalFormatting xmlns:xm="http://schemas.microsoft.com/office/excel/2006/main">
          <x14:cfRule type="dataBar" id="{6949B446-BA62-43B7-B340-70496986CC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H35:H38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64EE-4812-42C1-9F99-02F789709C61}">
  <sheetPr>
    <tabColor theme="9"/>
    <pageSetUpPr fitToPage="1"/>
  </sheetPr>
  <dimension ref="A1:W72"/>
  <sheetViews>
    <sheetView workbookViewId="0">
      <pane ySplit="3" topLeftCell="A4" activePane="bottomLeft" state="frozen"/>
      <selection pane="bottomLeft" activeCell="G20" sqref="G20"/>
    </sheetView>
  </sheetViews>
  <sheetFormatPr defaultColWidth="9.140625" defaultRowHeight="13.5" outlineLevelCol="1" x14ac:dyDescent="0.25"/>
  <cols>
    <col min="1" max="1" width="6.5703125" style="139" customWidth="1"/>
    <col min="2" max="2" width="13.5703125" style="145" customWidth="1"/>
    <col min="3" max="3" width="14.85546875" style="145" customWidth="1"/>
    <col min="4" max="4" width="7.140625" style="125" customWidth="1"/>
    <col min="5" max="5" width="21.5703125" style="125" customWidth="1"/>
    <col min="6" max="6" width="13.7109375" style="125" customWidth="1"/>
    <col min="7" max="7" width="11.5703125" style="125" customWidth="1"/>
    <col min="8" max="8" width="11.85546875" style="125" customWidth="1"/>
    <col min="9" max="9" width="15.140625" style="125" customWidth="1"/>
    <col min="10" max="10" width="14.42578125" style="125" hidden="1" customWidth="1" outlineLevel="1"/>
    <col min="11" max="11" width="14.5703125" style="125" hidden="1" customWidth="1" outlineLevel="1"/>
    <col min="12" max="12" width="19" style="140" bestFit="1" customWidth="1" collapsed="1"/>
    <col min="13" max="13" width="17.140625" style="140" customWidth="1"/>
    <col min="14" max="14" width="19" style="140" customWidth="1"/>
    <col min="15" max="15" width="11.28515625" style="140" customWidth="1"/>
    <col min="16" max="16" width="19" style="140" customWidth="1"/>
    <col min="17" max="17" width="29.85546875" style="141" customWidth="1"/>
    <col min="18" max="16384" width="9.140625" style="125"/>
  </cols>
  <sheetData>
    <row r="1" spans="1:23" s="116" customFormat="1" ht="36.75" customHeight="1" x14ac:dyDescent="0.5">
      <c r="A1" s="561" t="s">
        <v>210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2"/>
      <c r="N1" s="562"/>
      <c r="O1" s="562"/>
      <c r="P1" s="562"/>
      <c r="Q1" s="561"/>
      <c r="R1" s="115"/>
      <c r="S1" s="115"/>
      <c r="T1" s="115"/>
      <c r="U1" s="115"/>
      <c r="V1" s="115"/>
      <c r="W1" s="115"/>
    </row>
    <row r="2" spans="1:23" s="117" customFormat="1" ht="17.25" thickBot="1" x14ac:dyDescent="0.3">
      <c r="M2" s="118"/>
      <c r="O2" s="118">
        <f>SUBTOTAL(9,O4:O587)</f>
        <v>0</v>
      </c>
      <c r="P2" s="118">
        <f>SUBTOTAL(9,P4:P587)</f>
        <v>668930</v>
      </c>
    </row>
    <row r="3" spans="1:23" s="124" customFormat="1" ht="30.75" customHeight="1" thickBot="1" x14ac:dyDescent="0.35">
      <c r="A3" s="119" t="s">
        <v>211</v>
      </c>
      <c r="B3" s="120" t="s">
        <v>290</v>
      </c>
      <c r="C3" s="120" t="s">
        <v>291</v>
      </c>
      <c r="D3" s="121" t="s">
        <v>280</v>
      </c>
      <c r="E3" s="121" t="s">
        <v>1</v>
      </c>
      <c r="F3" s="158" t="s">
        <v>212</v>
      </c>
      <c r="G3" s="121" t="s">
        <v>2</v>
      </c>
      <c r="H3" s="121" t="s">
        <v>3</v>
      </c>
      <c r="I3" s="121" t="s">
        <v>4</v>
      </c>
      <c r="J3" s="121" t="s">
        <v>5</v>
      </c>
      <c r="K3" s="121" t="s">
        <v>6</v>
      </c>
      <c r="L3" s="120" t="s">
        <v>7</v>
      </c>
      <c r="M3" s="121" t="s">
        <v>8</v>
      </c>
      <c r="N3" s="121" t="s">
        <v>9</v>
      </c>
      <c r="O3" s="121" t="s">
        <v>10</v>
      </c>
      <c r="P3" s="122" t="s">
        <v>288</v>
      </c>
      <c r="Q3" s="123" t="s">
        <v>12</v>
      </c>
    </row>
    <row r="4" spans="1:23" ht="40.5" x14ac:dyDescent="0.25">
      <c r="A4" s="269">
        <f t="shared" ref="A4:A69" si="0">ROW()-3</f>
        <v>1</v>
      </c>
      <c r="B4" s="268">
        <v>46146</v>
      </c>
      <c r="C4" s="268">
        <v>46146</v>
      </c>
      <c r="D4" s="266"/>
      <c r="E4" s="266" t="s">
        <v>85</v>
      </c>
      <c r="F4" s="266" t="s">
        <v>225</v>
      </c>
      <c r="G4" s="266" t="s">
        <v>259</v>
      </c>
      <c r="H4" s="266" t="s">
        <v>67</v>
      </c>
      <c r="I4" s="270" t="s">
        <v>279</v>
      </c>
      <c r="J4" s="266" t="s">
        <v>219</v>
      </c>
      <c r="K4" s="266" t="s">
        <v>69</v>
      </c>
      <c r="L4" s="271" t="s">
        <v>262</v>
      </c>
      <c r="M4" s="271">
        <v>25590</v>
      </c>
      <c r="N4" s="271">
        <v>21170</v>
      </c>
      <c r="O4" s="271"/>
      <c r="P4" s="271">
        <f t="shared" ref="P4:P24" si="1">M4-N4</f>
        <v>4420</v>
      </c>
      <c r="Q4" s="267" t="s">
        <v>295</v>
      </c>
    </row>
    <row r="5" spans="1:23" x14ac:dyDescent="0.25">
      <c r="A5" s="217">
        <f t="shared" si="0"/>
        <v>2</v>
      </c>
      <c r="B5" s="218">
        <v>46146</v>
      </c>
      <c r="C5" s="218">
        <v>46146</v>
      </c>
      <c r="D5" s="219" t="s">
        <v>282</v>
      </c>
      <c r="E5" s="219" t="s">
        <v>34</v>
      </c>
      <c r="F5" s="219" t="s">
        <v>258</v>
      </c>
      <c r="G5" s="219" t="s">
        <v>246</v>
      </c>
      <c r="H5" s="219" t="s">
        <v>213</v>
      </c>
      <c r="I5" s="219" t="s">
        <v>214</v>
      </c>
      <c r="J5" s="219" t="s">
        <v>219</v>
      </c>
      <c r="K5" s="219" t="s">
        <v>69</v>
      </c>
      <c r="L5" s="189" t="s">
        <v>218</v>
      </c>
      <c r="M5" s="189">
        <v>24520</v>
      </c>
      <c r="N5" s="189">
        <v>20110</v>
      </c>
      <c r="O5" s="189"/>
      <c r="P5" s="189">
        <f t="shared" si="1"/>
        <v>4410</v>
      </c>
      <c r="Q5" s="220" t="s">
        <v>283</v>
      </c>
    </row>
    <row r="6" spans="1:23" x14ac:dyDescent="0.25">
      <c r="A6" s="221">
        <f t="shared" si="0"/>
        <v>3</v>
      </c>
      <c r="B6" s="222">
        <v>46146</v>
      </c>
      <c r="C6" s="222">
        <v>46147</v>
      </c>
      <c r="D6" s="223" t="s">
        <v>282</v>
      </c>
      <c r="E6" s="223" t="s">
        <v>34</v>
      </c>
      <c r="F6" s="223" t="s">
        <v>258</v>
      </c>
      <c r="G6" s="223" t="s">
        <v>21</v>
      </c>
      <c r="H6" s="223" t="s">
        <v>67</v>
      </c>
      <c r="I6" s="223" t="s">
        <v>68</v>
      </c>
      <c r="J6" s="223" t="s">
        <v>219</v>
      </c>
      <c r="K6" s="223" t="s">
        <v>69</v>
      </c>
      <c r="L6" s="137" t="s">
        <v>220</v>
      </c>
      <c r="M6" s="137">
        <v>25490</v>
      </c>
      <c r="N6" s="137">
        <v>20800</v>
      </c>
      <c r="O6" s="137"/>
      <c r="P6" s="137">
        <f t="shared" si="1"/>
        <v>4690</v>
      </c>
      <c r="Q6" s="224" t="s">
        <v>289</v>
      </c>
    </row>
    <row r="7" spans="1:23" x14ac:dyDescent="0.25">
      <c r="A7" s="246">
        <f t="shared" si="0"/>
        <v>4</v>
      </c>
      <c r="B7" s="247">
        <v>46148</v>
      </c>
      <c r="C7" s="247">
        <v>46148</v>
      </c>
      <c r="D7" s="248" t="s">
        <v>282</v>
      </c>
      <c r="E7" s="248" t="s">
        <v>34</v>
      </c>
      <c r="F7" s="248" t="s">
        <v>258</v>
      </c>
      <c r="G7" s="248" t="s">
        <v>21</v>
      </c>
      <c r="H7" s="248" t="s">
        <v>67</v>
      </c>
      <c r="I7" s="248" t="s">
        <v>68</v>
      </c>
      <c r="J7" s="248" t="s">
        <v>219</v>
      </c>
      <c r="K7" s="248" t="s">
        <v>69</v>
      </c>
      <c r="L7" s="128" t="s">
        <v>220</v>
      </c>
      <c r="M7" s="128">
        <v>24220</v>
      </c>
      <c r="N7" s="128">
        <v>20010</v>
      </c>
      <c r="O7" s="128"/>
      <c r="P7" s="128">
        <f t="shared" si="1"/>
        <v>4210</v>
      </c>
      <c r="Q7" s="249" t="s">
        <v>284</v>
      </c>
    </row>
    <row r="8" spans="1:23" x14ac:dyDescent="0.25">
      <c r="A8" s="227">
        <f t="shared" si="0"/>
        <v>5</v>
      </c>
      <c r="B8" s="228">
        <v>46149</v>
      </c>
      <c r="C8" s="228">
        <v>46149</v>
      </c>
      <c r="D8" s="229" t="s">
        <v>282</v>
      </c>
      <c r="E8" s="229" t="s">
        <v>34</v>
      </c>
      <c r="F8" s="229" t="s">
        <v>258</v>
      </c>
      <c r="G8" s="340" t="s">
        <v>223</v>
      </c>
      <c r="H8" s="229" t="s">
        <v>67</v>
      </c>
      <c r="I8" s="229" t="s">
        <v>68</v>
      </c>
      <c r="J8" s="229" t="s">
        <v>219</v>
      </c>
      <c r="K8" s="229" t="s">
        <v>69</v>
      </c>
      <c r="L8" s="244" t="s">
        <v>294</v>
      </c>
      <c r="M8" s="244">
        <v>35520</v>
      </c>
      <c r="N8" s="244">
        <v>20940</v>
      </c>
      <c r="O8" s="244"/>
      <c r="P8" s="244">
        <f t="shared" si="1"/>
        <v>14580</v>
      </c>
      <c r="Q8" s="230" t="s">
        <v>327</v>
      </c>
    </row>
    <row r="9" spans="1:23" x14ac:dyDescent="0.25">
      <c r="A9" s="303">
        <f t="shared" si="0"/>
        <v>6</v>
      </c>
      <c r="B9" s="304">
        <v>46149</v>
      </c>
      <c r="C9" s="304">
        <v>46150</v>
      </c>
      <c r="D9" s="305" t="s">
        <v>282</v>
      </c>
      <c r="E9" s="305" t="s">
        <v>34</v>
      </c>
      <c r="F9" s="305" t="s">
        <v>258</v>
      </c>
      <c r="G9" s="305" t="s">
        <v>246</v>
      </c>
      <c r="H9" s="305" t="s">
        <v>67</v>
      </c>
      <c r="I9" s="305" t="s">
        <v>68</v>
      </c>
      <c r="J9" s="305" t="s">
        <v>219</v>
      </c>
      <c r="K9" s="305" t="s">
        <v>69</v>
      </c>
      <c r="L9" s="133" t="s">
        <v>218</v>
      </c>
      <c r="M9" s="133">
        <v>24650</v>
      </c>
      <c r="N9" s="133">
        <v>20100</v>
      </c>
      <c r="O9" s="133"/>
      <c r="P9" s="133">
        <f t="shared" si="1"/>
        <v>4550</v>
      </c>
      <c r="Q9" s="306" t="s">
        <v>296</v>
      </c>
    </row>
    <row r="10" spans="1:23" x14ac:dyDescent="0.25">
      <c r="A10" s="246">
        <f t="shared" si="0"/>
        <v>7</v>
      </c>
      <c r="B10" s="247">
        <v>46153</v>
      </c>
      <c r="C10" s="247">
        <v>46153</v>
      </c>
      <c r="D10" s="248" t="s">
        <v>282</v>
      </c>
      <c r="E10" s="248" t="s">
        <v>34</v>
      </c>
      <c r="F10" s="248" t="s">
        <v>258</v>
      </c>
      <c r="G10" s="248" t="s">
        <v>259</v>
      </c>
      <c r="H10" s="248" t="s">
        <v>67</v>
      </c>
      <c r="I10" s="248" t="s">
        <v>68</v>
      </c>
      <c r="J10" s="248" t="s">
        <v>317</v>
      </c>
      <c r="K10" s="248" t="s">
        <v>63</v>
      </c>
      <c r="L10" s="128" t="s">
        <v>222</v>
      </c>
      <c r="M10" s="128">
        <v>33270</v>
      </c>
      <c r="N10" s="128">
        <v>20920</v>
      </c>
      <c r="O10" s="128"/>
      <c r="P10" s="128">
        <f t="shared" si="1"/>
        <v>12350</v>
      </c>
      <c r="Q10" s="307" t="s">
        <v>318</v>
      </c>
    </row>
    <row r="11" spans="1:23" x14ac:dyDescent="0.25">
      <c r="A11" s="217">
        <f t="shared" si="0"/>
        <v>8</v>
      </c>
      <c r="B11" s="218">
        <v>46154</v>
      </c>
      <c r="C11" s="218">
        <v>46154</v>
      </c>
      <c r="D11" s="219" t="s">
        <v>282</v>
      </c>
      <c r="E11" s="219" t="s">
        <v>85</v>
      </c>
      <c r="F11" s="219" t="s">
        <v>217</v>
      </c>
      <c r="G11" s="219" t="s">
        <v>21</v>
      </c>
      <c r="H11" s="219" t="s">
        <v>213</v>
      </c>
      <c r="I11" s="219" t="s">
        <v>68</v>
      </c>
      <c r="J11" s="219" t="s">
        <v>317</v>
      </c>
      <c r="K11" s="219" t="s">
        <v>63</v>
      </c>
      <c r="L11" s="189" t="s">
        <v>643</v>
      </c>
      <c r="M11" s="189">
        <v>28340</v>
      </c>
      <c r="N11" s="189">
        <v>20120</v>
      </c>
      <c r="O11" s="189"/>
      <c r="P11" s="189">
        <f t="shared" si="1"/>
        <v>8220</v>
      </c>
      <c r="Q11" s="220" t="s">
        <v>346</v>
      </c>
    </row>
    <row r="12" spans="1:23" x14ac:dyDescent="0.25">
      <c r="A12" s="221">
        <f t="shared" si="0"/>
        <v>9</v>
      </c>
      <c r="B12" s="222">
        <v>46154</v>
      </c>
      <c r="C12" s="222">
        <v>46154</v>
      </c>
      <c r="D12" s="223" t="s">
        <v>282</v>
      </c>
      <c r="E12" s="223" t="s">
        <v>85</v>
      </c>
      <c r="F12" s="223" t="s">
        <v>217</v>
      </c>
      <c r="G12" s="223" t="s">
        <v>21</v>
      </c>
      <c r="H12" s="223" t="s">
        <v>224</v>
      </c>
      <c r="I12" s="223" t="s">
        <v>226</v>
      </c>
      <c r="J12" s="223" t="s">
        <v>319</v>
      </c>
      <c r="K12" s="223" t="s">
        <v>24</v>
      </c>
      <c r="L12" s="137" t="s">
        <v>643</v>
      </c>
      <c r="M12" s="137">
        <v>19510</v>
      </c>
      <c r="N12" s="137">
        <v>14080</v>
      </c>
      <c r="O12" s="137"/>
      <c r="P12" s="137">
        <f t="shared" si="1"/>
        <v>5430</v>
      </c>
      <c r="Q12" s="224" t="s">
        <v>347</v>
      </c>
    </row>
    <row r="13" spans="1:23" x14ac:dyDescent="0.25">
      <c r="A13" s="227">
        <f t="shared" si="0"/>
        <v>10</v>
      </c>
      <c r="B13" s="228">
        <v>46155</v>
      </c>
      <c r="C13" s="228">
        <v>46155</v>
      </c>
      <c r="D13" s="229" t="s">
        <v>282</v>
      </c>
      <c r="E13" s="229" t="s">
        <v>85</v>
      </c>
      <c r="F13" s="229" t="s">
        <v>217</v>
      </c>
      <c r="G13" s="229" t="s">
        <v>21</v>
      </c>
      <c r="H13" s="229" t="s">
        <v>213</v>
      </c>
      <c r="I13" s="229" t="s">
        <v>68</v>
      </c>
      <c r="J13" s="229" t="s">
        <v>317</v>
      </c>
      <c r="K13" s="229" t="s">
        <v>63</v>
      </c>
      <c r="L13" s="308" t="s">
        <v>643</v>
      </c>
      <c r="M13" s="308">
        <v>27600</v>
      </c>
      <c r="N13" s="308">
        <v>20160</v>
      </c>
      <c r="O13" s="308"/>
      <c r="P13" s="308">
        <f t="shared" si="1"/>
        <v>7440</v>
      </c>
      <c r="Q13" s="230" t="s">
        <v>348</v>
      </c>
    </row>
    <row r="14" spans="1:23" x14ac:dyDescent="0.25">
      <c r="A14" s="221">
        <f t="shared" si="0"/>
        <v>11</v>
      </c>
      <c r="B14" s="222">
        <v>46155</v>
      </c>
      <c r="C14" s="222">
        <v>46155</v>
      </c>
      <c r="D14" s="223" t="s">
        <v>282</v>
      </c>
      <c r="E14" s="223" t="s">
        <v>85</v>
      </c>
      <c r="F14" s="223" t="s">
        <v>217</v>
      </c>
      <c r="G14" s="223" t="s">
        <v>21</v>
      </c>
      <c r="H14" s="223" t="s">
        <v>224</v>
      </c>
      <c r="I14" s="223" t="s">
        <v>226</v>
      </c>
      <c r="J14" s="223" t="s">
        <v>319</v>
      </c>
      <c r="K14" s="223" t="s">
        <v>24</v>
      </c>
      <c r="L14" s="137" t="s">
        <v>643</v>
      </c>
      <c r="M14" s="137">
        <v>18400</v>
      </c>
      <c r="N14" s="137">
        <v>14080</v>
      </c>
      <c r="O14" s="137"/>
      <c r="P14" s="137">
        <f t="shared" si="1"/>
        <v>4320</v>
      </c>
      <c r="Q14" s="224" t="s">
        <v>349</v>
      </c>
    </row>
    <row r="15" spans="1:23" x14ac:dyDescent="0.25">
      <c r="A15" s="227">
        <f t="shared" si="0"/>
        <v>12</v>
      </c>
      <c r="B15" s="228">
        <v>46156</v>
      </c>
      <c r="C15" s="228">
        <v>46156</v>
      </c>
      <c r="D15" s="229" t="s">
        <v>282</v>
      </c>
      <c r="E15" s="229" t="s">
        <v>85</v>
      </c>
      <c r="F15" s="229" t="s">
        <v>217</v>
      </c>
      <c r="G15" s="229" t="s">
        <v>21</v>
      </c>
      <c r="H15" s="229" t="s">
        <v>213</v>
      </c>
      <c r="I15" s="229" t="s">
        <v>68</v>
      </c>
      <c r="J15" s="229" t="s">
        <v>317</v>
      </c>
      <c r="K15" s="229" t="s">
        <v>63</v>
      </c>
      <c r="L15" s="315" t="s">
        <v>643</v>
      </c>
      <c r="M15" s="315">
        <v>27440</v>
      </c>
      <c r="N15" s="315">
        <v>20160</v>
      </c>
      <c r="O15" s="315"/>
      <c r="P15" s="315">
        <f t="shared" si="1"/>
        <v>7280</v>
      </c>
      <c r="Q15" s="230" t="s">
        <v>328</v>
      </c>
    </row>
    <row r="16" spans="1:23" x14ac:dyDescent="0.25">
      <c r="A16" s="221">
        <f t="shared" si="0"/>
        <v>13</v>
      </c>
      <c r="B16" s="222">
        <v>46156</v>
      </c>
      <c r="C16" s="222">
        <v>46156</v>
      </c>
      <c r="D16" s="223" t="s">
        <v>282</v>
      </c>
      <c r="E16" s="223" t="s">
        <v>85</v>
      </c>
      <c r="F16" s="223" t="s">
        <v>217</v>
      </c>
      <c r="G16" s="223" t="s">
        <v>21</v>
      </c>
      <c r="H16" s="223" t="s">
        <v>224</v>
      </c>
      <c r="I16" s="223" t="s">
        <v>226</v>
      </c>
      <c r="J16" s="223" t="s">
        <v>319</v>
      </c>
      <c r="K16" s="223" t="s">
        <v>24</v>
      </c>
      <c r="L16" s="137" t="s">
        <v>643</v>
      </c>
      <c r="M16" s="137">
        <v>18560</v>
      </c>
      <c r="N16" s="137">
        <v>13990</v>
      </c>
      <c r="O16" s="137"/>
      <c r="P16" s="137">
        <f t="shared" si="1"/>
        <v>4570</v>
      </c>
      <c r="Q16" s="224" t="s">
        <v>349</v>
      </c>
    </row>
    <row r="17" spans="1:17" x14ac:dyDescent="0.25">
      <c r="A17" s="217">
        <f t="shared" si="0"/>
        <v>14</v>
      </c>
      <c r="B17" s="218">
        <v>46156</v>
      </c>
      <c r="C17" s="218">
        <v>46157</v>
      </c>
      <c r="D17" s="219" t="s">
        <v>282</v>
      </c>
      <c r="E17" s="219" t="s">
        <v>85</v>
      </c>
      <c r="F17" s="219" t="s">
        <v>217</v>
      </c>
      <c r="G17" s="219" t="s">
        <v>21</v>
      </c>
      <c r="H17" s="219" t="s">
        <v>213</v>
      </c>
      <c r="I17" s="219" t="s">
        <v>68</v>
      </c>
      <c r="J17" s="219" t="s">
        <v>317</v>
      </c>
      <c r="K17" s="219" t="s">
        <v>63</v>
      </c>
      <c r="L17" s="189" t="s">
        <v>332</v>
      </c>
      <c r="M17" s="189">
        <v>25300</v>
      </c>
      <c r="N17" s="189">
        <v>20100</v>
      </c>
      <c r="O17" s="189" t="s">
        <v>333</v>
      </c>
      <c r="P17" s="189">
        <f t="shared" si="1"/>
        <v>5200</v>
      </c>
      <c r="Q17" s="220" t="s">
        <v>340</v>
      </c>
    </row>
    <row r="18" spans="1:17" x14ac:dyDescent="0.25">
      <c r="A18" s="221">
        <f t="shared" si="0"/>
        <v>15</v>
      </c>
      <c r="B18" s="222">
        <v>46156</v>
      </c>
      <c r="C18" s="222">
        <v>46157</v>
      </c>
      <c r="D18" s="223" t="s">
        <v>282</v>
      </c>
      <c r="E18" s="223" t="s">
        <v>85</v>
      </c>
      <c r="F18" s="223" t="s">
        <v>217</v>
      </c>
      <c r="G18" s="223" t="s">
        <v>21</v>
      </c>
      <c r="H18" s="223" t="s">
        <v>224</v>
      </c>
      <c r="I18" s="223" t="s">
        <v>226</v>
      </c>
      <c r="J18" s="223" t="s">
        <v>319</v>
      </c>
      <c r="K18" s="223" t="s">
        <v>24</v>
      </c>
      <c r="L18" s="137" t="s">
        <v>332</v>
      </c>
      <c r="M18" s="137">
        <v>16590</v>
      </c>
      <c r="N18" s="137">
        <v>14040</v>
      </c>
      <c r="O18" s="137"/>
      <c r="P18" s="137">
        <f t="shared" si="1"/>
        <v>2550</v>
      </c>
      <c r="Q18" s="224" t="s">
        <v>341</v>
      </c>
    </row>
    <row r="19" spans="1:17" x14ac:dyDescent="0.25">
      <c r="A19" s="227">
        <f t="shared" si="0"/>
        <v>16</v>
      </c>
      <c r="B19" s="228">
        <v>46157</v>
      </c>
      <c r="C19" s="228">
        <v>46157</v>
      </c>
      <c r="D19" s="219" t="s">
        <v>282</v>
      </c>
      <c r="E19" s="219" t="s">
        <v>85</v>
      </c>
      <c r="F19" s="219" t="s">
        <v>217</v>
      </c>
      <c r="G19" s="219" t="s">
        <v>21</v>
      </c>
      <c r="H19" s="219" t="s">
        <v>213</v>
      </c>
      <c r="I19" s="219" t="s">
        <v>68</v>
      </c>
      <c r="J19" s="219" t="s">
        <v>317</v>
      </c>
      <c r="K19" s="219" t="s">
        <v>63</v>
      </c>
      <c r="L19" s="189" t="s">
        <v>332</v>
      </c>
      <c r="M19" s="338">
        <v>27980</v>
      </c>
      <c r="N19" s="338">
        <v>19990</v>
      </c>
      <c r="O19" s="338"/>
      <c r="P19" s="338">
        <f t="shared" si="1"/>
        <v>7990</v>
      </c>
      <c r="Q19" s="230" t="s">
        <v>342</v>
      </c>
    </row>
    <row r="20" spans="1:17" x14ac:dyDescent="0.25">
      <c r="A20" s="221">
        <f t="shared" si="0"/>
        <v>17</v>
      </c>
      <c r="B20" s="222">
        <v>46157</v>
      </c>
      <c r="C20" s="222">
        <v>46157</v>
      </c>
      <c r="D20" s="223" t="s">
        <v>282</v>
      </c>
      <c r="E20" s="223" t="s">
        <v>85</v>
      </c>
      <c r="F20" s="223" t="s">
        <v>217</v>
      </c>
      <c r="G20" s="223" t="s">
        <v>21</v>
      </c>
      <c r="H20" s="223" t="s">
        <v>224</v>
      </c>
      <c r="I20" s="223" t="s">
        <v>226</v>
      </c>
      <c r="J20" s="223" t="s">
        <v>319</v>
      </c>
      <c r="K20" s="223" t="s">
        <v>24</v>
      </c>
      <c r="L20" s="137" t="s">
        <v>332</v>
      </c>
      <c r="M20" s="137">
        <v>17500</v>
      </c>
      <c r="N20" s="137">
        <v>14110</v>
      </c>
      <c r="O20" s="137"/>
      <c r="P20" s="137">
        <f t="shared" si="1"/>
        <v>3390</v>
      </c>
      <c r="Q20" s="224" t="s">
        <v>343</v>
      </c>
    </row>
    <row r="21" spans="1:17" x14ac:dyDescent="0.25">
      <c r="A21" s="217">
        <f t="shared" si="0"/>
        <v>18</v>
      </c>
      <c r="B21" s="218">
        <v>46158</v>
      </c>
      <c r="C21" s="218">
        <v>46158</v>
      </c>
      <c r="D21" s="219" t="s">
        <v>282</v>
      </c>
      <c r="E21" s="219" t="s">
        <v>85</v>
      </c>
      <c r="F21" s="219" t="s">
        <v>217</v>
      </c>
      <c r="G21" s="219" t="s">
        <v>21</v>
      </c>
      <c r="H21" s="219" t="s">
        <v>213</v>
      </c>
      <c r="I21" s="219" t="s">
        <v>68</v>
      </c>
      <c r="J21" s="219" t="s">
        <v>317</v>
      </c>
      <c r="K21" s="219" t="s">
        <v>63</v>
      </c>
      <c r="L21" s="189" t="s">
        <v>332</v>
      </c>
      <c r="M21" s="189">
        <v>24430</v>
      </c>
      <c r="N21" s="189">
        <v>20160</v>
      </c>
      <c r="O21" s="189"/>
      <c r="P21" s="189">
        <f t="shared" si="1"/>
        <v>4270</v>
      </c>
      <c r="Q21" s="220" t="s">
        <v>344</v>
      </c>
    </row>
    <row r="22" spans="1:17" x14ac:dyDescent="0.25">
      <c r="A22" s="221">
        <f t="shared" si="0"/>
        <v>19</v>
      </c>
      <c r="B22" s="222">
        <v>46158</v>
      </c>
      <c r="C22" s="222">
        <v>46158</v>
      </c>
      <c r="D22" s="223" t="s">
        <v>282</v>
      </c>
      <c r="E22" s="223" t="s">
        <v>85</v>
      </c>
      <c r="F22" s="223" t="s">
        <v>217</v>
      </c>
      <c r="G22" s="223" t="s">
        <v>21</v>
      </c>
      <c r="H22" s="223" t="s">
        <v>224</v>
      </c>
      <c r="I22" s="223" t="s">
        <v>226</v>
      </c>
      <c r="J22" s="223" t="s">
        <v>319</v>
      </c>
      <c r="K22" s="223" t="s">
        <v>24</v>
      </c>
      <c r="L22" s="137" t="s">
        <v>332</v>
      </c>
      <c r="M22" s="137">
        <v>16640</v>
      </c>
      <c r="N22" s="137">
        <v>14020</v>
      </c>
      <c r="O22" s="137"/>
      <c r="P22" s="137">
        <f t="shared" si="1"/>
        <v>2620</v>
      </c>
      <c r="Q22" s="224" t="s">
        <v>345</v>
      </c>
    </row>
    <row r="23" spans="1:17" x14ac:dyDescent="0.25">
      <c r="A23" s="227">
        <f t="shared" si="0"/>
        <v>20</v>
      </c>
      <c r="B23" s="228">
        <v>46160</v>
      </c>
      <c r="C23" s="228">
        <v>46160</v>
      </c>
      <c r="D23" s="229" t="s">
        <v>282</v>
      </c>
      <c r="E23" s="229" t="s">
        <v>85</v>
      </c>
      <c r="F23" s="229" t="s">
        <v>217</v>
      </c>
      <c r="G23" s="229" t="s">
        <v>21</v>
      </c>
      <c r="H23" s="229" t="s">
        <v>213</v>
      </c>
      <c r="I23" s="229" t="s">
        <v>68</v>
      </c>
      <c r="J23" s="229" t="s">
        <v>317</v>
      </c>
      <c r="K23" s="229" t="s">
        <v>63</v>
      </c>
      <c r="L23" s="339" t="s">
        <v>332</v>
      </c>
      <c r="M23" s="339">
        <v>24630</v>
      </c>
      <c r="N23" s="339">
        <v>20080</v>
      </c>
      <c r="O23" s="339"/>
      <c r="P23" s="339">
        <f t="shared" si="1"/>
        <v>4550</v>
      </c>
      <c r="Q23" s="230" t="s">
        <v>358</v>
      </c>
    </row>
    <row r="24" spans="1:17" x14ac:dyDescent="0.25">
      <c r="A24" s="213">
        <f t="shared" si="0"/>
        <v>21</v>
      </c>
      <c r="B24" s="214">
        <v>46160</v>
      </c>
      <c r="C24" s="214">
        <v>46160</v>
      </c>
      <c r="D24" s="215" t="s">
        <v>282</v>
      </c>
      <c r="E24" s="215" t="s">
        <v>85</v>
      </c>
      <c r="F24" s="215" t="s">
        <v>217</v>
      </c>
      <c r="G24" s="215" t="s">
        <v>223</v>
      </c>
      <c r="H24" s="229" t="s">
        <v>67</v>
      </c>
      <c r="I24" s="229" t="s">
        <v>68</v>
      </c>
      <c r="J24" s="229" t="s">
        <v>215</v>
      </c>
      <c r="K24" s="229" t="s">
        <v>63</v>
      </c>
      <c r="L24" s="339" t="s">
        <v>293</v>
      </c>
      <c r="M24" s="339">
        <v>44150</v>
      </c>
      <c r="N24" s="339">
        <v>20130</v>
      </c>
      <c r="O24" s="339"/>
      <c r="P24" s="339">
        <f t="shared" si="1"/>
        <v>24020</v>
      </c>
      <c r="Q24" s="230" t="s">
        <v>368</v>
      </c>
    </row>
    <row r="25" spans="1:17" x14ac:dyDescent="0.25">
      <c r="A25" s="213">
        <f t="shared" si="0"/>
        <v>22</v>
      </c>
      <c r="B25" s="214">
        <v>46160</v>
      </c>
      <c r="C25" s="214">
        <v>46160</v>
      </c>
      <c r="D25" s="215" t="s">
        <v>282</v>
      </c>
      <c r="E25" s="215" t="s">
        <v>85</v>
      </c>
      <c r="F25" s="215" t="s">
        <v>217</v>
      </c>
      <c r="G25" s="215" t="s">
        <v>223</v>
      </c>
      <c r="H25" s="215" t="s">
        <v>243</v>
      </c>
      <c r="I25" s="215" t="s">
        <v>360</v>
      </c>
      <c r="J25" s="215" t="s">
        <v>361</v>
      </c>
      <c r="K25" s="215"/>
      <c r="L25" s="339" t="s">
        <v>293</v>
      </c>
      <c r="M25" s="134">
        <v>35960</v>
      </c>
      <c r="N25" s="134">
        <v>14560</v>
      </c>
      <c r="O25" s="134"/>
      <c r="P25" s="134">
        <f>M25-N25</f>
        <v>21400</v>
      </c>
      <c r="Q25" s="216" t="s">
        <v>357</v>
      </c>
    </row>
    <row r="26" spans="1:17" x14ac:dyDescent="0.25">
      <c r="A26" s="213">
        <f t="shared" si="0"/>
        <v>23</v>
      </c>
      <c r="B26" s="214">
        <v>46160</v>
      </c>
      <c r="C26" s="214">
        <v>46160</v>
      </c>
      <c r="D26" s="215" t="s">
        <v>282</v>
      </c>
      <c r="E26" s="215" t="s">
        <v>85</v>
      </c>
      <c r="F26" s="215" t="s">
        <v>217</v>
      </c>
      <c r="G26" s="215" t="s">
        <v>223</v>
      </c>
      <c r="H26" s="215" t="s">
        <v>243</v>
      </c>
      <c r="I26" s="215" t="s">
        <v>362</v>
      </c>
      <c r="J26" s="215" t="s">
        <v>363</v>
      </c>
      <c r="K26" s="215"/>
      <c r="L26" s="339" t="s">
        <v>293</v>
      </c>
      <c r="M26" s="134">
        <v>38690</v>
      </c>
      <c r="N26" s="134">
        <v>14890</v>
      </c>
      <c r="O26" s="134"/>
      <c r="P26" s="134">
        <f t="shared" ref="P26:P39" si="2">M26-N26</f>
        <v>23800</v>
      </c>
      <c r="Q26" s="216" t="s">
        <v>357</v>
      </c>
    </row>
    <row r="27" spans="1:17" x14ac:dyDescent="0.25">
      <c r="A27" s="213">
        <f t="shared" si="0"/>
        <v>24</v>
      </c>
      <c r="B27" s="214">
        <v>46160</v>
      </c>
      <c r="C27" s="214">
        <v>46160</v>
      </c>
      <c r="D27" s="215" t="s">
        <v>282</v>
      </c>
      <c r="E27" s="215" t="s">
        <v>85</v>
      </c>
      <c r="F27" s="215" t="s">
        <v>217</v>
      </c>
      <c r="G27" s="215" t="s">
        <v>223</v>
      </c>
      <c r="H27" s="215" t="s">
        <v>243</v>
      </c>
      <c r="I27" s="215" t="s">
        <v>364</v>
      </c>
      <c r="J27" s="215" t="s">
        <v>365</v>
      </c>
      <c r="K27" s="215"/>
      <c r="L27" s="339" t="s">
        <v>293</v>
      </c>
      <c r="M27" s="134">
        <v>35460</v>
      </c>
      <c r="N27" s="134">
        <v>14660</v>
      </c>
      <c r="O27" s="134"/>
      <c r="P27" s="134">
        <f t="shared" si="2"/>
        <v>20800</v>
      </c>
      <c r="Q27" s="216" t="s">
        <v>357</v>
      </c>
    </row>
    <row r="28" spans="1:17" x14ac:dyDescent="0.25">
      <c r="A28" s="221">
        <f t="shared" si="0"/>
        <v>25</v>
      </c>
      <c r="B28" s="222">
        <v>46160</v>
      </c>
      <c r="C28" s="222">
        <v>46160</v>
      </c>
      <c r="D28" s="223" t="s">
        <v>282</v>
      </c>
      <c r="E28" s="223" t="s">
        <v>85</v>
      </c>
      <c r="F28" s="223" t="s">
        <v>217</v>
      </c>
      <c r="G28" s="223" t="s">
        <v>223</v>
      </c>
      <c r="H28" s="223" t="s">
        <v>243</v>
      </c>
      <c r="I28" s="223" t="s">
        <v>366</v>
      </c>
      <c r="J28" s="223" t="s">
        <v>367</v>
      </c>
      <c r="K28" s="223"/>
      <c r="L28" s="137" t="s">
        <v>293</v>
      </c>
      <c r="M28" s="137">
        <v>41940</v>
      </c>
      <c r="N28" s="137">
        <v>15680</v>
      </c>
      <c r="O28" s="137"/>
      <c r="P28" s="137">
        <f t="shared" si="2"/>
        <v>26260</v>
      </c>
      <c r="Q28" s="224" t="s">
        <v>357</v>
      </c>
    </row>
    <row r="29" spans="1:17" x14ac:dyDescent="0.25">
      <c r="A29" s="227">
        <f t="shared" si="0"/>
        <v>26</v>
      </c>
      <c r="B29" s="228">
        <v>46161</v>
      </c>
      <c r="C29" s="228">
        <v>46161</v>
      </c>
      <c r="D29" s="229" t="s">
        <v>282</v>
      </c>
      <c r="E29" s="229" t="s">
        <v>85</v>
      </c>
      <c r="F29" s="229" t="s">
        <v>217</v>
      </c>
      <c r="G29" s="229" t="s">
        <v>223</v>
      </c>
      <c r="H29" s="229" t="s">
        <v>243</v>
      </c>
      <c r="I29" s="229" t="s">
        <v>360</v>
      </c>
      <c r="J29" s="229" t="s">
        <v>361</v>
      </c>
      <c r="K29" s="229"/>
      <c r="L29" s="347" t="s">
        <v>293</v>
      </c>
      <c r="M29" s="347">
        <v>38290</v>
      </c>
      <c r="N29" s="347">
        <v>14560</v>
      </c>
      <c r="O29" s="347"/>
      <c r="P29" s="347">
        <f t="shared" si="2"/>
        <v>23730</v>
      </c>
      <c r="Q29" s="230" t="s">
        <v>357</v>
      </c>
    </row>
    <row r="30" spans="1:17" x14ac:dyDescent="0.25">
      <c r="A30" s="213">
        <f t="shared" si="0"/>
        <v>27</v>
      </c>
      <c r="B30" s="214">
        <v>46161</v>
      </c>
      <c r="C30" s="214">
        <v>46161</v>
      </c>
      <c r="D30" s="215" t="s">
        <v>282</v>
      </c>
      <c r="E30" s="215" t="s">
        <v>85</v>
      </c>
      <c r="F30" s="215" t="s">
        <v>217</v>
      </c>
      <c r="G30" s="215" t="s">
        <v>223</v>
      </c>
      <c r="H30" s="215" t="s">
        <v>243</v>
      </c>
      <c r="I30" s="215" t="s">
        <v>366</v>
      </c>
      <c r="J30" s="215" t="s">
        <v>367</v>
      </c>
      <c r="K30" s="215"/>
      <c r="L30" s="347" t="s">
        <v>293</v>
      </c>
      <c r="M30" s="347">
        <v>39530</v>
      </c>
      <c r="N30" s="347">
        <v>15680</v>
      </c>
      <c r="O30" s="347"/>
      <c r="P30" s="347">
        <f t="shared" si="2"/>
        <v>23850</v>
      </c>
      <c r="Q30" s="216" t="s">
        <v>357</v>
      </c>
    </row>
    <row r="31" spans="1:17" x14ac:dyDescent="0.25">
      <c r="A31" s="213">
        <f t="shared" si="0"/>
        <v>28</v>
      </c>
      <c r="B31" s="214">
        <v>46161</v>
      </c>
      <c r="C31" s="214">
        <v>46161</v>
      </c>
      <c r="D31" s="215" t="s">
        <v>282</v>
      </c>
      <c r="E31" s="215" t="s">
        <v>85</v>
      </c>
      <c r="F31" s="215" t="s">
        <v>217</v>
      </c>
      <c r="G31" s="215" t="s">
        <v>223</v>
      </c>
      <c r="H31" s="215" t="s">
        <v>243</v>
      </c>
      <c r="I31" s="215" t="s">
        <v>364</v>
      </c>
      <c r="J31" s="215" t="s">
        <v>365</v>
      </c>
      <c r="K31" s="215"/>
      <c r="L31" s="347" t="s">
        <v>293</v>
      </c>
      <c r="M31" s="347">
        <v>39390</v>
      </c>
      <c r="N31" s="347">
        <v>14660</v>
      </c>
      <c r="O31" s="347"/>
      <c r="P31" s="347">
        <f t="shared" si="2"/>
        <v>24730</v>
      </c>
      <c r="Q31" s="216" t="s">
        <v>357</v>
      </c>
    </row>
    <row r="32" spans="1:17" x14ac:dyDescent="0.25">
      <c r="A32" s="213">
        <f t="shared" si="0"/>
        <v>29</v>
      </c>
      <c r="B32" s="214">
        <v>46161</v>
      </c>
      <c r="C32" s="214">
        <v>46161</v>
      </c>
      <c r="D32" s="215" t="s">
        <v>282</v>
      </c>
      <c r="E32" s="215" t="s">
        <v>85</v>
      </c>
      <c r="F32" s="215" t="s">
        <v>217</v>
      </c>
      <c r="G32" s="215" t="s">
        <v>223</v>
      </c>
      <c r="H32" s="215" t="s">
        <v>243</v>
      </c>
      <c r="I32" s="215" t="s">
        <v>369</v>
      </c>
      <c r="J32" s="215" t="s">
        <v>370</v>
      </c>
      <c r="K32" s="215"/>
      <c r="L32" s="347" t="s">
        <v>293</v>
      </c>
      <c r="M32" s="347">
        <v>40120</v>
      </c>
      <c r="N32" s="347">
        <v>14570</v>
      </c>
      <c r="O32" s="347"/>
      <c r="P32" s="347">
        <f t="shared" si="2"/>
        <v>25550</v>
      </c>
      <c r="Q32" s="216" t="s">
        <v>357</v>
      </c>
    </row>
    <row r="33" spans="1:17" x14ac:dyDescent="0.25">
      <c r="A33" s="213">
        <f t="shared" si="0"/>
        <v>30</v>
      </c>
      <c r="B33" s="214">
        <v>46161</v>
      </c>
      <c r="C33" s="214">
        <v>46161</v>
      </c>
      <c r="D33" s="215" t="s">
        <v>282</v>
      </c>
      <c r="E33" s="215" t="s">
        <v>85</v>
      </c>
      <c r="F33" s="215" t="s">
        <v>217</v>
      </c>
      <c r="G33" s="215" t="s">
        <v>223</v>
      </c>
      <c r="H33" s="215" t="s">
        <v>243</v>
      </c>
      <c r="I33" s="215" t="s">
        <v>360</v>
      </c>
      <c r="J33" s="215" t="s">
        <v>361</v>
      </c>
      <c r="K33" s="215"/>
      <c r="L33" s="347" t="s">
        <v>293</v>
      </c>
      <c r="M33" s="347">
        <v>37840</v>
      </c>
      <c r="N33" s="347">
        <v>14560</v>
      </c>
      <c r="O33" s="347"/>
      <c r="P33" s="347">
        <f t="shared" si="2"/>
        <v>23280</v>
      </c>
      <c r="Q33" s="216" t="s">
        <v>357</v>
      </c>
    </row>
    <row r="34" spans="1:17" x14ac:dyDescent="0.25">
      <c r="A34" s="213">
        <f t="shared" si="0"/>
        <v>31</v>
      </c>
      <c r="B34" s="214">
        <v>46161</v>
      </c>
      <c r="C34" s="214">
        <v>46161</v>
      </c>
      <c r="D34" s="215" t="s">
        <v>282</v>
      </c>
      <c r="E34" s="215" t="s">
        <v>85</v>
      </c>
      <c r="F34" s="215" t="s">
        <v>217</v>
      </c>
      <c r="G34" s="215" t="s">
        <v>223</v>
      </c>
      <c r="H34" s="215" t="s">
        <v>243</v>
      </c>
      <c r="I34" s="215" t="s">
        <v>366</v>
      </c>
      <c r="J34" s="215" t="s">
        <v>367</v>
      </c>
      <c r="K34" s="215"/>
      <c r="L34" s="347" t="s">
        <v>293</v>
      </c>
      <c r="M34" s="347">
        <v>40420</v>
      </c>
      <c r="N34" s="347">
        <v>15680</v>
      </c>
      <c r="O34" s="347"/>
      <c r="P34" s="347">
        <f t="shared" si="2"/>
        <v>24740</v>
      </c>
      <c r="Q34" s="216" t="s">
        <v>357</v>
      </c>
    </row>
    <row r="35" spans="1:17" x14ac:dyDescent="0.25">
      <c r="A35" s="213">
        <f t="shared" si="0"/>
        <v>32</v>
      </c>
      <c r="B35" s="214">
        <v>46161</v>
      </c>
      <c r="C35" s="214">
        <v>46161</v>
      </c>
      <c r="D35" s="215" t="s">
        <v>282</v>
      </c>
      <c r="E35" s="215" t="s">
        <v>85</v>
      </c>
      <c r="F35" s="215" t="s">
        <v>217</v>
      </c>
      <c r="G35" s="215" t="s">
        <v>223</v>
      </c>
      <c r="H35" s="215" t="s">
        <v>243</v>
      </c>
      <c r="I35" s="215" t="s">
        <v>364</v>
      </c>
      <c r="J35" s="215" t="s">
        <v>365</v>
      </c>
      <c r="K35" s="215"/>
      <c r="L35" s="347" t="s">
        <v>293</v>
      </c>
      <c r="M35" s="347">
        <v>25890</v>
      </c>
      <c r="N35" s="347">
        <v>14660</v>
      </c>
      <c r="O35" s="347"/>
      <c r="P35" s="347">
        <f t="shared" si="2"/>
        <v>11230</v>
      </c>
      <c r="Q35" s="216" t="s">
        <v>357</v>
      </c>
    </row>
    <row r="36" spans="1:17" ht="27" x14ac:dyDescent="0.25">
      <c r="A36" s="213">
        <f t="shared" si="0"/>
        <v>33</v>
      </c>
      <c r="B36" s="214">
        <v>46161</v>
      </c>
      <c r="C36" s="214">
        <v>46161</v>
      </c>
      <c r="D36" s="215" t="s">
        <v>281</v>
      </c>
      <c r="E36" s="215" t="s">
        <v>85</v>
      </c>
      <c r="F36" s="215"/>
      <c r="G36" s="215" t="s">
        <v>225</v>
      </c>
      <c r="H36" s="215" t="s">
        <v>224</v>
      </c>
      <c r="I36" s="215" t="s">
        <v>226</v>
      </c>
      <c r="J36" s="215" t="s">
        <v>319</v>
      </c>
      <c r="K36" s="215" t="s">
        <v>24</v>
      </c>
      <c r="L36" s="134" t="s">
        <v>371</v>
      </c>
      <c r="M36" s="134">
        <v>18510</v>
      </c>
      <c r="N36" s="134">
        <v>15020</v>
      </c>
      <c r="O36" s="134"/>
      <c r="P36" s="134">
        <f t="shared" si="2"/>
        <v>3490</v>
      </c>
      <c r="Q36" s="358" t="s">
        <v>372</v>
      </c>
    </row>
    <row r="37" spans="1:17" x14ac:dyDescent="0.25">
      <c r="A37" s="354">
        <f t="shared" si="0"/>
        <v>34</v>
      </c>
      <c r="B37" s="355">
        <v>46161</v>
      </c>
      <c r="C37" s="355"/>
      <c r="D37" s="356" t="s">
        <v>281</v>
      </c>
      <c r="E37" s="356" t="s">
        <v>34</v>
      </c>
      <c r="F37" s="356"/>
      <c r="G37" s="356" t="s">
        <v>415</v>
      </c>
      <c r="H37" s="356" t="s">
        <v>402</v>
      </c>
      <c r="I37" s="356" t="s">
        <v>403</v>
      </c>
      <c r="J37" s="356"/>
      <c r="K37" s="356"/>
      <c r="L37" s="353" t="s">
        <v>404</v>
      </c>
      <c r="M37" s="353">
        <v>27820</v>
      </c>
      <c r="N37" s="353">
        <v>15220</v>
      </c>
      <c r="O37" s="353"/>
      <c r="P37" s="353">
        <f t="shared" si="2"/>
        <v>12600</v>
      </c>
      <c r="Q37" s="357" t="s">
        <v>405</v>
      </c>
    </row>
    <row r="38" spans="1:17" x14ac:dyDescent="0.25">
      <c r="A38" s="126">
        <f t="shared" si="0"/>
        <v>35</v>
      </c>
      <c r="B38" s="142">
        <v>46163</v>
      </c>
      <c r="C38" s="142">
        <v>46163</v>
      </c>
      <c r="D38" s="248" t="s">
        <v>282</v>
      </c>
      <c r="E38" s="248" t="s">
        <v>34</v>
      </c>
      <c r="F38" s="248" t="s">
        <v>258</v>
      </c>
      <c r="G38" s="359" t="s">
        <v>223</v>
      </c>
      <c r="H38" s="248" t="s">
        <v>67</v>
      </c>
      <c r="I38" s="127" t="s">
        <v>68</v>
      </c>
      <c r="J38" s="127" t="s">
        <v>215</v>
      </c>
      <c r="K38" s="127" t="s">
        <v>63</v>
      </c>
      <c r="L38" s="128" t="s">
        <v>293</v>
      </c>
      <c r="M38" s="128">
        <v>44110</v>
      </c>
      <c r="N38" s="128">
        <v>20130</v>
      </c>
      <c r="O38" s="128"/>
      <c r="P38" s="128">
        <f t="shared" si="2"/>
        <v>23980</v>
      </c>
      <c r="Q38" s="129" t="s">
        <v>461</v>
      </c>
    </row>
    <row r="39" spans="1:17" x14ac:dyDescent="0.25">
      <c r="A39" s="246">
        <f t="shared" si="0"/>
        <v>36</v>
      </c>
      <c r="B39" s="247">
        <v>46164</v>
      </c>
      <c r="C39" s="247">
        <v>46164</v>
      </c>
      <c r="D39" s="248" t="s">
        <v>282</v>
      </c>
      <c r="E39" s="248" t="s">
        <v>34</v>
      </c>
      <c r="F39" s="248" t="s">
        <v>258</v>
      </c>
      <c r="G39" s="248" t="s">
        <v>411</v>
      </c>
      <c r="H39" s="248" t="s">
        <v>67</v>
      </c>
      <c r="I39" s="248" t="s">
        <v>68</v>
      </c>
      <c r="J39" s="248" t="s">
        <v>215</v>
      </c>
      <c r="K39" s="248" t="s">
        <v>63</v>
      </c>
      <c r="L39" s="128" t="s">
        <v>412</v>
      </c>
      <c r="M39" s="128">
        <v>37660</v>
      </c>
      <c r="N39" s="128">
        <v>20690</v>
      </c>
      <c r="O39" s="128"/>
      <c r="P39" s="128">
        <f t="shared" si="2"/>
        <v>16970</v>
      </c>
      <c r="Q39" s="307" t="s">
        <v>357</v>
      </c>
    </row>
    <row r="40" spans="1:17" x14ac:dyDescent="0.25">
      <c r="A40" s="246">
        <f t="shared" si="0"/>
        <v>37</v>
      </c>
      <c r="B40" s="247">
        <v>46168</v>
      </c>
      <c r="C40" s="247">
        <v>46168</v>
      </c>
      <c r="D40" s="248" t="s">
        <v>281</v>
      </c>
      <c r="E40" s="248" t="s">
        <v>85</v>
      </c>
      <c r="F40" s="248"/>
      <c r="G40" s="248" t="s">
        <v>225</v>
      </c>
      <c r="H40" s="248" t="s">
        <v>224</v>
      </c>
      <c r="I40" s="248" t="s">
        <v>15</v>
      </c>
      <c r="J40" s="248" t="s">
        <v>41</v>
      </c>
      <c r="K40" s="248" t="s">
        <v>24</v>
      </c>
      <c r="L40" s="128" t="s">
        <v>43</v>
      </c>
      <c r="M40" s="128">
        <v>19660</v>
      </c>
      <c r="N40" s="128">
        <v>15080</v>
      </c>
      <c r="O40" s="128"/>
      <c r="P40" s="128">
        <f>M40-N40</f>
        <v>4580</v>
      </c>
      <c r="Q40" s="365" t="s">
        <v>416</v>
      </c>
    </row>
    <row r="41" spans="1:17" x14ac:dyDescent="0.25">
      <c r="A41" s="227">
        <f t="shared" si="0"/>
        <v>38</v>
      </c>
      <c r="B41" s="228">
        <v>46171</v>
      </c>
      <c r="C41" s="228">
        <v>46171</v>
      </c>
      <c r="D41" s="229" t="s">
        <v>282</v>
      </c>
      <c r="E41" s="229" t="s">
        <v>34</v>
      </c>
      <c r="F41" s="229" t="s">
        <v>221</v>
      </c>
      <c r="G41" s="229" t="s">
        <v>223</v>
      </c>
      <c r="H41" s="229" t="s">
        <v>462</v>
      </c>
      <c r="I41" s="229" t="s">
        <v>366</v>
      </c>
      <c r="J41" s="229"/>
      <c r="K41" s="229"/>
      <c r="L41" s="394" t="s">
        <v>460</v>
      </c>
      <c r="M41" s="394">
        <v>23000</v>
      </c>
      <c r="N41" s="394">
        <v>14560</v>
      </c>
      <c r="O41" s="394"/>
      <c r="P41" s="394">
        <f>M41-N41</f>
        <v>8440</v>
      </c>
      <c r="Q41" s="230" t="s">
        <v>463</v>
      </c>
    </row>
    <row r="42" spans="1:17" x14ac:dyDescent="0.25">
      <c r="A42" s="227">
        <f t="shared" si="0"/>
        <v>39</v>
      </c>
      <c r="B42" s="228">
        <v>46171</v>
      </c>
      <c r="C42" s="228">
        <v>46171</v>
      </c>
      <c r="D42" s="229" t="s">
        <v>282</v>
      </c>
      <c r="E42" s="229" t="s">
        <v>34</v>
      </c>
      <c r="F42" s="229" t="s">
        <v>221</v>
      </c>
      <c r="G42" s="229" t="s">
        <v>223</v>
      </c>
      <c r="H42" s="229" t="s">
        <v>462</v>
      </c>
      <c r="I42" s="229" t="s">
        <v>364</v>
      </c>
      <c r="J42" s="229"/>
      <c r="K42" s="229"/>
      <c r="L42" s="394" t="s">
        <v>460</v>
      </c>
      <c r="M42" s="394">
        <v>26910</v>
      </c>
      <c r="N42" s="394">
        <v>14660</v>
      </c>
      <c r="O42" s="394"/>
      <c r="P42" s="394">
        <f>M42-N42</f>
        <v>12250</v>
      </c>
      <c r="Q42" s="230" t="s">
        <v>463</v>
      </c>
    </row>
    <row r="43" spans="1:17" x14ac:dyDescent="0.25">
      <c r="A43" s="221">
        <f t="shared" si="0"/>
        <v>40</v>
      </c>
      <c r="B43" s="222">
        <v>46171</v>
      </c>
      <c r="C43" s="222">
        <v>46171</v>
      </c>
      <c r="D43" s="223" t="s">
        <v>282</v>
      </c>
      <c r="E43" s="223" t="s">
        <v>34</v>
      </c>
      <c r="F43" s="223" t="s">
        <v>221</v>
      </c>
      <c r="G43" s="223" t="s">
        <v>223</v>
      </c>
      <c r="H43" s="223" t="s">
        <v>462</v>
      </c>
      <c r="I43" s="223" t="s">
        <v>360</v>
      </c>
      <c r="J43" s="223"/>
      <c r="K43" s="223"/>
      <c r="L43" s="137" t="s">
        <v>460</v>
      </c>
      <c r="M43" s="137">
        <v>28090</v>
      </c>
      <c r="N43" s="137">
        <v>14560</v>
      </c>
      <c r="O43" s="137"/>
      <c r="P43" s="137">
        <f>M43-N43</f>
        <v>13530</v>
      </c>
      <c r="Q43" s="224" t="s">
        <v>463</v>
      </c>
    </row>
    <row r="44" spans="1:17" x14ac:dyDescent="0.25">
      <c r="A44" s="217">
        <f t="shared" si="0"/>
        <v>41</v>
      </c>
      <c r="B44" s="218">
        <v>46178</v>
      </c>
      <c r="C44" s="218">
        <v>46178</v>
      </c>
      <c r="D44" s="219" t="s">
        <v>282</v>
      </c>
      <c r="E44" s="219" t="s">
        <v>85</v>
      </c>
      <c r="F44" s="219" t="s">
        <v>514</v>
      </c>
      <c r="G44" s="219" t="s">
        <v>21</v>
      </c>
      <c r="H44" s="219" t="s">
        <v>67</v>
      </c>
      <c r="I44" s="219" t="s">
        <v>68</v>
      </c>
      <c r="J44" s="219" t="s">
        <v>517</v>
      </c>
      <c r="K44" s="219" t="s">
        <v>519</v>
      </c>
      <c r="L44" s="189" t="s">
        <v>643</v>
      </c>
      <c r="M44" s="189">
        <v>29210</v>
      </c>
      <c r="N44" s="189">
        <v>20890</v>
      </c>
      <c r="O44" s="189"/>
      <c r="P44" s="189">
        <f t="shared" ref="P44:P65" si="3">M44-N44</f>
        <v>8320</v>
      </c>
      <c r="Q44" s="220" t="s">
        <v>520</v>
      </c>
    </row>
    <row r="45" spans="1:17" x14ac:dyDescent="0.25">
      <c r="A45" s="396">
        <f t="shared" si="0"/>
        <v>42</v>
      </c>
      <c r="B45" s="355">
        <v>46178</v>
      </c>
      <c r="C45" s="355">
        <v>46178</v>
      </c>
      <c r="D45" s="356" t="s">
        <v>282</v>
      </c>
      <c r="E45" s="356" t="s">
        <v>85</v>
      </c>
      <c r="F45" s="356" t="s">
        <v>514</v>
      </c>
      <c r="G45" s="356" t="s">
        <v>21</v>
      </c>
      <c r="H45" s="356" t="s">
        <v>224</v>
      </c>
      <c r="I45" s="356" t="s">
        <v>515</v>
      </c>
      <c r="J45" s="356" t="s">
        <v>516</v>
      </c>
      <c r="K45" s="356" t="s">
        <v>518</v>
      </c>
      <c r="L45" s="395" t="s">
        <v>643</v>
      </c>
      <c r="M45" s="395">
        <v>27040</v>
      </c>
      <c r="N45" s="395">
        <v>21370</v>
      </c>
      <c r="O45" s="395"/>
      <c r="P45" s="395">
        <f t="shared" si="3"/>
        <v>5670</v>
      </c>
      <c r="Q45" s="397" t="s">
        <v>521</v>
      </c>
    </row>
    <row r="46" spans="1:17" x14ac:dyDescent="0.25">
      <c r="A46" s="246">
        <f t="shared" si="0"/>
        <v>43</v>
      </c>
      <c r="B46" s="247">
        <v>46181</v>
      </c>
      <c r="C46" s="247"/>
      <c r="D46" s="248" t="s">
        <v>281</v>
      </c>
      <c r="E46" s="248" t="s">
        <v>85</v>
      </c>
      <c r="F46" s="248"/>
      <c r="G46" s="248" t="s">
        <v>225</v>
      </c>
      <c r="H46" s="248" t="s">
        <v>224</v>
      </c>
      <c r="I46" s="248" t="s">
        <v>226</v>
      </c>
      <c r="J46" s="248" t="s">
        <v>319</v>
      </c>
      <c r="K46" s="248" t="s">
        <v>24</v>
      </c>
      <c r="L46" s="128" t="s">
        <v>332</v>
      </c>
      <c r="M46" s="128">
        <v>15860</v>
      </c>
      <c r="N46" s="128">
        <v>14050</v>
      </c>
      <c r="O46" s="128"/>
      <c r="P46" s="128">
        <f t="shared" si="3"/>
        <v>1810</v>
      </c>
      <c r="Q46" s="307" t="s">
        <v>583</v>
      </c>
    </row>
    <row r="47" spans="1:17" x14ac:dyDescent="0.25">
      <c r="A47" s="416">
        <f t="shared" si="0"/>
        <v>44</v>
      </c>
      <c r="B47" s="218">
        <v>46182</v>
      </c>
      <c r="C47" s="218">
        <v>46182</v>
      </c>
      <c r="D47" s="219" t="s">
        <v>282</v>
      </c>
      <c r="E47" s="219" t="s">
        <v>85</v>
      </c>
      <c r="F47" s="219" t="s">
        <v>514</v>
      </c>
      <c r="G47" s="219" t="s">
        <v>21</v>
      </c>
      <c r="H47" s="219" t="s">
        <v>67</v>
      </c>
      <c r="I47" s="219" t="s">
        <v>68</v>
      </c>
      <c r="J47" s="219" t="s">
        <v>517</v>
      </c>
      <c r="K47" s="219" t="s">
        <v>17</v>
      </c>
      <c r="L47" s="189" t="s">
        <v>643</v>
      </c>
      <c r="M47" s="189">
        <v>30010</v>
      </c>
      <c r="N47" s="189">
        <v>20160</v>
      </c>
      <c r="O47" s="189"/>
      <c r="P47" s="189">
        <f t="shared" si="3"/>
        <v>9850</v>
      </c>
      <c r="Q47" s="220" t="s">
        <v>557</v>
      </c>
    </row>
    <row r="48" spans="1:17" x14ac:dyDescent="0.25">
      <c r="A48" s="417">
        <f t="shared" si="0"/>
        <v>45</v>
      </c>
      <c r="B48" s="355">
        <v>46182</v>
      </c>
      <c r="C48" s="355">
        <v>46182</v>
      </c>
      <c r="D48" s="356" t="s">
        <v>282</v>
      </c>
      <c r="E48" s="356" t="s">
        <v>85</v>
      </c>
      <c r="F48" s="356" t="s">
        <v>514</v>
      </c>
      <c r="G48" s="356" t="s">
        <v>21</v>
      </c>
      <c r="H48" s="356" t="s">
        <v>14</v>
      </c>
      <c r="I48" s="356" t="s">
        <v>22</v>
      </c>
      <c r="J48" s="356" t="s">
        <v>319</v>
      </c>
      <c r="K48" s="356" t="s">
        <v>24</v>
      </c>
      <c r="L48" s="398" t="s">
        <v>643</v>
      </c>
      <c r="M48" s="398">
        <v>25350</v>
      </c>
      <c r="N48" s="398">
        <v>21000</v>
      </c>
      <c r="O48" s="398"/>
      <c r="P48" s="398">
        <f t="shared" si="3"/>
        <v>4350</v>
      </c>
      <c r="Q48" s="397" t="s">
        <v>558</v>
      </c>
    </row>
    <row r="49" spans="1:17" x14ac:dyDescent="0.25">
      <c r="A49" s="416">
        <f t="shared" si="0"/>
        <v>46</v>
      </c>
      <c r="B49" s="228">
        <v>46183</v>
      </c>
      <c r="C49" s="228">
        <v>46183</v>
      </c>
      <c r="D49" s="229" t="s">
        <v>282</v>
      </c>
      <c r="E49" s="229" t="s">
        <v>85</v>
      </c>
      <c r="F49" s="229" t="s">
        <v>514</v>
      </c>
      <c r="G49" s="229" t="s">
        <v>21</v>
      </c>
      <c r="H49" s="229" t="s">
        <v>67</v>
      </c>
      <c r="I49" s="229" t="s">
        <v>68</v>
      </c>
      <c r="J49" s="229" t="s">
        <v>517</v>
      </c>
      <c r="K49" s="229" t="s">
        <v>17</v>
      </c>
      <c r="L49" s="415" t="s">
        <v>643</v>
      </c>
      <c r="M49" s="415">
        <v>29200</v>
      </c>
      <c r="N49" s="415">
        <v>20750</v>
      </c>
      <c r="O49" s="415"/>
      <c r="P49" s="415">
        <f t="shared" si="3"/>
        <v>8450</v>
      </c>
      <c r="Q49" s="230" t="s">
        <v>556</v>
      </c>
    </row>
    <row r="50" spans="1:17" x14ac:dyDescent="0.25">
      <c r="A50" s="417">
        <f t="shared" si="0"/>
        <v>47</v>
      </c>
      <c r="B50" s="222">
        <v>46183</v>
      </c>
      <c r="C50" s="222">
        <v>46183</v>
      </c>
      <c r="D50" s="223" t="s">
        <v>282</v>
      </c>
      <c r="E50" s="223" t="s">
        <v>85</v>
      </c>
      <c r="F50" s="223" t="s">
        <v>514</v>
      </c>
      <c r="G50" s="223" t="s">
        <v>21</v>
      </c>
      <c r="H50" s="223" t="s">
        <v>14</v>
      </c>
      <c r="I50" s="223" t="s">
        <v>226</v>
      </c>
      <c r="J50" s="223" t="s">
        <v>319</v>
      </c>
      <c r="K50" s="223" t="s">
        <v>24</v>
      </c>
      <c r="L50" s="137" t="s">
        <v>643</v>
      </c>
      <c r="M50" s="137">
        <v>18150</v>
      </c>
      <c r="N50" s="137">
        <v>14050</v>
      </c>
      <c r="O50" s="137"/>
      <c r="P50" s="137">
        <f t="shared" si="3"/>
        <v>4100</v>
      </c>
      <c r="Q50" s="224" t="s">
        <v>556</v>
      </c>
    </row>
    <row r="51" spans="1:17" x14ac:dyDescent="0.25">
      <c r="A51" s="416">
        <f t="shared" si="0"/>
        <v>48</v>
      </c>
      <c r="B51" s="218">
        <v>46184</v>
      </c>
      <c r="C51" s="218"/>
      <c r="D51" s="219" t="s">
        <v>281</v>
      </c>
      <c r="E51" s="219" t="s">
        <v>85</v>
      </c>
      <c r="F51" s="219"/>
      <c r="G51" s="219" t="s">
        <v>225</v>
      </c>
      <c r="H51" s="219" t="s">
        <v>14</v>
      </c>
      <c r="I51" s="219" t="s">
        <v>226</v>
      </c>
      <c r="J51" s="219" t="s">
        <v>319</v>
      </c>
      <c r="K51" s="219" t="s">
        <v>24</v>
      </c>
      <c r="L51" s="189" t="s">
        <v>332</v>
      </c>
      <c r="M51" s="189">
        <v>18090</v>
      </c>
      <c r="N51" s="189">
        <v>17870</v>
      </c>
      <c r="O51" s="189"/>
      <c r="P51" s="189">
        <f t="shared" si="3"/>
        <v>220</v>
      </c>
      <c r="Q51" s="220" t="s">
        <v>584</v>
      </c>
    </row>
    <row r="52" spans="1:17" x14ac:dyDescent="0.25">
      <c r="A52" s="417">
        <f t="shared" si="0"/>
        <v>49</v>
      </c>
      <c r="B52" s="355">
        <v>46184</v>
      </c>
      <c r="C52" s="355"/>
      <c r="D52" s="356" t="s">
        <v>281</v>
      </c>
      <c r="E52" s="356" t="s">
        <v>85</v>
      </c>
      <c r="F52" s="356"/>
      <c r="G52" s="356" t="s">
        <v>25</v>
      </c>
      <c r="H52" s="356" t="s">
        <v>14</v>
      </c>
      <c r="I52" s="356" t="s">
        <v>40</v>
      </c>
      <c r="J52" s="356" t="s">
        <v>41</v>
      </c>
      <c r="K52" s="356" t="s">
        <v>24</v>
      </c>
      <c r="L52" s="422" t="s">
        <v>222</v>
      </c>
      <c r="M52" s="422">
        <v>17510</v>
      </c>
      <c r="N52" s="422">
        <v>14410</v>
      </c>
      <c r="O52" s="422"/>
      <c r="P52" s="422">
        <f t="shared" si="3"/>
        <v>3100</v>
      </c>
      <c r="Q52" s="397" t="s">
        <v>563</v>
      </c>
    </row>
    <row r="53" spans="1:17" x14ac:dyDescent="0.25">
      <c r="A53" s="416">
        <f t="shared" si="0"/>
        <v>50</v>
      </c>
      <c r="B53" s="218">
        <v>46185</v>
      </c>
      <c r="C53" s="218">
        <v>46185</v>
      </c>
      <c r="D53" s="219" t="s">
        <v>282</v>
      </c>
      <c r="E53" s="219" t="s">
        <v>85</v>
      </c>
      <c r="F53" s="219" t="s">
        <v>514</v>
      </c>
      <c r="G53" s="219" t="s">
        <v>21</v>
      </c>
      <c r="H53" s="219" t="s">
        <v>67</v>
      </c>
      <c r="I53" s="219" t="s">
        <v>68</v>
      </c>
      <c r="J53" s="219" t="s">
        <v>216</v>
      </c>
      <c r="K53" s="219" t="s">
        <v>17</v>
      </c>
      <c r="L53" s="189" t="s">
        <v>643</v>
      </c>
      <c r="M53" s="189">
        <v>30080</v>
      </c>
      <c r="N53" s="189">
        <v>20810</v>
      </c>
      <c r="O53" s="189"/>
      <c r="P53" s="189">
        <f t="shared" si="3"/>
        <v>9270</v>
      </c>
      <c r="Q53" s="220" t="s">
        <v>573</v>
      </c>
    </row>
    <row r="54" spans="1:17" x14ac:dyDescent="0.25">
      <c r="A54" s="417">
        <f t="shared" si="0"/>
        <v>51</v>
      </c>
      <c r="B54" s="355">
        <v>46185</v>
      </c>
      <c r="C54" s="355">
        <v>46185</v>
      </c>
      <c r="D54" s="356" t="s">
        <v>282</v>
      </c>
      <c r="E54" s="356" t="s">
        <v>85</v>
      </c>
      <c r="F54" s="356" t="s">
        <v>514</v>
      </c>
      <c r="G54" s="356" t="s">
        <v>21</v>
      </c>
      <c r="H54" s="356" t="s">
        <v>14</v>
      </c>
      <c r="I54" s="356" t="s">
        <v>22</v>
      </c>
      <c r="J54" s="356" t="s">
        <v>41</v>
      </c>
      <c r="K54" s="356" t="s">
        <v>24</v>
      </c>
      <c r="L54" s="425" t="s">
        <v>643</v>
      </c>
      <c r="M54" s="425">
        <v>26570</v>
      </c>
      <c r="N54" s="425">
        <v>21110</v>
      </c>
      <c r="O54" s="425"/>
      <c r="P54" s="425">
        <f t="shared" si="3"/>
        <v>5460</v>
      </c>
      <c r="Q54" s="397" t="s">
        <v>574</v>
      </c>
    </row>
    <row r="55" spans="1:17" x14ac:dyDescent="0.25">
      <c r="A55" s="443">
        <f t="shared" si="0"/>
        <v>52</v>
      </c>
      <c r="B55" s="247">
        <v>46188</v>
      </c>
      <c r="C55" s="247">
        <v>46188</v>
      </c>
      <c r="D55" s="248" t="s">
        <v>630</v>
      </c>
      <c r="E55" s="229" t="s">
        <v>34</v>
      </c>
      <c r="F55" s="516" t="s">
        <v>576</v>
      </c>
      <c r="G55" s="229" t="s">
        <v>575</v>
      </c>
      <c r="H55" s="229" t="s">
        <v>632</v>
      </c>
      <c r="I55" s="229" t="s">
        <v>634</v>
      </c>
      <c r="J55" s="229"/>
      <c r="K55" s="229"/>
      <c r="L55" s="440" t="s">
        <v>580</v>
      </c>
      <c r="M55" s="439">
        <v>40240</v>
      </c>
      <c r="N55" s="439">
        <v>17600</v>
      </c>
      <c r="O55" s="439"/>
      <c r="P55" s="439">
        <f t="shared" si="3"/>
        <v>22640</v>
      </c>
      <c r="Q55" s="444" t="s">
        <v>577</v>
      </c>
    </row>
    <row r="56" spans="1:17" x14ac:dyDescent="0.25">
      <c r="A56" s="445">
        <f t="shared" si="0"/>
        <v>53</v>
      </c>
      <c r="B56" s="228">
        <v>46188</v>
      </c>
      <c r="C56" s="228">
        <v>46188</v>
      </c>
      <c r="D56" s="229" t="s">
        <v>282</v>
      </c>
      <c r="E56" s="219" t="s">
        <v>85</v>
      </c>
      <c r="F56" s="219" t="s">
        <v>514</v>
      </c>
      <c r="G56" s="219" t="s">
        <v>21</v>
      </c>
      <c r="H56" s="219" t="s">
        <v>67</v>
      </c>
      <c r="I56" s="219" t="s">
        <v>68</v>
      </c>
      <c r="J56" s="219" t="s">
        <v>216</v>
      </c>
      <c r="K56" s="219" t="s">
        <v>17</v>
      </c>
      <c r="L56" s="189" t="s">
        <v>643</v>
      </c>
      <c r="M56" s="189">
        <v>29920</v>
      </c>
      <c r="N56" s="189">
        <v>20140</v>
      </c>
      <c r="O56" s="189"/>
      <c r="P56" s="189">
        <f t="shared" si="3"/>
        <v>9780</v>
      </c>
      <c r="Q56" s="220" t="s">
        <v>578</v>
      </c>
    </row>
    <row r="57" spans="1:17" x14ac:dyDescent="0.25">
      <c r="A57" s="417">
        <f t="shared" si="0"/>
        <v>54</v>
      </c>
      <c r="B57" s="222">
        <v>46188</v>
      </c>
      <c r="C57" s="222">
        <v>46188</v>
      </c>
      <c r="D57" s="223" t="s">
        <v>282</v>
      </c>
      <c r="E57" s="356" t="s">
        <v>85</v>
      </c>
      <c r="F57" s="356" t="s">
        <v>514</v>
      </c>
      <c r="G57" s="356" t="s">
        <v>21</v>
      </c>
      <c r="H57" s="356" t="s">
        <v>14</v>
      </c>
      <c r="I57" s="356" t="s">
        <v>22</v>
      </c>
      <c r="J57" s="356" t="s">
        <v>41</v>
      </c>
      <c r="K57" s="356" t="s">
        <v>24</v>
      </c>
      <c r="L57" s="438" t="s">
        <v>643</v>
      </c>
      <c r="M57" s="438">
        <v>26020</v>
      </c>
      <c r="N57" s="438">
        <v>21150</v>
      </c>
      <c r="O57" s="438"/>
      <c r="P57" s="438">
        <f t="shared" si="3"/>
        <v>4870</v>
      </c>
      <c r="Q57" s="397" t="s">
        <v>579</v>
      </c>
    </row>
    <row r="58" spans="1:17" ht="27" x14ac:dyDescent="0.25">
      <c r="A58" s="416">
        <f t="shared" si="0"/>
        <v>55</v>
      </c>
      <c r="B58" s="218">
        <v>46189</v>
      </c>
      <c r="C58" s="218">
        <v>46189</v>
      </c>
      <c r="D58" s="219" t="s">
        <v>282</v>
      </c>
      <c r="E58" s="219" t="s">
        <v>85</v>
      </c>
      <c r="F58" s="219" t="s">
        <v>514</v>
      </c>
      <c r="G58" s="219" t="s">
        <v>21</v>
      </c>
      <c r="H58" s="219" t="s">
        <v>67</v>
      </c>
      <c r="I58" s="219" t="s">
        <v>68</v>
      </c>
      <c r="J58" s="219" t="s">
        <v>216</v>
      </c>
      <c r="K58" s="219" t="s">
        <v>17</v>
      </c>
      <c r="L58" s="189" t="s">
        <v>643</v>
      </c>
      <c r="M58" s="189">
        <v>29840</v>
      </c>
      <c r="N58" s="189">
        <v>20830</v>
      </c>
      <c r="O58" s="189"/>
      <c r="P58" s="189">
        <f t="shared" si="3"/>
        <v>9010</v>
      </c>
      <c r="Q58" s="464" t="s">
        <v>611</v>
      </c>
    </row>
    <row r="59" spans="1:17" ht="27" x14ac:dyDescent="0.25">
      <c r="A59" s="462">
        <f t="shared" si="0"/>
        <v>56</v>
      </c>
      <c r="B59" s="214">
        <v>46189</v>
      </c>
      <c r="C59" s="214">
        <v>46189</v>
      </c>
      <c r="D59" s="215" t="s">
        <v>282</v>
      </c>
      <c r="E59" s="215" t="s">
        <v>85</v>
      </c>
      <c r="F59" s="215" t="s">
        <v>514</v>
      </c>
      <c r="G59" s="215" t="s">
        <v>21</v>
      </c>
      <c r="H59" s="215" t="s">
        <v>14</v>
      </c>
      <c r="I59" s="215" t="s">
        <v>22</v>
      </c>
      <c r="J59" s="215" t="s">
        <v>41</v>
      </c>
      <c r="K59" s="215" t="s">
        <v>24</v>
      </c>
      <c r="L59" s="134" t="s">
        <v>643</v>
      </c>
      <c r="M59" s="137">
        <v>26890</v>
      </c>
      <c r="N59" s="137">
        <v>21030</v>
      </c>
      <c r="O59" s="137"/>
      <c r="P59" s="137">
        <f t="shared" si="3"/>
        <v>5860</v>
      </c>
      <c r="Q59" s="465" t="s">
        <v>612</v>
      </c>
    </row>
    <row r="60" spans="1:17" ht="27" x14ac:dyDescent="0.25">
      <c r="A60" s="416">
        <f t="shared" si="0"/>
        <v>57</v>
      </c>
      <c r="B60" s="218">
        <v>46191</v>
      </c>
      <c r="C60" s="218">
        <v>46191</v>
      </c>
      <c r="D60" s="219" t="s">
        <v>282</v>
      </c>
      <c r="E60" s="219" t="s">
        <v>85</v>
      </c>
      <c r="F60" s="219" t="s">
        <v>514</v>
      </c>
      <c r="G60" s="219" t="s">
        <v>21</v>
      </c>
      <c r="H60" s="219" t="s">
        <v>67</v>
      </c>
      <c r="I60" s="219" t="s">
        <v>68</v>
      </c>
      <c r="J60" s="219" t="s">
        <v>216</v>
      </c>
      <c r="K60" s="219" t="s">
        <v>17</v>
      </c>
      <c r="L60" s="189" t="s">
        <v>643</v>
      </c>
      <c r="M60" s="463">
        <v>30070</v>
      </c>
      <c r="N60" s="463">
        <v>20150</v>
      </c>
      <c r="O60" s="463"/>
      <c r="P60" s="463">
        <f t="shared" si="3"/>
        <v>9920</v>
      </c>
      <c r="Q60" s="495" t="s">
        <v>613</v>
      </c>
    </row>
    <row r="61" spans="1:17" ht="27" x14ac:dyDescent="0.25">
      <c r="A61" s="417">
        <f t="shared" si="0"/>
        <v>58</v>
      </c>
      <c r="B61" s="222">
        <v>46191</v>
      </c>
      <c r="C61" s="222">
        <v>46191</v>
      </c>
      <c r="D61" s="215" t="s">
        <v>282</v>
      </c>
      <c r="E61" s="215" t="s">
        <v>85</v>
      </c>
      <c r="F61" s="215" t="s">
        <v>514</v>
      </c>
      <c r="G61" s="215" t="s">
        <v>21</v>
      </c>
      <c r="H61" s="215" t="s">
        <v>14</v>
      </c>
      <c r="I61" s="215" t="s">
        <v>22</v>
      </c>
      <c r="J61" s="215" t="s">
        <v>41</v>
      </c>
      <c r="K61" s="215" t="s">
        <v>24</v>
      </c>
      <c r="L61" s="134" t="s">
        <v>643</v>
      </c>
      <c r="M61" s="463">
        <v>25570</v>
      </c>
      <c r="N61" s="463">
        <v>21360</v>
      </c>
      <c r="O61" s="463"/>
      <c r="P61" s="463">
        <f t="shared" si="3"/>
        <v>4210</v>
      </c>
      <c r="Q61" s="358" t="s">
        <v>614</v>
      </c>
    </row>
    <row r="62" spans="1:17" x14ac:dyDescent="0.25">
      <c r="A62" s="445">
        <f t="shared" si="0"/>
        <v>59</v>
      </c>
      <c r="B62" s="228">
        <v>46192</v>
      </c>
      <c r="C62" s="228">
        <v>46192</v>
      </c>
      <c r="D62" s="219" t="s">
        <v>282</v>
      </c>
      <c r="E62" s="219" t="s">
        <v>622</v>
      </c>
      <c r="F62" s="219" t="s">
        <v>514</v>
      </c>
      <c r="G62" s="219" t="s">
        <v>21</v>
      </c>
      <c r="H62" s="219" t="s">
        <v>67</v>
      </c>
      <c r="I62" s="219" t="s">
        <v>68</v>
      </c>
      <c r="J62" s="219" t="s">
        <v>216</v>
      </c>
      <c r="K62" s="219" t="s">
        <v>17</v>
      </c>
      <c r="L62" s="189" t="s">
        <v>643</v>
      </c>
      <c r="M62" s="494">
        <v>31460</v>
      </c>
      <c r="N62" s="494">
        <v>20820</v>
      </c>
      <c r="O62" s="494"/>
      <c r="P62" s="494">
        <f t="shared" si="3"/>
        <v>10640</v>
      </c>
      <c r="Q62" s="495" t="s">
        <v>628</v>
      </c>
    </row>
    <row r="63" spans="1:17" x14ac:dyDescent="0.25">
      <c r="A63" s="417">
        <f t="shared" si="0"/>
        <v>60</v>
      </c>
      <c r="B63" s="222">
        <v>46192</v>
      </c>
      <c r="C63" s="222">
        <v>46192</v>
      </c>
      <c r="D63" s="223" t="s">
        <v>282</v>
      </c>
      <c r="E63" s="223" t="s">
        <v>622</v>
      </c>
      <c r="F63" s="223" t="s">
        <v>514</v>
      </c>
      <c r="G63" s="223" t="s">
        <v>21</v>
      </c>
      <c r="H63" s="223" t="s">
        <v>14</v>
      </c>
      <c r="I63" s="223" t="s">
        <v>22</v>
      </c>
      <c r="J63" s="223" t="s">
        <v>41</v>
      </c>
      <c r="K63" s="223" t="s">
        <v>24</v>
      </c>
      <c r="L63" s="137" t="s">
        <v>643</v>
      </c>
      <c r="M63" s="137">
        <v>27090</v>
      </c>
      <c r="N63" s="137">
        <v>21000</v>
      </c>
      <c r="O63" s="137"/>
      <c r="P63" s="137">
        <f t="shared" si="3"/>
        <v>6090</v>
      </c>
      <c r="Q63" s="465" t="s">
        <v>629</v>
      </c>
    </row>
    <row r="64" spans="1:17" x14ac:dyDescent="0.25">
      <c r="A64" s="445">
        <f t="shared" si="0"/>
        <v>61</v>
      </c>
      <c r="B64" s="228">
        <v>46197</v>
      </c>
      <c r="C64" s="228">
        <v>46197</v>
      </c>
      <c r="D64" s="229" t="s">
        <v>630</v>
      </c>
      <c r="E64" s="229" t="s">
        <v>631</v>
      </c>
      <c r="F64" s="229" t="s">
        <v>576</v>
      </c>
      <c r="G64" s="229" t="s">
        <v>575</v>
      </c>
      <c r="H64" s="229" t="s">
        <v>632</v>
      </c>
      <c r="I64" s="229" t="s">
        <v>633</v>
      </c>
      <c r="J64" s="229"/>
      <c r="K64" s="229"/>
      <c r="L64" s="527" t="s">
        <v>580</v>
      </c>
      <c r="M64" s="527">
        <v>36660</v>
      </c>
      <c r="N64" s="527">
        <v>17220</v>
      </c>
      <c r="O64" s="527"/>
      <c r="P64" s="527">
        <f t="shared" si="3"/>
        <v>19440</v>
      </c>
      <c r="Q64" s="495" t="s">
        <v>577</v>
      </c>
    </row>
    <row r="65" spans="1:17" x14ac:dyDescent="0.25">
      <c r="A65" s="462">
        <f t="shared" si="0"/>
        <v>62</v>
      </c>
      <c r="B65" s="228">
        <v>46197</v>
      </c>
      <c r="C65" s="228">
        <v>46197</v>
      </c>
      <c r="D65" s="229" t="s">
        <v>630</v>
      </c>
      <c r="E65" s="229" t="s">
        <v>631</v>
      </c>
      <c r="F65" s="229" t="s">
        <v>576</v>
      </c>
      <c r="G65" s="229" t="s">
        <v>575</v>
      </c>
      <c r="H65" s="229" t="s">
        <v>67</v>
      </c>
      <c r="I65" s="229" t="s">
        <v>633</v>
      </c>
      <c r="J65" s="229"/>
      <c r="K65" s="229"/>
      <c r="L65" s="527" t="s">
        <v>580</v>
      </c>
      <c r="M65" s="527">
        <v>31620</v>
      </c>
      <c r="N65" s="527">
        <v>17140</v>
      </c>
      <c r="O65" s="527"/>
      <c r="P65" s="527">
        <f t="shared" si="3"/>
        <v>14480</v>
      </c>
      <c r="Q65" s="495" t="s">
        <v>577</v>
      </c>
    </row>
    <row r="66" spans="1:17" x14ac:dyDescent="0.25">
      <c r="A66" s="445">
        <f t="shared" si="0"/>
        <v>63</v>
      </c>
      <c r="B66" s="228">
        <v>46202</v>
      </c>
      <c r="C66" s="228">
        <v>46202</v>
      </c>
      <c r="D66" s="229" t="s">
        <v>282</v>
      </c>
      <c r="E66" s="229" t="s">
        <v>622</v>
      </c>
      <c r="F66" s="229" t="s">
        <v>217</v>
      </c>
      <c r="G66" s="229" t="s">
        <v>246</v>
      </c>
      <c r="H66" s="229" t="s">
        <v>224</v>
      </c>
      <c r="I66" s="229" t="s">
        <v>515</v>
      </c>
      <c r="J66" s="229"/>
      <c r="K66" s="229"/>
      <c r="L66" s="528" t="s">
        <v>641</v>
      </c>
      <c r="M66" s="528">
        <v>26280</v>
      </c>
      <c r="N66" s="528">
        <v>21160</v>
      </c>
      <c r="O66" s="528"/>
      <c r="P66" s="528">
        <f>M66-N66</f>
        <v>5120</v>
      </c>
      <c r="Q66" s="495" t="s">
        <v>642</v>
      </c>
    </row>
    <row r="67" spans="1:17" x14ac:dyDescent="0.25">
      <c r="A67" s="462">
        <f t="shared" si="0"/>
        <v>64</v>
      </c>
      <c r="B67" s="228"/>
      <c r="C67" s="228"/>
      <c r="D67" s="229"/>
      <c r="E67" s="229"/>
      <c r="F67" s="229"/>
      <c r="G67" s="229"/>
      <c r="H67" s="229"/>
      <c r="I67" s="229"/>
      <c r="J67" s="229"/>
      <c r="K67" s="229"/>
      <c r="L67" s="504"/>
      <c r="M67" s="504"/>
      <c r="N67" s="504"/>
      <c r="O67" s="504"/>
      <c r="P67" s="504"/>
      <c r="Q67" s="495"/>
    </row>
    <row r="68" spans="1:17" x14ac:dyDescent="0.25">
      <c r="A68" s="130">
        <f t="shared" si="0"/>
        <v>65</v>
      </c>
      <c r="B68" s="143"/>
      <c r="C68" s="143"/>
      <c r="D68" s="131"/>
      <c r="E68" s="131"/>
      <c r="F68" s="131"/>
      <c r="G68" s="131"/>
      <c r="H68" s="131"/>
      <c r="I68" s="131"/>
      <c r="J68" s="131"/>
      <c r="K68" s="131"/>
      <c r="L68" s="440"/>
      <c r="M68" s="426"/>
      <c r="N68" s="426"/>
      <c r="O68" s="426"/>
      <c r="P68" s="426"/>
      <c r="Q68" s="132"/>
    </row>
    <row r="69" spans="1:17" x14ac:dyDescent="0.25">
      <c r="A69" s="135">
        <f t="shared" si="0"/>
        <v>66</v>
      </c>
      <c r="B69" s="144"/>
      <c r="C69" s="144"/>
      <c r="D69" s="136"/>
      <c r="E69" s="136"/>
      <c r="F69" s="136"/>
      <c r="G69" s="136"/>
      <c r="H69" s="136"/>
      <c r="I69" s="136"/>
      <c r="J69" s="136"/>
      <c r="K69" s="136"/>
      <c r="L69" s="137"/>
      <c r="M69" s="137"/>
      <c r="N69" s="137"/>
      <c r="O69" s="137"/>
      <c r="P69" s="137"/>
      <c r="Q69" s="138"/>
    </row>
    <row r="72" spans="1:17" ht="15" x14ac:dyDescent="0.25">
      <c r="E72"/>
      <c r="F72"/>
    </row>
  </sheetData>
  <autoFilter ref="A3:Q69" xr:uid="{8BA7C672-93D6-44D1-82BE-D11DF40C3375}"/>
  <mergeCells count="1">
    <mergeCell ref="A1:Q1"/>
  </mergeCells>
  <phoneticPr fontId="5" type="noConversion"/>
  <printOptions horizontalCentered="1"/>
  <pageMargins left="0.31496062992125984" right="0.31496062992125984" top="0.74803149606299213" bottom="0.74803149606299213" header="0.31496062992125984" footer="0.31496062992125984"/>
  <pageSetup paperSize="8" scale="7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732CA-B3C5-4332-9120-9E0CE23E5A7D}">
  <sheetPr>
    <tabColor rgb="FFFF0000"/>
  </sheetPr>
  <dimension ref="A1:T228"/>
  <sheetViews>
    <sheetView zoomScaleNormal="100" workbookViewId="0">
      <pane ySplit="3" topLeftCell="A204" activePane="bottomLeft" state="frozen"/>
      <selection activeCell="F27" sqref="F27"/>
      <selection pane="bottomLeft" activeCell="G23" sqref="G23"/>
    </sheetView>
  </sheetViews>
  <sheetFormatPr defaultColWidth="9.140625" defaultRowHeight="16.5" customHeight="1" x14ac:dyDescent="0.25"/>
  <cols>
    <col min="1" max="1" width="6.42578125" style="27" customWidth="1"/>
    <col min="2" max="2" width="6.42578125" style="19" customWidth="1"/>
    <col min="3" max="3" width="12.7109375" style="37" customWidth="1"/>
    <col min="4" max="4" width="23.7109375" style="27" customWidth="1"/>
    <col min="5" max="9" width="16.7109375" style="27" customWidth="1"/>
    <col min="10" max="10" width="17.140625" style="27" bestFit="1" customWidth="1"/>
    <col min="11" max="13" width="16.7109375" style="38" customWidth="1"/>
    <col min="14" max="14" width="16.140625" style="38" customWidth="1"/>
    <col min="15" max="15" width="29.85546875" style="156" customWidth="1"/>
    <col min="16" max="16" width="11.140625" style="27" bestFit="1" customWidth="1"/>
    <col min="17" max="16384" width="9.140625" style="27"/>
  </cols>
  <sheetData>
    <row r="1" spans="1:20" s="2" customFormat="1" ht="36.75" customHeight="1" x14ac:dyDescent="0.5">
      <c r="A1" s="563" t="s">
        <v>200</v>
      </c>
      <c r="B1" s="563"/>
      <c r="C1" s="563"/>
      <c r="D1" s="563"/>
      <c r="E1" s="563"/>
      <c r="F1" s="563"/>
      <c r="G1" s="563"/>
      <c r="H1" s="563"/>
      <c r="I1" s="563"/>
      <c r="J1" s="563"/>
      <c r="K1" s="564"/>
      <c r="L1" s="564"/>
      <c r="M1" s="564"/>
      <c r="N1" s="564"/>
      <c r="O1" s="563"/>
      <c r="P1" s="1"/>
      <c r="Q1" s="1"/>
      <c r="R1" s="1"/>
      <c r="S1" s="1"/>
      <c r="T1" s="1"/>
    </row>
    <row r="2" spans="1:20" s="3" customFormat="1" ht="14.25" thickBot="1" x14ac:dyDescent="0.3">
      <c r="C2" s="4"/>
      <c r="K2" s="5"/>
      <c r="M2" s="5">
        <f>SUBTOTAL(9,M4:M275)</f>
        <v>12673</v>
      </c>
      <c r="N2" s="6">
        <f>SUBTOTAL(9,N4:N275)</f>
        <v>2261337</v>
      </c>
      <c r="O2" s="3" t="s">
        <v>237</v>
      </c>
    </row>
    <row r="3" spans="1:20" s="11" customFormat="1" ht="30.75" customHeight="1" thickBot="1" x14ac:dyDescent="0.35">
      <c r="A3" s="7" t="s">
        <v>199</v>
      </c>
      <c r="B3" s="8" t="s">
        <v>86</v>
      </c>
      <c r="C3" s="8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6</v>
      </c>
      <c r="J3" s="8" t="s">
        <v>7</v>
      </c>
      <c r="K3" s="9" t="s">
        <v>8</v>
      </c>
      <c r="L3" s="9" t="s">
        <v>9</v>
      </c>
      <c r="M3" s="9" t="s">
        <v>10</v>
      </c>
      <c r="N3" s="114" t="s">
        <v>11</v>
      </c>
      <c r="O3" s="10" t="s">
        <v>12</v>
      </c>
    </row>
    <row r="4" spans="1:20" ht="27.75" thickTop="1" x14ac:dyDescent="0.25">
      <c r="A4" s="197">
        <f t="shared" ref="A4:A228" si="0">ROW()-3</f>
        <v>1</v>
      </c>
      <c r="B4" s="200"/>
      <c r="C4" s="199">
        <v>46146</v>
      </c>
      <c r="D4" s="200" t="s">
        <v>34</v>
      </c>
      <c r="E4" s="200" t="s">
        <v>163</v>
      </c>
      <c r="F4" s="200" t="s">
        <v>14</v>
      </c>
      <c r="G4" s="200" t="s">
        <v>40</v>
      </c>
      <c r="H4" s="200" t="s">
        <v>41</v>
      </c>
      <c r="I4" s="200" t="s">
        <v>24</v>
      </c>
      <c r="J4" s="201" t="s">
        <v>274</v>
      </c>
      <c r="K4" s="152">
        <v>17920</v>
      </c>
      <c r="L4" s="152">
        <v>14120</v>
      </c>
      <c r="M4" s="152"/>
      <c r="N4" s="153">
        <v>3800</v>
      </c>
      <c r="O4" s="232" t="s">
        <v>268</v>
      </c>
    </row>
    <row r="5" spans="1:20" ht="16.5" customHeight="1" x14ac:dyDescent="0.25">
      <c r="A5" s="207">
        <f t="shared" si="0"/>
        <v>2</v>
      </c>
      <c r="B5" s="209"/>
      <c r="C5" s="208">
        <v>46146</v>
      </c>
      <c r="D5" s="209" t="s">
        <v>34</v>
      </c>
      <c r="E5" s="209" t="s">
        <v>25</v>
      </c>
      <c r="F5" s="209" t="s">
        <v>44</v>
      </c>
      <c r="G5" s="209" t="s">
        <v>264</v>
      </c>
      <c r="H5" s="209"/>
      <c r="I5" s="209"/>
      <c r="J5" s="210" t="s">
        <v>265</v>
      </c>
      <c r="K5" s="154">
        <v>16250</v>
      </c>
      <c r="L5" s="154">
        <v>15120</v>
      </c>
      <c r="M5" s="154"/>
      <c r="N5" s="155">
        <v>1130</v>
      </c>
      <c r="O5" s="211" t="s">
        <v>266</v>
      </c>
    </row>
    <row r="6" spans="1:20" ht="16.5" customHeight="1" x14ac:dyDescent="0.25">
      <c r="A6" s="207">
        <f t="shared" si="0"/>
        <v>3</v>
      </c>
      <c r="B6" s="209"/>
      <c r="C6" s="208">
        <v>46146</v>
      </c>
      <c r="D6" s="209" t="s">
        <v>34</v>
      </c>
      <c r="E6" s="209" t="s">
        <v>25</v>
      </c>
      <c r="F6" s="209" t="s">
        <v>44</v>
      </c>
      <c r="G6" s="209" t="s">
        <v>264</v>
      </c>
      <c r="H6" s="209"/>
      <c r="I6" s="209"/>
      <c r="J6" s="210" t="s">
        <v>31</v>
      </c>
      <c r="K6" s="154">
        <v>12340</v>
      </c>
      <c r="L6" s="154">
        <v>11610</v>
      </c>
      <c r="M6" s="154">
        <v>500</v>
      </c>
      <c r="N6" s="155">
        <v>230</v>
      </c>
      <c r="O6" s="211" t="s">
        <v>267</v>
      </c>
    </row>
    <row r="7" spans="1:20" ht="16.5" customHeight="1" x14ac:dyDescent="0.25">
      <c r="A7" s="202">
        <f t="shared" si="0"/>
        <v>4</v>
      </c>
      <c r="B7" s="205"/>
      <c r="C7" s="204">
        <v>46146</v>
      </c>
      <c r="D7" s="205" t="s">
        <v>34</v>
      </c>
      <c r="E7" s="205" t="s">
        <v>25</v>
      </c>
      <c r="F7" s="205" t="s">
        <v>44</v>
      </c>
      <c r="G7" s="205" t="s">
        <v>264</v>
      </c>
      <c r="H7" s="205"/>
      <c r="I7" s="205"/>
      <c r="J7" s="206" t="s">
        <v>57</v>
      </c>
      <c r="K7" s="157">
        <v>15130</v>
      </c>
      <c r="L7" s="157">
        <v>8720</v>
      </c>
      <c r="M7" s="157">
        <v>500</v>
      </c>
      <c r="N7" s="162">
        <v>5680</v>
      </c>
      <c r="O7" s="212" t="s">
        <v>271</v>
      </c>
    </row>
    <row r="8" spans="1:20" ht="16.5" customHeight="1" x14ac:dyDescent="0.25">
      <c r="A8" s="237">
        <f t="shared" si="0"/>
        <v>5</v>
      </c>
      <c r="B8" s="239"/>
      <c r="C8" s="238">
        <v>46147</v>
      </c>
      <c r="D8" s="239" t="s">
        <v>34</v>
      </c>
      <c r="E8" s="239" t="s">
        <v>13</v>
      </c>
      <c r="F8" s="239" t="s">
        <v>14</v>
      </c>
      <c r="G8" s="239" t="s">
        <v>40</v>
      </c>
      <c r="H8" s="239" t="s">
        <v>41</v>
      </c>
      <c r="I8" s="239" t="s">
        <v>24</v>
      </c>
      <c r="J8" s="240" t="s">
        <v>37</v>
      </c>
      <c r="K8" s="241">
        <v>17620</v>
      </c>
      <c r="L8" s="241">
        <v>14220</v>
      </c>
      <c r="M8" s="241"/>
      <c r="N8" s="242">
        <v>3400</v>
      </c>
      <c r="O8" s="243" t="s">
        <v>273</v>
      </c>
    </row>
    <row r="9" spans="1:20" ht="16.5" customHeight="1" x14ac:dyDescent="0.25">
      <c r="A9" s="250">
        <f t="shared" si="0"/>
        <v>6</v>
      </c>
      <c r="B9" s="252"/>
      <c r="C9" s="251">
        <v>46148</v>
      </c>
      <c r="D9" s="252" t="s">
        <v>34</v>
      </c>
      <c r="E9" s="252" t="s">
        <v>25</v>
      </c>
      <c r="F9" s="252" t="s">
        <v>44</v>
      </c>
      <c r="G9" s="252" t="s">
        <v>275</v>
      </c>
      <c r="H9" s="252"/>
      <c r="I9" s="252"/>
      <c r="J9" s="253" t="s">
        <v>78</v>
      </c>
      <c r="K9" s="254">
        <v>36330</v>
      </c>
      <c r="L9" s="254">
        <v>15890</v>
      </c>
      <c r="M9" s="254"/>
      <c r="N9" s="255">
        <v>20440</v>
      </c>
      <c r="O9" s="256" t="s">
        <v>276</v>
      </c>
    </row>
    <row r="10" spans="1:20" ht="16.5" customHeight="1" x14ac:dyDescent="0.25">
      <c r="A10" s="207">
        <f t="shared" si="0"/>
        <v>7</v>
      </c>
      <c r="B10" s="209"/>
      <c r="C10" s="208">
        <v>46148</v>
      </c>
      <c r="D10" s="209" t="s">
        <v>34</v>
      </c>
      <c r="E10" s="209" t="s">
        <v>25</v>
      </c>
      <c r="F10" s="209" t="s">
        <v>44</v>
      </c>
      <c r="G10" s="209" t="s">
        <v>277</v>
      </c>
      <c r="H10" s="209"/>
      <c r="I10" s="209"/>
      <c r="J10" s="210" t="s">
        <v>78</v>
      </c>
      <c r="K10" s="154">
        <v>26120</v>
      </c>
      <c r="L10" s="154">
        <v>15780</v>
      </c>
      <c r="M10" s="154"/>
      <c r="N10" s="155">
        <v>10340</v>
      </c>
      <c r="O10" s="211" t="s">
        <v>278</v>
      </c>
    </row>
    <row r="11" spans="1:20" ht="40.5" x14ac:dyDescent="0.25">
      <c r="A11" s="202">
        <f t="shared" si="0"/>
        <v>8</v>
      </c>
      <c r="B11" s="205"/>
      <c r="C11" s="204">
        <v>46148</v>
      </c>
      <c r="D11" s="205" t="s">
        <v>34</v>
      </c>
      <c r="E11" s="205" t="s">
        <v>25</v>
      </c>
      <c r="F11" s="205" t="s">
        <v>14</v>
      </c>
      <c r="G11" s="205" t="s">
        <v>15</v>
      </c>
      <c r="H11" s="205" t="s">
        <v>41</v>
      </c>
      <c r="I11" s="205" t="s">
        <v>24</v>
      </c>
      <c r="J11" s="206" t="s">
        <v>30</v>
      </c>
      <c r="K11" s="157">
        <v>17640</v>
      </c>
      <c r="L11" s="157">
        <v>13470</v>
      </c>
      <c r="M11" s="157"/>
      <c r="N11" s="162">
        <v>4170</v>
      </c>
      <c r="O11" s="257" t="s">
        <v>292</v>
      </c>
    </row>
    <row r="12" spans="1:20" ht="16.5" customHeight="1" x14ac:dyDescent="0.25">
      <c r="A12" s="250">
        <f t="shared" si="0"/>
        <v>9</v>
      </c>
      <c r="B12" s="252"/>
      <c r="C12" s="251">
        <v>46149</v>
      </c>
      <c r="D12" s="252" t="s">
        <v>34</v>
      </c>
      <c r="E12" s="252" t="s">
        <v>25</v>
      </c>
      <c r="F12" s="252" t="s">
        <v>44</v>
      </c>
      <c r="G12" s="252" t="s">
        <v>72</v>
      </c>
      <c r="H12" s="252" t="s">
        <v>73</v>
      </c>
      <c r="I12" s="252" t="s">
        <v>74</v>
      </c>
      <c r="J12" s="253" t="s">
        <v>57</v>
      </c>
      <c r="K12" s="254">
        <v>19470</v>
      </c>
      <c r="L12" s="254">
        <v>9240</v>
      </c>
      <c r="M12" s="254">
        <v>1000</v>
      </c>
      <c r="N12" s="255">
        <v>7400</v>
      </c>
      <c r="O12" s="256" t="s">
        <v>285</v>
      </c>
    </row>
    <row r="13" spans="1:20" ht="16.5" customHeight="1" x14ac:dyDescent="0.25">
      <c r="A13" s="202">
        <f t="shared" si="0"/>
        <v>10</v>
      </c>
      <c r="B13" s="205"/>
      <c r="C13" s="204">
        <v>46149</v>
      </c>
      <c r="D13" s="205" t="s">
        <v>34</v>
      </c>
      <c r="E13" s="205" t="s">
        <v>25</v>
      </c>
      <c r="F13" s="205" t="s">
        <v>44</v>
      </c>
      <c r="G13" s="205" t="s">
        <v>72</v>
      </c>
      <c r="H13" s="205" t="s">
        <v>73</v>
      </c>
      <c r="I13" s="205" t="s">
        <v>74</v>
      </c>
      <c r="J13" s="206" t="s">
        <v>32</v>
      </c>
      <c r="K13" s="157">
        <v>13890</v>
      </c>
      <c r="L13" s="157">
        <v>11560</v>
      </c>
      <c r="M13" s="157">
        <v>500</v>
      </c>
      <c r="N13" s="162">
        <v>1830</v>
      </c>
      <c r="O13" s="212" t="s">
        <v>84</v>
      </c>
    </row>
    <row r="14" spans="1:20" ht="16.5" customHeight="1" x14ac:dyDescent="0.25">
      <c r="A14" s="197">
        <f t="shared" si="0"/>
        <v>11</v>
      </c>
      <c r="B14" s="200"/>
      <c r="C14" s="199">
        <v>46150</v>
      </c>
      <c r="D14" s="200" t="s">
        <v>198</v>
      </c>
      <c r="E14" s="200" t="s">
        <v>25</v>
      </c>
      <c r="F14" s="200" t="s">
        <v>44</v>
      </c>
      <c r="G14" s="200" t="s">
        <v>110</v>
      </c>
      <c r="H14" s="200" t="s">
        <v>297</v>
      </c>
      <c r="I14" s="200" t="s">
        <v>298</v>
      </c>
      <c r="J14" s="201" t="s">
        <v>53</v>
      </c>
      <c r="K14" s="152">
        <v>15340</v>
      </c>
      <c r="L14" s="152">
        <v>8880</v>
      </c>
      <c r="M14" s="152"/>
      <c r="N14" s="153">
        <v>6460</v>
      </c>
      <c r="O14" s="283" t="s">
        <v>308</v>
      </c>
    </row>
    <row r="15" spans="1:20" ht="16.5" customHeight="1" x14ac:dyDescent="0.25">
      <c r="A15" s="207">
        <f t="shared" si="0"/>
        <v>12</v>
      </c>
      <c r="B15" s="209"/>
      <c r="C15" s="208">
        <v>46150</v>
      </c>
      <c r="D15" s="209" t="s">
        <v>198</v>
      </c>
      <c r="E15" s="209" t="s">
        <v>25</v>
      </c>
      <c r="F15" s="209" t="s">
        <v>44</v>
      </c>
      <c r="G15" s="209" t="s">
        <v>299</v>
      </c>
      <c r="H15" s="209" t="s">
        <v>300</v>
      </c>
      <c r="I15" s="209" t="s">
        <v>301</v>
      </c>
      <c r="J15" s="210" t="s">
        <v>53</v>
      </c>
      <c r="K15" s="154">
        <v>13640</v>
      </c>
      <c r="L15" s="154">
        <v>8440</v>
      </c>
      <c r="M15" s="154"/>
      <c r="N15" s="155">
        <v>5200</v>
      </c>
      <c r="O15" s="284" t="s">
        <v>309</v>
      </c>
    </row>
    <row r="16" spans="1:20" ht="16.5" customHeight="1" x14ac:dyDescent="0.25">
      <c r="A16" s="207">
        <f t="shared" si="0"/>
        <v>13</v>
      </c>
      <c r="B16" s="209"/>
      <c r="C16" s="208">
        <v>46150</v>
      </c>
      <c r="D16" s="209" t="s">
        <v>198</v>
      </c>
      <c r="E16" s="209" t="s">
        <v>25</v>
      </c>
      <c r="F16" s="209" t="s">
        <v>44</v>
      </c>
      <c r="G16" s="209" t="s">
        <v>75</v>
      </c>
      <c r="H16" s="209" t="s">
        <v>76</v>
      </c>
      <c r="I16" s="209" t="s">
        <v>77</v>
      </c>
      <c r="J16" s="210" t="s">
        <v>53</v>
      </c>
      <c r="K16" s="154">
        <v>14310</v>
      </c>
      <c r="L16" s="154">
        <v>9360</v>
      </c>
      <c r="M16" s="154"/>
      <c r="N16" s="155">
        <v>4950</v>
      </c>
      <c r="O16" s="284" t="s">
        <v>309</v>
      </c>
    </row>
    <row r="17" spans="1:15" ht="16.5" customHeight="1" x14ac:dyDescent="0.25">
      <c r="A17" s="202">
        <f t="shared" si="0"/>
        <v>14</v>
      </c>
      <c r="B17" s="205"/>
      <c r="C17" s="204">
        <v>46150</v>
      </c>
      <c r="D17" s="205" t="s">
        <v>198</v>
      </c>
      <c r="E17" s="205" t="s">
        <v>25</v>
      </c>
      <c r="F17" s="205" t="s">
        <v>44</v>
      </c>
      <c r="G17" s="205" t="s">
        <v>302</v>
      </c>
      <c r="H17" s="205" t="s">
        <v>303</v>
      </c>
      <c r="I17" s="205" t="s">
        <v>304</v>
      </c>
      <c r="J17" s="206" t="s">
        <v>30</v>
      </c>
      <c r="K17" s="157">
        <v>10510</v>
      </c>
      <c r="L17" s="157">
        <v>8710</v>
      </c>
      <c r="M17" s="157"/>
      <c r="N17" s="162">
        <v>1800</v>
      </c>
      <c r="O17" s="285" t="s">
        <v>310</v>
      </c>
    </row>
    <row r="18" spans="1:15" ht="16.5" customHeight="1" x14ac:dyDescent="0.25">
      <c r="A18" s="197">
        <f t="shared" si="0"/>
        <v>15</v>
      </c>
      <c r="B18" s="200"/>
      <c r="C18" s="199">
        <v>46151</v>
      </c>
      <c r="D18" s="200" t="s">
        <v>34</v>
      </c>
      <c r="E18" s="200" t="s">
        <v>25</v>
      </c>
      <c r="F18" s="200" t="s">
        <v>44</v>
      </c>
      <c r="G18" s="200" t="s">
        <v>313</v>
      </c>
      <c r="H18" s="200"/>
      <c r="I18" s="200"/>
      <c r="J18" s="201" t="s">
        <v>54</v>
      </c>
      <c r="K18" s="152">
        <v>17840</v>
      </c>
      <c r="L18" s="152">
        <v>9870</v>
      </c>
      <c r="M18" s="152"/>
      <c r="N18" s="153">
        <v>7090</v>
      </c>
      <c r="O18" s="225"/>
    </row>
    <row r="19" spans="1:15" ht="16.5" customHeight="1" x14ac:dyDescent="0.25">
      <c r="A19" s="207">
        <f t="shared" si="0"/>
        <v>16</v>
      </c>
      <c r="B19" s="209"/>
      <c r="C19" s="208">
        <v>46151</v>
      </c>
      <c r="D19" s="209" t="s">
        <v>34</v>
      </c>
      <c r="E19" s="209" t="s">
        <v>25</v>
      </c>
      <c r="F19" s="209" t="s">
        <v>44</v>
      </c>
      <c r="G19" s="209" t="s">
        <v>313</v>
      </c>
      <c r="H19" s="209"/>
      <c r="I19" s="209"/>
      <c r="J19" s="210" t="s">
        <v>82</v>
      </c>
      <c r="K19" s="154">
        <v>11850</v>
      </c>
      <c r="L19" s="154">
        <v>11550</v>
      </c>
      <c r="M19" s="154"/>
      <c r="N19" s="155">
        <v>300</v>
      </c>
      <c r="O19" s="211" t="s">
        <v>84</v>
      </c>
    </row>
    <row r="20" spans="1:15" ht="16.5" customHeight="1" x14ac:dyDescent="0.25">
      <c r="A20" s="207">
        <f t="shared" si="0"/>
        <v>17</v>
      </c>
      <c r="B20" s="209"/>
      <c r="C20" s="208">
        <v>46151</v>
      </c>
      <c r="D20" s="209" t="s">
        <v>34</v>
      </c>
      <c r="E20" s="209" t="s">
        <v>25</v>
      </c>
      <c r="F20" s="209" t="s">
        <v>44</v>
      </c>
      <c r="G20" s="209" t="s">
        <v>313</v>
      </c>
      <c r="H20" s="209"/>
      <c r="I20" s="209"/>
      <c r="J20" s="210" t="s">
        <v>61</v>
      </c>
      <c r="K20" s="154">
        <v>11730</v>
      </c>
      <c r="L20" s="154">
        <v>11550</v>
      </c>
      <c r="M20" s="154"/>
      <c r="N20" s="155">
        <v>180</v>
      </c>
      <c r="O20" s="211" t="s">
        <v>84</v>
      </c>
    </row>
    <row r="21" spans="1:15" ht="16.5" customHeight="1" x14ac:dyDescent="0.25">
      <c r="A21" s="202">
        <f t="shared" si="0"/>
        <v>18</v>
      </c>
      <c r="B21" s="205"/>
      <c r="C21" s="204">
        <v>46151</v>
      </c>
      <c r="D21" s="205" t="s">
        <v>34</v>
      </c>
      <c r="E21" s="205" t="s">
        <v>25</v>
      </c>
      <c r="F21" s="205" t="s">
        <v>44</v>
      </c>
      <c r="G21" s="205" t="s">
        <v>313</v>
      </c>
      <c r="H21" s="205"/>
      <c r="I21" s="205"/>
      <c r="J21" s="206" t="s">
        <v>32</v>
      </c>
      <c r="K21" s="157">
        <v>11950</v>
      </c>
      <c r="L21" s="157">
        <v>11550</v>
      </c>
      <c r="M21" s="157"/>
      <c r="N21" s="162">
        <v>400</v>
      </c>
      <c r="O21" s="212" t="s">
        <v>84</v>
      </c>
    </row>
    <row r="22" spans="1:15" ht="16.5" customHeight="1" x14ac:dyDescent="0.25">
      <c r="A22" s="197">
        <f t="shared" si="0"/>
        <v>19</v>
      </c>
      <c r="B22" s="200"/>
      <c r="C22" s="199">
        <v>46154</v>
      </c>
      <c r="D22" s="200" t="s">
        <v>34</v>
      </c>
      <c r="E22" s="200" t="s">
        <v>25</v>
      </c>
      <c r="F22" s="200" t="s">
        <v>44</v>
      </c>
      <c r="G22" s="200" t="s">
        <v>64</v>
      </c>
      <c r="H22" s="200" t="s">
        <v>65</v>
      </c>
      <c r="I22" s="200" t="s">
        <v>66</v>
      </c>
      <c r="J22" s="201" t="s">
        <v>57</v>
      </c>
      <c r="K22" s="152">
        <v>15480</v>
      </c>
      <c r="L22" s="152">
        <v>9520</v>
      </c>
      <c r="M22" s="152">
        <v>1500</v>
      </c>
      <c r="N22" s="153">
        <v>2020</v>
      </c>
      <c r="O22" s="225" t="s">
        <v>320</v>
      </c>
    </row>
    <row r="23" spans="1:15" ht="16.5" customHeight="1" x14ac:dyDescent="0.25">
      <c r="A23" s="207">
        <f t="shared" si="0"/>
        <v>20</v>
      </c>
      <c r="B23" s="209"/>
      <c r="C23" s="208">
        <v>46154</v>
      </c>
      <c r="D23" s="209" t="s">
        <v>34</v>
      </c>
      <c r="E23" s="209" t="s">
        <v>25</v>
      </c>
      <c r="F23" s="209" t="s">
        <v>44</v>
      </c>
      <c r="G23" s="209" t="s">
        <v>64</v>
      </c>
      <c r="H23" s="209" t="s">
        <v>65</v>
      </c>
      <c r="I23" s="209" t="s">
        <v>66</v>
      </c>
      <c r="J23" s="210" t="s">
        <v>32</v>
      </c>
      <c r="K23" s="154">
        <v>11730</v>
      </c>
      <c r="L23" s="154">
        <v>11520</v>
      </c>
      <c r="M23" s="154"/>
      <c r="N23" s="155">
        <v>210</v>
      </c>
      <c r="O23" s="211" t="s">
        <v>84</v>
      </c>
    </row>
    <row r="24" spans="1:15" ht="16.5" customHeight="1" x14ac:dyDescent="0.25">
      <c r="A24" s="207">
        <f t="shared" si="0"/>
        <v>21</v>
      </c>
      <c r="B24" s="209"/>
      <c r="C24" s="208">
        <v>46154</v>
      </c>
      <c r="D24" s="209" t="s">
        <v>34</v>
      </c>
      <c r="E24" s="209" t="s">
        <v>25</v>
      </c>
      <c r="F24" s="209" t="s">
        <v>44</v>
      </c>
      <c r="G24" s="209" t="s">
        <v>64</v>
      </c>
      <c r="H24" s="209" t="s">
        <v>65</v>
      </c>
      <c r="I24" s="209" t="s">
        <v>66</v>
      </c>
      <c r="J24" s="210" t="s">
        <v>166</v>
      </c>
      <c r="K24" s="154">
        <v>13480</v>
      </c>
      <c r="L24" s="154">
        <v>11520</v>
      </c>
      <c r="M24" s="154">
        <v>500</v>
      </c>
      <c r="N24" s="155">
        <v>1460</v>
      </c>
      <c r="O24" s="211" t="s">
        <v>322</v>
      </c>
    </row>
    <row r="25" spans="1:15" ht="16.5" customHeight="1" x14ac:dyDescent="0.25">
      <c r="A25" s="202">
        <f t="shared" si="0"/>
        <v>22</v>
      </c>
      <c r="B25" s="205"/>
      <c r="C25" s="204">
        <v>46154</v>
      </c>
      <c r="D25" s="205" t="s">
        <v>34</v>
      </c>
      <c r="E25" s="205" t="s">
        <v>25</v>
      </c>
      <c r="F25" s="205" t="s">
        <v>44</v>
      </c>
      <c r="G25" s="205" t="s">
        <v>64</v>
      </c>
      <c r="H25" s="205" t="s">
        <v>65</v>
      </c>
      <c r="I25" s="205" t="s">
        <v>66</v>
      </c>
      <c r="J25" s="206" t="s">
        <v>166</v>
      </c>
      <c r="K25" s="157">
        <v>12790</v>
      </c>
      <c r="L25" s="157">
        <v>11520</v>
      </c>
      <c r="M25" s="157">
        <v>500</v>
      </c>
      <c r="N25" s="162">
        <v>770</v>
      </c>
      <c r="O25" s="212" t="s">
        <v>322</v>
      </c>
    </row>
    <row r="26" spans="1:15" ht="16.5" customHeight="1" x14ac:dyDescent="0.25">
      <c r="A26" s="197">
        <f t="shared" si="0"/>
        <v>23</v>
      </c>
      <c r="B26" s="200"/>
      <c r="C26" s="199">
        <v>46155</v>
      </c>
      <c r="D26" s="200" t="s">
        <v>34</v>
      </c>
      <c r="E26" s="200" t="s">
        <v>13</v>
      </c>
      <c r="F26" s="200" t="s">
        <v>18</v>
      </c>
      <c r="G26" s="200" t="s">
        <v>324</v>
      </c>
      <c r="H26" s="200"/>
      <c r="I26" s="200"/>
      <c r="J26" s="201" t="s">
        <v>71</v>
      </c>
      <c r="K26" s="152">
        <v>42920</v>
      </c>
      <c r="L26" s="152">
        <v>18700</v>
      </c>
      <c r="M26" s="152"/>
      <c r="N26" s="153">
        <v>24220</v>
      </c>
      <c r="O26" s="225"/>
    </row>
    <row r="27" spans="1:15" ht="16.5" customHeight="1" x14ac:dyDescent="0.25">
      <c r="A27" s="207">
        <f t="shared" si="0"/>
        <v>24</v>
      </c>
      <c r="B27" s="209"/>
      <c r="C27" s="208">
        <v>46155</v>
      </c>
      <c r="D27" s="209" t="s">
        <v>34</v>
      </c>
      <c r="E27" s="209" t="s">
        <v>13</v>
      </c>
      <c r="F27" s="209" t="s">
        <v>18</v>
      </c>
      <c r="G27" s="209" t="s">
        <v>251</v>
      </c>
      <c r="H27" s="209"/>
      <c r="I27" s="209"/>
      <c r="J27" s="210" t="s">
        <v>71</v>
      </c>
      <c r="K27" s="154">
        <v>43200</v>
      </c>
      <c r="L27" s="154">
        <v>18520</v>
      </c>
      <c r="M27" s="154"/>
      <c r="N27" s="155">
        <v>24680</v>
      </c>
      <c r="O27" s="211"/>
    </row>
    <row r="28" spans="1:15" ht="16.5" customHeight="1" x14ac:dyDescent="0.25">
      <c r="A28" s="207">
        <f t="shared" si="0"/>
        <v>25</v>
      </c>
      <c r="B28" s="209"/>
      <c r="C28" s="208">
        <v>46155</v>
      </c>
      <c r="D28" s="209" t="s">
        <v>34</v>
      </c>
      <c r="E28" s="209" t="s">
        <v>25</v>
      </c>
      <c r="F28" s="209" t="s">
        <v>44</v>
      </c>
      <c r="G28" s="209" t="s">
        <v>79</v>
      </c>
      <c r="H28" s="209"/>
      <c r="I28" s="209"/>
      <c r="J28" s="210" t="s">
        <v>54</v>
      </c>
      <c r="K28" s="154">
        <v>12470</v>
      </c>
      <c r="L28" s="154">
        <v>8030</v>
      </c>
      <c r="M28" s="154">
        <v>1000</v>
      </c>
      <c r="N28" s="155">
        <v>2100</v>
      </c>
      <c r="O28" s="211" t="s">
        <v>325</v>
      </c>
    </row>
    <row r="29" spans="1:15" ht="16.5" customHeight="1" x14ac:dyDescent="0.25">
      <c r="A29" s="207">
        <f t="shared" si="0"/>
        <v>26</v>
      </c>
      <c r="B29" s="209"/>
      <c r="C29" s="208">
        <v>46155</v>
      </c>
      <c r="D29" s="209" t="s">
        <v>34</v>
      </c>
      <c r="E29" s="209" t="s">
        <v>25</v>
      </c>
      <c r="F29" s="209" t="s">
        <v>44</v>
      </c>
      <c r="G29" s="209" t="s">
        <v>79</v>
      </c>
      <c r="H29" s="209"/>
      <c r="I29" s="209"/>
      <c r="J29" s="210" t="s">
        <v>32</v>
      </c>
      <c r="K29" s="154">
        <v>13390</v>
      </c>
      <c r="L29" s="154">
        <v>11550</v>
      </c>
      <c r="M29" s="154">
        <v>500</v>
      </c>
      <c r="N29" s="155">
        <v>1340</v>
      </c>
      <c r="O29" s="211" t="s">
        <v>326</v>
      </c>
    </row>
    <row r="30" spans="1:15" ht="16.5" customHeight="1" x14ac:dyDescent="0.25">
      <c r="A30" s="207">
        <f t="shared" si="0"/>
        <v>27</v>
      </c>
      <c r="B30" s="209"/>
      <c r="C30" s="208">
        <v>46155</v>
      </c>
      <c r="D30" s="209" t="s">
        <v>34</v>
      </c>
      <c r="E30" s="209" t="s">
        <v>13</v>
      </c>
      <c r="F30" s="209" t="s">
        <v>18</v>
      </c>
      <c r="G30" s="209" t="s">
        <v>252</v>
      </c>
      <c r="H30" s="209"/>
      <c r="I30" s="209"/>
      <c r="J30" s="210" t="s">
        <v>71</v>
      </c>
      <c r="K30" s="154">
        <v>43960</v>
      </c>
      <c r="L30" s="154">
        <v>18140</v>
      </c>
      <c r="M30" s="154"/>
      <c r="N30" s="155">
        <v>25820</v>
      </c>
      <c r="O30" s="211"/>
    </row>
    <row r="31" spans="1:15" ht="16.5" customHeight="1" x14ac:dyDescent="0.25">
      <c r="A31" s="207">
        <f t="shared" si="0"/>
        <v>28</v>
      </c>
      <c r="B31" s="209"/>
      <c r="C31" s="208">
        <v>46155</v>
      </c>
      <c r="D31" s="209" t="s">
        <v>34</v>
      </c>
      <c r="E31" s="209" t="s">
        <v>13</v>
      </c>
      <c r="F31" s="209" t="s">
        <v>18</v>
      </c>
      <c r="G31" s="209" t="s">
        <v>249</v>
      </c>
      <c r="H31" s="209"/>
      <c r="I31" s="209"/>
      <c r="J31" s="210" t="s">
        <v>71</v>
      </c>
      <c r="K31" s="154">
        <v>43520</v>
      </c>
      <c r="L31" s="154">
        <v>18460</v>
      </c>
      <c r="M31" s="154"/>
      <c r="N31" s="155">
        <v>25060</v>
      </c>
      <c r="O31" s="211"/>
    </row>
    <row r="32" spans="1:15" ht="16.5" customHeight="1" x14ac:dyDescent="0.25">
      <c r="A32" s="207">
        <f t="shared" si="0"/>
        <v>29</v>
      </c>
      <c r="B32" s="209"/>
      <c r="C32" s="208">
        <v>46155</v>
      </c>
      <c r="D32" s="209" t="s">
        <v>34</v>
      </c>
      <c r="E32" s="209" t="s">
        <v>13</v>
      </c>
      <c r="F32" s="209" t="s">
        <v>18</v>
      </c>
      <c r="G32" s="209" t="s">
        <v>261</v>
      </c>
      <c r="H32" s="209"/>
      <c r="I32" s="209"/>
      <c r="J32" s="210" t="s">
        <v>71</v>
      </c>
      <c r="K32" s="154">
        <v>43200</v>
      </c>
      <c r="L32" s="154">
        <v>17940</v>
      </c>
      <c r="M32" s="154"/>
      <c r="N32" s="155">
        <v>25260</v>
      </c>
      <c r="O32" s="211"/>
    </row>
    <row r="33" spans="1:15" ht="16.5" customHeight="1" x14ac:dyDescent="0.25">
      <c r="A33" s="207">
        <f t="shared" si="0"/>
        <v>30</v>
      </c>
      <c r="B33" s="209"/>
      <c r="C33" s="208">
        <v>46155</v>
      </c>
      <c r="D33" s="209" t="s">
        <v>34</v>
      </c>
      <c r="E33" s="209" t="s">
        <v>13</v>
      </c>
      <c r="F33" s="209" t="s">
        <v>18</v>
      </c>
      <c r="G33" s="209" t="s">
        <v>159</v>
      </c>
      <c r="H33" s="209" t="s">
        <v>160</v>
      </c>
      <c r="I33" s="209" t="s">
        <v>161</v>
      </c>
      <c r="J33" s="210" t="s">
        <v>71</v>
      </c>
      <c r="K33" s="154">
        <v>42920</v>
      </c>
      <c r="L33" s="154">
        <v>18540</v>
      </c>
      <c r="M33" s="154"/>
      <c r="N33" s="155">
        <v>24380</v>
      </c>
      <c r="O33" s="211"/>
    </row>
    <row r="34" spans="1:15" ht="16.5" customHeight="1" x14ac:dyDescent="0.25">
      <c r="A34" s="207">
        <f t="shared" si="0"/>
        <v>31</v>
      </c>
      <c r="B34" s="209"/>
      <c r="C34" s="208">
        <v>46155</v>
      </c>
      <c r="D34" s="209" t="s">
        <v>34</v>
      </c>
      <c r="E34" s="209" t="s">
        <v>13</v>
      </c>
      <c r="F34" s="209" t="s">
        <v>18</v>
      </c>
      <c r="G34" s="209" t="s">
        <v>250</v>
      </c>
      <c r="H34" s="209"/>
      <c r="I34" s="209"/>
      <c r="J34" s="210" t="s">
        <v>71</v>
      </c>
      <c r="K34" s="154">
        <v>42760</v>
      </c>
      <c r="L34" s="154">
        <v>18300</v>
      </c>
      <c r="M34" s="154"/>
      <c r="N34" s="155">
        <v>24460</v>
      </c>
      <c r="O34" s="211"/>
    </row>
    <row r="35" spans="1:15" ht="16.5" customHeight="1" x14ac:dyDescent="0.25">
      <c r="A35" s="207">
        <f t="shared" si="0"/>
        <v>32</v>
      </c>
      <c r="B35" s="209"/>
      <c r="C35" s="208">
        <v>46155</v>
      </c>
      <c r="D35" s="209" t="s">
        <v>34</v>
      </c>
      <c r="E35" s="209" t="s">
        <v>13</v>
      </c>
      <c r="F35" s="209" t="s">
        <v>18</v>
      </c>
      <c r="G35" s="209" t="s">
        <v>324</v>
      </c>
      <c r="H35" s="209"/>
      <c r="I35" s="209"/>
      <c r="J35" s="210" t="s">
        <v>71</v>
      </c>
      <c r="K35" s="154">
        <v>42660</v>
      </c>
      <c r="L35" s="154">
        <v>18580</v>
      </c>
      <c r="M35" s="154"/>
      <c r="N35" s="155">
        <v>24080</v>
      </c>
      <c r="O35" s="211"/>
    </row>
    <row r="36" spans="1:15" ht="16.5" customHeight="1" x14ac:dyDescent="0.25">
      <c r="A36" s="207">
        <f t="shared" si="0"/>
        <v>33</v>
      </c>
      <c r="B36" s="209"/>
      <c r="C36" s="208">
        <v>46155</v>
      </c>
      <c r="D36" s="209" t="s">
        <v>34</v>
      </c>
      <c r="E36" s="209" t="s">
        <v>13</v>
      </c>
      <c r="F36" s="209" t="s">
        <v>18</v>
      </c>
      <c r="G36" s="209" t="s">
        <v>251</v>
      </c>
      <c r="H36" s="209"/>
      <c r="I36" s="209"/>
      <c r="J36" s="210" t="s">
        <v>71</v>
      </c>
      <c r="K36" s="154">
        <v>43320</v>
      </c>
      <c r="L36" s="154">
        <v>18360</v>
      </c>
      <c r="M36" s="154"/>
      <c r="N36" s="155">
        <v>24960</v>
      </c>
      <c r="O36" s="211"/>
    </row>
    <row r="37" spans="1:15" ht="16.5" customHeight="1" x14ac:dyDescent="0.25">
      <c r="A37" s="202">
        <f t="shared" si="0"/>
        <v>34</v>
      </c>
      <c r="B37" s="205"/>
      <c r="C37" s="204">
        <v>46155</v>
      </c>
      <c r="D37" s="205" t="s">
        <v>34</v>
      </c>
      <c r="E37" s="205" t="s">
        <v>13</v>
      </c>
      <c r="F37" s="205" t="s">
        <v>18</v>
      </c>
      <c r="G37" s="205" t="s">
        <v>260</v>
      </c>
      <c r="H37" s="205"/>
      <c r="I37" s="205"/>
      <c r="J37" s="206" t="s">
        <v>71</v>
      </c>
      <c r="K37" s="157">
        <v>42880</v>
      </c>
      <c r="L37" s="157">
        <v>18500</v>
      </c>
      <c r="M37" s="157"/>
      <c r="N37" s="162">
        <v>24380</v>
      </c>
      <c r="O37" s="212"/>
    </row>
    <row r="38" spans="1:15" ht="16.5" customHeight="1" x14ac:dyDescent="0.25">
      <c r="A38" s="197">
        <f t="shared" si="0"/>
        <v>35</v>
      </c>
      <c r="B38" s="200"/>
      <c r="C38" s="199">
        <v>46156</v>
      </c>
      <c r="D38" s="200" t="s">
        <v>34</v>
      </c>
      <c r="E38" s="200" t="s">
        <v>13</v>
      </c>
      <c r="F38" s="200" t="s">
        <v>18</v>
      </c>
      <c r="G38" s="200" t="s">
        <v>260</v>
      </c>
      <c r="H38" s="200"/>
      <c r="I38" s="200"/>
      <c r="J38" s="201" t="s">
        <v>71</v>
      </c>
      <c r="K38" s="152">
        <v>42800</v>
      </c>
      <c r="L38" s="152">
        <v>18500</v>
      </c>
      <c r="M38" s="152"/>
      <c r="N38" s="153">
        <v>24300</v>
      </c>
      <c r="O38" s="225"/>
    </row>
    <row r="39" spans="1:15" ht="16.5" customHeight="1" x14ac:dyDescent="0.25">
      <c r="A39" s="207">
        <f t="shared" si="0"/>
        <v>36</v>
      </c>
      <c r="B39" s="209"/>
      <c r="C39" s="208">
        <v>46156</v>
      </c>
      <c r="D39" s="209" t="s">
        <v>34</v>
      </c>
      <c r="E39" s="209" t="s">
        <v>13</v>
      </c>
      <c r="F39" s="209" t="s">
        <v>18</v>
      </c>
      <c r="G39" s="209" t="s">
        <v>249</v>
      </c>
      <c r="H39" s="209"/>
      <c r="I39" s="209"/>
      <c r="J39" s="210" t="s">
        <v>71</v>
      </c>
      <c r="K39" s="154">
        <v>43060</v>
      </c>
      <c r="L39" s="154">
        <v>18500</v>
      </c>
      <c r="M39" s="154"/>
      <c r="N39" s="155">
        <v>24560</v>
      </c>
      <c r="O39" s="211"/>
    </row>
    <row r="40" spans="1:15" ht="16.5" customHeight="1" x14ac:dyDescent="0.25">
      <c r="A40" s="207">
        <f t="shared" si="0"/>
        <v>37</v>
      </c>
      <c r="B40" s="209"/>
      <c r="C40" s="208">
        <v>46156</v>
      </c>
      <c r="D40" s="209" t="s">
        <v>34</v>
      </c>
      <c r="E40" s="209" t="s">
        <v>13</v>
      </c>
      <c r="F40" s="209" t="s">
        <v>18</v>
      </c>
      <c r="G40" s="209" t="s">
        <v>251</v>
      </c>
      <c r="H40" s="209"/>
      <c r="I40" s="209"/>
      <c r="J40" s="210" t="s">
        <v>71</v>
      </c>
      <c r="K40" s="154">
        <v>42500</v>
      </c>
      <c r="L40" s="154">
        <v>18380</v>
      </c>
      <c r="M40" s="154"/>
      <c r="N40" s="155">
        <v>24120</v>
      </c>
      <c r="O40" s="211"/>
    </row>
    <row r="41" spans="1:15" ht="16.5" customHeight="1" x14ac:dyDescent="0.25">
      <c r="A41" s="207">
        <f t="shared" si="0"/>
        <v>38</v>
      </c>
      <c r="B41" s="209"/>
      <c r="C41" s="208">
        <v>46156</v>
      </c>
      <c r="D41" s="209" t="s">
        <v>34</v>
      </c>
      <c r="E41" s="209" t="s">
        <v>13</v>
      </c>
      <c r="F41" s="209" t="s">
        <v>18</v>
      </c>
      <c r="G41" s="209" t="s">
        <v>261</v>
      </c>
      <c r="H41" s="209"/>
      <c r="I41" s="209"/>
      <c r="J41" s="210" t="s">
        <v>71</v>
      </c>
      <c r="K41" s="154">
        <v>42660</v>
      </c>
      <c r="L41" s="154">
        <v>17920</v>
      </c>
      <c r="M41" s="154"/>
      <c r="N41" s="155">
        <v>24740</v>
      </c>
      <c r="O41" s="211"/>
    </row>
    <row r="42" spans="1:15" ht="16.5" customHeight="1" x14ac:dyDescent="0.25">
      <c r="A42" s="207">
        <f t="shared" si="0"/>
        <v>39</v>
      </c>
      <c r="B42" s="209"/>
      <c r="C42" s="208">
        <v>46156</v>
      </c>
      <c r="D42" s="209" t="s">
        <v>34</v>
      </c>
      <c r="E42" s="209" t="s">
        <v>13</v>
      </c>
      <c r="F42" s="209" t="s">
        <v>18</v>
      </c>
      <c r="G42" s="209" t="s">
        <v>329</v>
      </c>
      <c r="H42" s="209" t="s">
        <v>330</v>
      </c>
      <c r="I42" s="209" t="s">
        <v>155</v>
      </c>
      <c r="J42" s="210" t="s">
        <v>71</v>
      </c>
      <c r="K42" s="154">
        <v>43580</v>
      </c>
      <c r="L42" s="154">
        <v>18400</v>
      </c>
      <c r="M42" s="154"/>
      <c r="N42" s="155">
        <v>25180</v>
      </c>
      <c r="O42" s="211"/>
    </row>
    <row r="43" spans="1:15" ht="16.5" customHeight="1" x14ac:dyDescent="0.25">
      <c r="A43" s="207">
        <f t="shared" si="0"/>
        <v>40</v>
      </c>
      <c r="B43" s="209"/>
      <c r="C43" s="208">
        <v>46156</v>
      </c>
      <c r="D43" s="209" t="s">
        <v>34</v>
      </c>
      <c r="E43" s="209" t="s">
        <v>13</v>
      </c>
      <c r="F43" s="209" t="s">
        <v>18</v>
      </c>
      <c r="G43" s="209" t="s">
        <v>250</v>
      </c>
      <c r="H43" s="209"/>
      <c r="I43" s="209"/>
      <c r="J43" s="210" t="s">
        <v>71</v>
      </c>
      <c r="K43" s="154">
        <v>42360</v>
      </c>
      <c r="L43" s="154">
        <v>18420</v>
      </c>
      <c r="M43" s="154"/>
      <c r="N43" s="155">
        <v>23940</v>
      </c>
      <c r="O43" s="211"/>
    </row>
    <row r="44" spans="1:15" ht="16.5" customHeight="1" x14ac:dyDescent="0.25">
      <c r="A44" s="207">
        <f t="shared" si="0"/>
        <v>41</v>
      </c>
      <c r="B44" s="209"/>
      <c r="C44" s="208">
        <v>46156</v>
      </c>
      <c r="D44" s="209" t="s">
        <v>34</v>
      </c>
      <c r="E44" s="209" t="s">
        <v>13</v>
      </c>
      <c r="F44" s="209" t="s">
        <v>18</v>
      </c>
      <c r="G44" s="209" t="s">
        <v>331</v>
      </c>
      <c r="H44" s="209"/>
      <c r="I44" s="209"/>
      <c r="J44" s="210" t="s">
        <v>71</v>
      </c>
      <c r="K44" s="154">
        <v>42060</v>
      </c>
      <c r="L44" s="154">
        <v>18800</v>
      </c>
      <c r="M44" s="154"/>
      <c r="N44" s="155">
        <v>23260</v>
      </c>
      <c r="O44" s="211"/>
    </row>
    <row r="45" spans="1:15" ht="16.5" customHeight="1" x14ac:dyDescent="0.25">
      <c r="A45" s="207">
        <f t="shared" si="0"/>
        <v>42</v>
      </c>
      <c r="B45" s="209"/>
      <c r="C45" s="208">
        <v>46156</v>
      </c>
      <c r="D45" s="209" t="s">
        <v>34</v>
      </c>
      <c r="E45" s="209" t="s">
        <v>13</v>
      </c>
      <c r="F45" s="209" t="s">
        <v>18</v>
      </c>
      <c r="G45" s="209" t="s">
        <v>260</v>
      </c>
      <c r="H45" s="209"/>
      <c r="I45" s="209"/>
      <c r="J45" s="210" t="s">
        <v>71</v>
      </c>
      <c r="K45" s="154">
        <v>42120</v>
      </c>
      <c r="L45" s="154">
        <v>18460</v>
      </c>
      <c r="M45" s="154"/>
      <c r="N45" s="155">
        <v>23660</v>
      </c>
      <c r="O45" s="211"/>
    </row>
    <row r="46" spans="1:15" ht="16.5" customHeight="1" x14ac:dyDescent="0.25">
      <c r="A46" s="207">
        <f t="shared" si="0"/>
        <v>43</v>
      </c>
      <c r="B46" s="209"/>
      <c r="C46" s="208">
        <v>46156</v>
      </c>
      <c r="D46" s="209" t="s">
        <v>34</v>
      </c>
      <c r="E46" s="209" t="s">
        <v>13</v>
      </c>
      <c r="F46" s="209" t="s">
        <v>18</v>
      </c>
      <c r="G46" s="209" t="s">
        <v>249</v>
      </c>
      <c r="H46" s="209"/>
      <c r="I46" s="209"/>
      <c r="J46" s="210" t="s">
        <v>71</v>
      </c>
      <c r="K46" s="154">
        <v>43040</v>
      </c>
      <c r="L46" s="154">
        <v>18700</v>
      </c>
      <c r="M46" s="154"/>
      <c r="N46" s="155">
        <v>24340</v>
      </c>
      <c r="O46" s="211"/>
    </row>
    <row r="47" spans="1:15" ht="16.5" customHeight="1" x14ac:dyDescent="0.25">
      <c r="A47" s="202">
        <f t="shared" si="0"/>
        <v>44</v>
      </c>
      <c r="B47" s="205"/>
      <c r="C47" s="204">
        <v>46156</v>
      </c>
      <c r="D47" s="205" t="s">
        <v>34</v>
      </c>
      <c r="E47" s="205" t="s">
        <v>13</v>
      </c>
      <c r="F47" s="205" t="s">
        <v>18</v>
      </c>
      <c r="G47" s="205" t="s">
        <v>251</v>
      </c>
      <c r="H47" s="205"/>
      <c r="I47" s="205"/>
      <c r="J47" s="206" t="s">
        <v>71</v>
      </c>
      <c r="K47" s="157">
        <v>42840</v>
      </c>
      <c r="L47" s="157">
        <v>18500</v>
      </c>
      <c r="M47" s="157"/>
      <c r="N47" s="162">
        <v>24340</v>
      </c>
      <c r="O47" s="212"/>
    </row>
    <row r="48" spans="1:15" ht="16.5" customHeight="1" x14ac:dyDescent="0.25">
      <c r="A48" s="197">
        <f t="shared" si="0"/>
        <v>45</v>
      </c>
      <c r="B48" s="200"/>
      <c r="C48" s="199">
        <v>46157</v>
      </c>
      <c r="D48" s="200" t="s">
        <v>34</v>
      </c>
      <c r="E48" s="200" t="s">
        <v>13</v>
      </c>
      <c r="F48" s="200" t="s">
        <v>18</v>
      </c>
      <c r="G48" s="200" t="s">
        <v>159</v>
      </c>
      <c r="H48" s="200" t="s">
        <v>160</v>
      </c>
      <c r="I48" s="200" t="s">
        <v>161</v>
      </c>
      <c r="J48" s="201" t="s">
        <v>71</v>
      </c>
      <c r="K48" s="152">
        <v>43580</v>
      </c>
      <c r="L48" s="152">
        <v>18560</v>
      </c>
      <c r="M48" s="152"/>
      <c r="N48" s="153">
        <v>25020</v>
      </c>
      <c r="O48" s="225"/>
    </row>
    <row r="49" spans="1:15" ht="16.5" customHeight="1" x14ac:dyDescent="0.25">
      <c r="A49" s="207">
        <f t="shared" si="0"/>
        <v>46</v>
      </c>
      <c r="B49" s="209"/>
      <c r="C49" s="208">
        <v>46157</v>
      </c>
      <c r="D49" s="209" t="s">
        <v>34</v>
      </c>
      <c r="E49" s="209" t="s">
        <v>13</v>
      </c>
      <c r="F49" s="209" t="s">
        <v>18</v>
      </c>
      <c r="G49" s="209" t="s">
        <v>136</v>
      </c>
      <c r="H49" s="209" t="s">
        <v>137</v>
      </c>
      <c r="I49" s="209" t="s">
        <v>138</v>
      </c>
      <c r="J49" s="210" t="s">
        <v>71</v>
      </c>
      <c r="K49" s="154">
        <v>42480</v>
      </c>
      <c r="L49" s="154">
        <v>18240</v>
      </c>
      <c r="M49" s="154"/>
      <c r="N49" s="155">
        <v>24240</v>
      </c>
      <c r="O49" s="211"/>
    </row>
    <row r="50" spans="1:15" ht="16.5" customHeight="1" x14ac:dyDescent="0.25">
      <c r="A50" s="207">
        <f t="shared" si="0"/>
        <v>47</v>
      </c>
      <c r="B50" s="209"/>
      <c r="C50" s="208">
        <v>46157</v>
      </c>
      <c r="D50" s="209" t="s">
        <v>34</v>
      </c>
      <c r="E50" s="209" t="s">
        <v>13</v>
      </c>
      <c r="F50" s="209" t="s">
        <v>18</v>
      </c>
      <c r="G50" s="209" t="s">
        <v>329</v>
      </c>
      <c r="H50" s="209" t="s">
        <v>330</v>
      </c>
      <c r="I50" s="209" t="s">
        <v>155</v>
      </c>
      <c r="J50" s="210" t="s">
        <v>71</v>
      </c>
      <c r="K50" s="154">
        <v>43240</v>
      </c>
      <c r="L50" s="154">
        <v>18400</v>
      </c>
      <c r="M50" s="154"/>
      <c r="N50" s="155">
        <v>24840</v>
      </c>
      <c r="O50" s="211"/>
    </row>
    <row r="51" spans="1:15" ht="16.5" customHeight="1" x14ac:dyDescent="0.25">
      <c r="A51" s="207">
        <f t="shared" si="0"/>
        <v>48</v>
      </c>
      <c r="B51" s="209"/>
      <c r="C51" s="208">
        <v>46157</v>
      </c>
      <c r="D51" s="209" t="s">
        <v>34</v>
      </c>
      <c r="E51" s="209" t="s">
        <v>13</v>
      </c>
      <c r="F51" s="209" t="s">
        <v>18</v>
      </c>
      <c r="G51" s="209" t="s">
        <v>80</v>
      </c>
      <c r="H51" s="209" t="s">
        <v>81</v>
      </c>
      <c r="I51" s="209" t="s">
        <v>104</v>
      </c>
      <c r="J51" s="210" t="s">
        <v>71</v>
      </c>
      <c r="K51" s="154">
        <v>43220</v>
      </c>
      <c r="L51" s="154">
        <v>18740</v>
      </c>
      <c r="M51" s="154"/>
      <c r="N51" s="155">
        <v>24480</v>
      </c>
      <c r="O51" s="211"/>
    </row>
    <row r="52" spans="1:15" ht="16.5" customHeight="1" x14ac:dyDescent="0.25">
      <c r="A52" s="207">
        <f t="shared" si="0"/>
        <v>49</v>
      </c>
      <c r="B52" s="209"/>
      <c r="C52" s="208">
        <v>46157</v>
      </c>
      <c r="D52" s="209" t="s">
        <v>34</v>
      </c>
      <c r="E52" s="209" t="s">
        <v>13</v>
      </c>
      <c r="F52" s="209" t="s">
        <v>18</v>
      </c>
      <c r="G52" s="209" t="s">
        <v>142</v>
      </c>
      <c r="H52" s="209" t="s">
        <v>143</v>
      </c>
      <c r="I52" s="209" t="s">
        <v>144</v>
      </c>
      <c r="J52" s="210" t="s">
        <v>71</v>
      </c>
      <c r="K52" s="154">
        <v>42460</v>
      </c>
      <c r="L52" s="154">
        <v>18760</v>
      </c>
      <c r="M52" s="154"/>
      <c r="N52" s="155">
        <v>23700</v>
      </c>
      <c r="O52" s="211"/>
    </row>
    <row r="53" spans="1:15" ht="16.5" customHeight="1" x14ac:dyDescent="0.25">
      <c r="A53" s="202">
        <f t="shared" si="0"/>
        <v>50</v>
      </c>
      <c r="B53" s="205"/>
      <c r="C53" s="204">
        <v>46157</v>
      </c>
      <c r="D53" s="205" t="s">
        <v>34</v>
      </c>
      <c r="E53" s="205" t="s">
        <v>13</v>
      </c>
      <c r="F53" s="205" t="s">
        <v>18</v>
      </c>
      <c r="G53" s="205" t="s">
        <v>334</v>
      </c>
      <c r="H53" s="205"/>
      <c r="I53" s="205"/>
      <c r="J53" s="206" t="s">
        <v>71</v>
      </c>
      <c r="K53" s="157">
        <v>43020</v>
      </c>
      <c r="L53" s="157">
        <v>18420</v>
      </c>
      <c r="M53" s="157"/>
      <c r="N53" s="162">
        <v>24600</v>
      </c>
      <c r="O53" s="212"/>
    </row>
    <row r="54" spans="1:15" ht="16.5" customHeight="1" x14ac:dyDescent="0.25">
      <c r="A54" s="197">
        <f t="shared" si="0"/>
        <v>51</v>
      </c>
      <c r="B54" s="200"/>
      <c r="C54" s="199">
        <v>46158</v>
      </c>
      <c r="D54" s="200" t="s">
        <v>85</v>
      </c>
      <c r="E54" s="200" t="s">
        <v>13</v>
      </c>
      <c r="F54" s="200" t="s">
        <v>14</v>
      </c>
      <c r="G54" s="200" t="s">
        <v>40</v>
      </c>
      <c r="H54" s="200" t="s">
        <v>41</v>
      </c>
      <c r="I54" s="200" t="s">
        <v>24</v>
      </c>
      <c r="J54" s="201" t="s">
        <v>37</v>
      </c>
      <c r="K54" s="152">
        <v>17800</v>
      </c>
      <c r="L54" s="152">
        <v>13930</v>
      </c>
      <c r="M54" s="152"/>
      <c r="N54" s="153">
        <v>3870</v>
      </c>
      <c r="O54" s="225"/>
    </row>
    <row r="55" spans="1:15" ht="16.5" customHeight="1" x14ac:dyDescent="0.25">
      <c r="A55" s="207">
        <f t="shared" si="0"/>
        <v>52</v>
      </c>
      <c r="B55" s="209"/>
      <c r="C55" s="341">
        <v>46158</v>
      </c>
      <c r="D55" s="288" t="s">
        <v>34</v>
      </c>
      <c r="E55" s="288" t="s">
        <v>13</v>
      </c>
      <c r="F55" s="288" t="s">
        <v>18</v>
      </c>
      <c r="G55" s="288" t="s">
        <v>132</v>
      </c>
      <c r="H55" s="288" t="s">
        <v>133</v>
      </c>
      <c r="I55" s="288" t="s">
        <v>134</v>
      </c>
      <c r="J55" s="288" t="s">
        <v>71</v>
      </c>
      <c r="K55" s="290">
        <v>33300</v>
      </c>
      <c r="L55" s="290">
        <v>18520</v>
      </c>
      <c r="M55" s="290"/>
      <c r="N55" s="290">
        <f t="shared" ref="N55:N69" si="1">K55-L55-M55</f>
        <v>14780</v>
      </c>
      <c r="O55" s="211"/>
    </row>
    <row r="56" spans="1:15" ht="16.5" customHeight="1" x14ac:dyDescent="0.25">
      <c r="A56" s="207">
        <f t="shared" si="0"/>
        <v>53</v>
      </c>
      <c r="B56" s="209"/>
      <c r="C56" s="342">
        <v>46158</v>
      </c>
      <c r="D56" s="343" t="s">
        <v>34</v>
      </c>
      <c r="E56" s="343" t="s">
        <v>13</v>
      </c>
      <c r="F56" s="343" t="s">
        <v>18</v>
      </c>
      <c r="G56" s="343" t="s">
        <v>146</v>
      </c>
      <c r="H56" s="343" t="s">
        <v>147</v>
      </c>
      <c r="I56" s="343" t="s">
        <v>148</v>
      </c>
      <c r="J56" s="343" t="s">
        <v>187</v>
      </c>
      <c r="K56" s="344">
        <v>42140</v>
      </c>
      <c r="L56" s="344">
        <v>19060</v>
      </c>
      <c r="M56" s="344"/>
      <c r="N56" s="344">
        <f t="shared" si="1"/>
        <v>23080</v>
      </c>
      <c r="O56" s="211"/>
    </row>
    <row r="57" spans="1:15" ht="16.5" customHeight="1" x14ac:dyDescent="0.25">
      <c r="A57" s="207">
        <f t="shared" si="0"/>
        <v>54</v>
      </c>
      <c r="B57" s="209"/>
      <c r="C57" s="342">
        <v>46158</v>
      </c>
      <c r="D57" s="343" t="s">
        <v>34</v>
      </c>
      <c r="E57" s="343" t="s">
        <v>13</v>
      </c>
      <c r="F57" s="343" t="s">
        <v>18</v>
      </c>
      <c r="G57" s="343" t="s">
        <v>338</v>
      </c>
      <c r="H57" s="343"/>
      <c r="I57" s="343"/>
      <c r="J57" s="343" t="s">
        <v>71</v>
      </c>
      <c r="K57" s="344">
        <v>33780</v>
      </c>
      <c r="L57" s="344">
        <v>18840</v>
      </c>
      <c r="M57" s="344"/>
      <c r="N57" s="344">
        <f t="shared" si="1"/>
        <v>14940</v>
      </c>
      <c r="O57" s="211"/>
    </row>
    <row r="58" spans="1:15" ht="16.5" customHeight="1" x14ac:dyDescent="0.25">
      <c r="A58" s="207">
        <f t="shared" si="0"/>
        <v>55</v>
      </c>
      <c r="B58" s="209"/>
      <c r="C58" s="342">
        <v>46158</v>
      </c>
      <c r="D58" s="343" t="s">
        <v>34</v>
      </c>
      <c r="E58" s="343" t="s">
        <v>13</v>
      </c>
      <c r="F58" s="343" t="s">
        <v>18</v>
      </c>
      <c r="G58" s="343" t="s">
        <v>331</v>
      </c>
      <c r="H58" s="343"/>
      <c r="I58" s="343"/>
      <c r="J58" s="343" t="s">
        <v>187</v>
      </c>
      <c r="K58" s="344">
        <v>41780</v>
      </c>
      <c r="L58" s="344">
        <v>18840</v>
      </c>
      <c r="M58" s="344"/>
      <c r="N58" s="344">
        <f t="shared" si="1"/>
        <v>22940</v>
      </c>
      <c r="O58" s="211"/>
    </row>
    <row r="59" spans="1:15" ht="16.5" customHeight="1" x14ac:dyDescent="0.25">
      <c r="A59" s="207">
        <f t="shared" si="0"/>
        <v>56</v>
      </c>
      <c r="B59" s="209"/>
      <c r="C59" s="342">
        <v>46158</v>
      </c>
      <c r="D59" s="343" t="s">
        <v>34</v>
      </c>
      <c r="E59" s="343" t="s">
        <v>13</v>
      </c>
      <c r="F59" s="343" t="s">
        <v>18</v>
      </c>
      <c r="G59" s="343" t="s">
        <v>80</v>
      </c>
      <c r="H59" s="343" t="s">
        <v>81</v>
      </c>
      <c r="I59" s="343" t="s">
        <v>104</v>
      </c>
      <c r="J59" s="343" t="s">
        <v>71</v>
      </c>
      <c r="K59" s="344">
        <v>31080</v>
      </c>
      <c r="L59" s="344">
        <v>18740</v>
      </c>
      <c r="M59" s="344"/>
      <c r="N59" s="344">
        <f t="shared" si="1"/>
        <v>12340</v>
      </c>
      <c r="O59" s="211"/>
    </row>
    <row r="60" spans="1:15" ht="16.5" customHeight="1" x14ac:dyDescent="0.25">
      <c r="A60" s="207">
        <f t="shared" si="0"/>
        <v>57</v>
      </c>
      <c r="B60" s="209"/>
      <c r="C60" s="342">
        <v>46158</v>
      </c>
      <c r="D60" s="343" t="s">
        <v>34</v>
      </c>
      <c r="E60" s="343" t="s">
        <v>13</v>
      </c>
      <c r="F60" s="343" t="s">
        <v>18</v>
      </c>
      <c r="G60" s="343" t="s">
        <v>149</v>
      </c>
      <c r="H60" s="343" t="s">
        <v>150</v>
      </c>
      <c r="I60" s="343" t="s">
        <v>151</v>
      </c>
      <c r="J60" s="343" t="s">
        <v>71</v>
      </c>
      <c r="K60" s="344">
        <v>32020</v>
      </c>
      <c r="L60" s="344">
        <v>18640</v>
      </c>
      <c r="M60" s="344"/>
      <c r="N60" s="344">
        <f t="shared" si="1"/>
        <v>13380</v>
      </c>
      <c r="O60" s="211"/>
    </row>
    <row r="61" spans="1:15" ht="16.5" customHeight="1" x14ac:dyDescent="0.25">
      <c r="A61" s="207">
        <f t="shared" si="0"/>
        <v>58</v>
      </c>
      <c r="B61" s="209"/>
      <c r="C61" s="342">
        <v>46158</v>
      </c>
      <c r="D61" s="343" t="s">
        <v>34</v>
      </c>
      <c r="E61" s="343" t="s">
        <v>13</v>
      </c>
      <c r="F61" s="343" t="s">
        <v>18</v>
      </c>
      <c r="G61" s="343" t="s">
        <v>120</v>
      </c>
      <c r="H61" s="343" t="s">
        <v>121</v>
      </c>
      <c r="I61" s="343" t="s">
        <v>122</v>
      </c>
      <c r="J61" s="343" t="s">
        <v>71</v>
      </c>
      <c r="K61" s="344">
        <v>33500</v>
      </c>
      <c r="L61" s="344">
        <v>18440</v>
      </c>
      <c r="M61" s="344"/>
      <c r="N61" s="344">
        <f t="shared" si="1"/>
        <v>15060</v>
      </c>
      <c r="O61" s="211"/>
    </row>
    <row r="62" spans="1:15" ht="16.5" customHeight="1" x14ac:dyDescent="0.25">
      <c r="A62" s="207">
        <f t="shared" si="0"/>
        <v>59</v>
      </c>
      <c r="B62" s="209"/>
      <c r="C62" s="342">
        <v>46158</v>
      </c>
      <c r="D62" s="343" t="s">
        <v>34</v>
      </c>
      <c r="E62" s="343" t="s">
        <v>13</v>
      </c>
      <c r="F62" s="343" t="s">
        <v>18</v>
      </c>
      <c r="G62" s="343" t="s">
        <v>252</v>
      </c>
      <c r="H62" s="343"/>
      <c r="I62" s="343"/>
      <c r="J62" s="343" t="s">
        <v>187</v>
      </c>
      <c r="K62" s="344">
        <v>43060</v>
      </c>
      <c r="L62" s="344">
        <v>17960</v>
      </c>
      <c r="M62" s="344"/>
      <c r="N62" s="344">
        <f t="shared" si="1"/>
        <v>25100</v>
      </c>
      <c r="O62" s="211"/>
    </row>
    <row r="63" spans="1:15" ht="16.5" customHeight="1" x14ac:dyDescent="0.25">
      <c r="A63" s="207">
        <f t="shared" si="0"/>
        <v>60</v>
      </c>
      <c r="B63" s="209"/>
      <c r="C63" s="342">
        <v>46158</v>
      </c>
      <c r="D63" s="343" t="s">
        <v>34</v>
      </c>
      <c r="E63" s="343" t="s">
        <v>13</v>
      </c>
      <c r="F63" s="343" t="s">
        <v>18</v>
      </c>
      <c r="G63" s="343" t="s">
        <v>49</v>
      </c>
      <c r="H63" s="343" t="s">
        <v>50</v>
      </c>
      <c r="I63" s="343" t="s">
        <v>119</v>
      </c>
      <c r="J63" s="343" t="s">
        <v>71</v>
      </c>
      <c r="K63" s="344">
        <v>33460</v>
      </c>
      <c r="L63" s="344">
        <v>18320</v>
      </c>
      <c r="M63" s="344"/>
      <c r="N63" s="344">
        <f t="shared" si="1"/>
        <v>15140</v>
      </c>
      <c r="O63" s="211"/>
    </row>
    <row r="64" spans="1:15" ht="16.5" customHeight="1" x14ac:dyDescent="0.25">
      <c r="A64" s="207">
        <f t="shared" si="0"/>
        <v>61</v>
      </c>
      <c r="B64" s="209"/>
      <c r="C64" s="342">
        <v>46158</v>
      </c>
      <c r="D64" s="343" t="s">
        <v>34</v>
      </c>
      <c r="E64" s="343" t="s">
        <v>13</v>
      </c>
      <c r="F64" s="343" t="s">
        <v>18</v>
      </c>
      <c r="G64" s="343" t="s">
        <v>324</v>
      </c>
      <c r="H64" s="343"/>
      <c r="I64" s="343"/>
      <c r="J64" s="343" t="s">
        <v>187</v>
      </c>
      <c r="K64" s="344">
        <v>43600</v>
      </c>
      <c r="L64" s="344">
        <v>18700</v>
      </c>
      <c r="M64" s="344"/>
      <c r="N64" s="344">
        <f t="shared" si="1"/>
        <v>24900</v>
      </c>
      <c r="O64" s="211"/>
    </row>
    <row r="65" spans="1:15" ht="16.5" customHeight="1" x14ac:dyDescent="0.25">
      <c r="A65" s="207">
        <f t="shared" si="0"/>
        <v>62</v>
      </c>
      <c r="B65" s="209"/>
      <c r="C65" s="342">
        <v>46158</v>
      </c>
      <c r="D65" s="343" t="s">
        <v>34</v>
      </c>
      <c r="E65" s="343" t="s">
        <v>13</v>
      </c>
      <c r="F65" s="343" t="s">
        <v>18</v>
      </c>
      <c r="G65" s="343" t="s">
        <v>153</v>
      </c>
      <c r="H65" s="343" t="s">
        <v>154</v>
      </c>
      <c r="I65" s="343" t="s">
        <v>155</v>
      </c>
      <c r="J65" s="343" t="s">
        <v>187</v>
      </c>
      <c r="K65" s="344">
        <v>42860</v>
      </c>
      <c r="L65" s="344">
        <v>18740</v>
      </c>
      <c r="M65" s="344"/>
      <c r="N65" s="344">
        <f t="shared" si="1"/>
        <v>24120</v>
      </c>
      <c r="O65" s="211"/>
    </row>
    <row r="66" spans="1:15" ht="16.5" customHeight="1" x14ac:dyDescent="0.25">
      <c r="A66" s="207">
        <f t="shared" si="0"/>
        <v>63</v>
      </c>
      <c r="B66" s="209"/>
      <c r="C66" s="342">
        <v>46158</v>
      </c>
      <c r="D66" s="343" t="s">
        <v>34</v>
      </c>
      <c r="E66" s="343" t="s">
        <v>13</v>
      </c>
      <c r="F66" s="343" t="s">
        <v>18</v>
      </c>
      <c r="G66" s="343" t="s">
        <v>338</v>
      </c>
      <c r="H66" s="343"/>
      <c r="I66" s="343"/>
      <c r="J66" s="343" t="s">
        <v>71</v>
      </c>
      <c r="K66" s="344">
        <v>32300</v>
      </c>
      <c r="L66" s="344">
        <v>18800</v>
      </c>
      <c r="M66" s="344"/>
      <c r="N66" s="344">
        <f t="shared" si="1"/>
        <v>13500</v>
      </c>
      <c r="O66" s="211"/>
    </row>
    <row r="67" spans="1:15" ht="16.5" customHeight="1" x14ac:dyDescent="0.25">
      <c r="A67" s="207">
        <f t="shared" si="0"/>
        <v>64</v>
      </c>
      <c r="B67" s="209"/>
      <c r="C67" s="342">
        <v>46158</v>
      </c>
      <c r="D67" s="343" t="s">
        <v>34</v>
      </c>
      <c r="E67" s="343" t="s">
        <v>13</v>
      </c>
      <c r="F67" s="343" t="s">
        <v>18</v>
      </c>
      <c r="G67" s="343" t="s">
        <v>80</v>
      </c>
      <c r="H67" s="343" t="s">
        <v>81</v>
      </c>
      <c r="I67" s="343" t="s">
        <v>104</v>
      </c>
      <c r="J67" s="343" t="s">
        <v>71</v>
      </c>
      <c r="K67" s="344">
        <v>37720</v>
      </c>
      <c r="L67" s="344">
        <v>18700</v>
      </c>
      <c r="M67" s="344"/>
      <c r="N67" s="344">
        <f t="shared" si="1"/>
        <v>19020</v>
      </c>
      <c r="O67" s="211"/>
    </row>
    <row r="68" spans="1:15" ht="16.5" customHeight="1" x14ac:dyDescent="0.25">
      <c r="A68" s="207">
        <f t="shared" si="0"/>
        <v>65</v>
      </c>
      <c r="B68" s="209"/>
      <c r="C68" s="342">
        <v>46158</v>
      </c>
      <c r="D68" s="343" t="s">
        <v>34</v>
      </c>
      <c r="E68" s="343" t="s">
        <v>13</v>
      </c>
      <c r="F68" s="343" t="s">
        <v>18</v>
      </c>
      <c r="G68" s="343" t="s">
        <v>149</v>
      </c>
      <c r="H68" s="343" t="s">
        <v>150</v>
      </c>
      <c r="I68" s="343" t="s">
        <v>151</v>
      </c>
      <c r="J68" s="343" t="s">
        <v>71</v>
      </c>
      <c r="K68" s="344">
        <v>31700</v>
      </c>
      <c r="L68" s="344">
        <v>18580</v>
      </c>
      <c r="M68" s="344"/>
      <c r="N68" s="344">
        <f t="shared" si="1"/>
        <v>13120</v>
      </c>
      <c r="O68" s="211"/>
    </row>
    <row r="69" spans="1:15" ht="16.5" customHeight="1" x14ac:dyDescent="0.25">
      <c r="A69" s="202">
        <f t="shared" si="0"/>
        <v>66</v>
      </c>
      <c r="B69" s="205"/>
      <c r="C69" s="345">
        <v>46158</v>
      </c>
      <c r="D69" s="205" t="s">
        <v>34</v>
      </c>
      <c r="E69" s="205" t="s">
        <v>13</v>
      </c>
      <c r="F69" s="205" t="s">
        <v>18</v>
      </c>
      <c r="G69" s="205" t="s">
        <v>49</v>
      </c>
      <c r="H69" s="205" t="s">
        <v>50</v>
      </c>
      <c r="I69" s="205" t="s">
        <v>119</v>
      </c>
      <c r="J69" s="205" t="s">
        <v>71</v>
      </c>
      <c r="K69" s="157">
        <v>35540</v>
      </c>
      <c r="L69" s="157">
        <v>18280</v>
      </c>
      <c r="M69" s="157"/>
      <c r="N69" s="157">
        <f t="shared" si="1"/>
        <v>17260</v>
      </c>
      <c r="O69" s="212"/>
    </row>
    <row r="70" spans="1:15" ht="16.5" customHeight="1" x14ac:dyDescent="0.25">
      <c r="A70" s="197">
        <f t="shared" si="0"/>
        <v>67</v>
      </c>
      <c r="B70" s="200"/>
      <c r="C70" s="199">
        <v>46159</v>
      </c>
      <c r="D70" s="200" t="s">
        <v>85</v>
      </c>
      <c r="E70" s="200" t="s">
        <v>13</v>
      </c>
      <c r="F70" s="200" t="s">
        <v>14</v>
      </c>
      <c r="G70" s="200" t="s">
        <v>22</v>
      </c>
      <c r="H70" s="200" t="s">
        <v>23</v>
      </c>
      <c r="I70" s="200" t="s">
        <v>70</v>
      </c>
      <c r="J70" s="201" t="s">
        <v>187</v>
      </c>
      <c r="K70" s="152">
        <v>32670</v>
      </c>
      <c r="L70" s="152">
        <v>21390</v>
      </c>
      <c r="M70" s="152"/>
      <c r="N70" s="153">
        <v>11280</v>
      </c>
      <c r="O70" s="225"/>
    </row>
    <row r="71" spans="1:15" ht="16.5" customHeight="1" x14ac:dyDescent="0.25">
      <c r="A71" s="207">
        <f t="shared" si="0"/>
        <v>68</v>
      </c>
      <c r="B71" s="209"/>
      <c r="C71" s="208">
        <v>46159</v>
      </c>
      <c r="D71" s="209" t="s">
        <v>85</v>
      </c>
      <c r="E71" s="209" t="s">
        <v>25</v>
      </c>
      <c r="F71" s="209" t="s">
        <v>14</v>
      </c>
      <c r="G71" s="209" t="s">
        <v>40</v>
      </c>
      <c r="H71" s="209" t="s">
        <v>41</v>
      </c>
      <c r="I71" s="209" t="s">
        <v>24</v>
      </c>
      <c r="J71" s="210" t="s">
        <v>54</v>
      </c>
      <c r="K71" s="154">
        <v>16860</v>
      </c>
      <c r="L71" s="154">
        <v>14100</v>
      </c>
      <c r="M71" s="154"/>
      <c r="N71" s="155">
        <v>2760</v>
      </c>
      <c r="O71" s="211" t="s">
        <v>336</v>
      </c>
    </row>
    <row r="72" spans="1:15" ht="16.5" customHeight="1" x14ac:dyDescent="0.25">
      <c r="A72" s="207">
        <f t="shared" si="0"/>
        <v>69</v>
      </c>
      <c r="B72" s="209"/>
      <c r="C72" s="208">
        <v>46159</v>
      </c>
      <c r="D72" s="209" t="s">
        <v>85</v>
      </c>
      <c r="E72" s="209" t="s">
        <v>25</v>
      </c>
      <c r="F72" s="209" t="s">
        <v>14</v>
      </c>
      <c r="G72" s="209" t="s">
        <v>40</v>
      </c>
      <c r="H72" s="209" t="s">
        <v>41</v>
      </c>
      <c r="I72" s="209" t="s">
        <v>24</v>
      </c>
      <c r="J72" s="210" t="s">
        <v>54</v>
      </c>
      <c r="K72" s="154">
        <v>16780</v>
      </c>
      <c r="L72" s="154">
        <v>14090</v>
      </c>
      <c r="M72" s="154"/>
      <c r="N72" s="155">
        <v>2690</v>
      </c>
      <c r="O72" s="211" t="s">
        <v>337</v>
      </c>
    </row>
    <row r="73" spans="1:15" ht="16.5" customHeight="1" x14ac:dyDescent="0.25">
      <c r="A73" s="207">
        <f t="shared" si="0"/>
        <v>70</v>
      </c>
      <c r="B73" s="209"/>
      <c r="C73" s="208">
        <v>46159</v>
      </c>
      <c r="D73" s="209" t="s">
        <v>85</v>
      </c>
      <c r="E73" s="209" t="s">
        <v>13</v>
      </c>
      <c r="F73" s="209" t="s">
        <v>18</v>
      </c>
      <c r="G73" s="209" t="s">
        <v>38</v>
      </c>
      <c r="H73" s="209" t="s">
        <v>39</v>
      </c>
      <c r="I73" s="209" t="s">
        <v>162</v>
      </c>
      <c r="J73" s="210" t="s">
        <v>187</v>
      </c>
      <c r="K73" s="154">
        <v>32120</v>
      </c>
      <c r="L73" s="154">
        <v>17930</v>
      </c>
      <c r="M73" s="154"/>
      <c r="N73" s="155">
        <v>14190</v>
      </c>
      <c r="O73" s="211"/>
    </row>
    <row r="74" spans="1:15" ht="16.5" customHeight="1" x14ac:dyDescent="0.25">
      <c r="A74" s="202">
        <f t="shared" si="0"/>
        <v>71</v>
      </c>
      <c r="B74" s="205"/>
      <c r="C74" s="204">
        <v>46159</v>
      </c>
      <c r="D74" s="205" t="s">
        <v>85</v>
      </c>
      <c r="E74" s="205" t="s">
        <v>13</v>
      </c>
      <c r="F74" s="205" t="s">
        <v>18</v>
      </c>
      <c r="G74" s="205" t="s">
        <v>38</v>
      </c>
      <c r="H74" s="205" t="s">
        <v>39</v>
      </c>
      <c r="I74" s="205" t="s">
        <v>162</v>
      </c>
      <c r="J74" s="206" t="s">
        <v>187</v>
      </c>
      <c r="K74" s="157">
        <v>33670</v>
      </c>
      <c r="L74" s="157">
        <v>17910</v>
      </c>
      <c r="M74" s="157"/>
      <c r="N74" s="162">
        <v>15760</v>
      </c>
      <c r="O74" s="212"/>
    </row>
    <row r="75" spans="1:15" ht="16.5" customHeight="1" x14ac:dyDescent="0.25">
      <c r="A75" s="197">
        <f t="shared" si="0"/>
        <v>72</v>
      </c>
      <c r="B75" s="200"/>
      <c r="C75" s="346">
        <v>46160</v>
      </c>
      <c r="D75" s="209" t="s">
        <v>34</v>
      </c>
      <c r="E75" s="209" t="s">
        <v>59</v>
      </c>
      <c r="F75" s="209" t="s">
        <v>14</v>
      </c>
      <c r="G75" s="209" t="s">
        <v>40</v>
      </c>
      <c r="H75" s="209" t="s">
        <v>41</v>
      </c>
      <c r="I75" s="209" t="s">
        <v>24</v>
      </c>
      <c r="J75" s="209" t="s">
        <v>58</v>
      </c>
      <c r="K75" s="154">
        <v>19060</v>
      </c>
      <c r="L75" s="154">
        <v>14080</v>
      </c>
      <c r="M75" s="154"/>
      <c r="N75" s="290">
        <f t="shared" ref="N75:N89" si="2">K75-L75-M75</f>
        <v>4980</v>
      </c>
      <c r="O75" s="225" t="s">
        <v>339</v>
      </c>
    </row>
    <row r="76" spans="1:15" ht="16.5" customHeight="1" x14ac:dyDescent="0.25">
      <c r="A76" s="207">
        <f t="shared" si="0"/>
        <v>73</v>
      </c>
      <c r="B76" s="209"/>
      <c r="C76" s="346">
        <v>46160</v>
      </c>
      <c r="D76" s="209" t="s">
        <v>34</v>
      </c>
      <c r="E76" s="209" t="s">
        <v>13</v>
      </c>
      <c r="F76" s="209" t="s">
        <v>18</v>
      </c>
      <c r="G76" s="209" t="s">
        <v>331</v>
      </c>
      <c r="H76" s="209"/>
      <c r="I76" s="209"/>
      <c r="J76" s="209" t="s">
        <v>71</v>
      </c>
      <c r="K76" s="154">
        <v>43060</v>
      </c>
      <c r="L76" s="154">
        <v>18820</v>
      </c>
      <c r="M76" s="154"/>
      <c r="N76" s="344">
        <f t="shared" si="2"/>
        <v>24240</v>
      </c>
      <c r="O76" s="211"/>
    </row>
    <row r="77" spans="1:15" ht="16.5" customHeight="1" x14ac:dyDescent="0.25">
      <c r="A77" s="207">
        <f t="shared" si="0"/>
        <v>74</v>
      </c>
      <c r="B77" s="209"/>
      <c r="C77" s="346">
        <v>46160</v>
      </c>
      <c r="D77" s="209" t="s">
        <v>34</v>
      </c>
      <c r="E77" s="209" t="s">
        <v>25</v>
      </c>
      <c r="F77" s="209" t="s">
        <v>44</v>
      </c>
      <c r="G77" s="209" t="s">
        <v>264</v>
      </c>
      <c r="H77" s="209"/>
      <c r="I77" s="209"/>
      <c r="J77" s="209" t="s">
        <v>57</v>
      </c>
      <c r="K77" s="154">
        <v>15820</v>
      </c>
      <c r="L77" s="154">
        <v>8700</v>
      </c>
      <c r="M77" s="154">
        <v>1500</v>
      </c>
      <c r="N77" s="344">
        <f>K77-L77-M77-N78-N79</f>
        <v>4330</v>
      </c>
      <c r="O77" s="211"/>
    </row>
    <row r="78" spans="1:15" ht="16.5" customHeight="1" x14ac:dyDescent="0.25">
      <c r="A78" s="207">
        <f t="shared" si="0"/>
        <v>75</v>
      </c>
      <c r="B78" s="209"/>
      <c r="C78" s="346">
        <v>46160</v>
      </c>
      <c r="D78" s="209" t="s">
        <v>34</v>
      </c>
      <c r="E78" s="209" t="s">
        <v>25</v>
      </c>
      <c r="F78" s="209" t="s">
        <v>44</v>
      </c>
      <c r="G78" s="209" t="s">
        <v>264</v>
      </c>
      <c r="H78" s="209"/>
      <c r="I78" s="209"/>
      <c r="J78" s="209" t="s">
        <v>42</v>
      </c>
      <c r="K78" s="154">
        <v>11670</v>
      </c>
      <c r="L78" s="154">
        <v>11580</v>
      </c>
      <c r="M78" s="154"/>
      <c r="N78" s="344">
        <f t="shared" si="2"/>
        <v>90</v>
      </c>
      <c r="O78" s="211"/>
    </row>
    <row r="79" spans="1:15" ht="16.5" customHeight="1" x14ac:dyDescent="0.25">
      <c r="A79" s="207">
        <f t="shared" si="0"/>
        <v>76</v>
      </c>
      <c r="B79" s="209"/>
      <c r="C79" s="346">
        <v>46160</v>
      </c>
      <c r="D79" s="209" t="s">
        <v>34</v>
      </c>
      <c r="E79" s="209" t="s">
        <v>25</v>
      </c>
      <c r="F79" s="209" t="s">
        <v>44</v>
      </c>
      <c r="G79" s="209" t="s">
        <v>264</v>
      </c>
      <c r="H79" s="209"/>
      <c r="I79" s="209"/>
      <c r="J79" s="209" t="s">
        <v>350</v>
      </c>
      <c r="K79" s="154">
        <v>13280</v>
      </c>
      <c r="L79" s="154">
        <v>11580</v>
      </c>
      <c r="M79" s="154">
        <v>500</v>
      </c>
      <c r="N79" s="344">
        <f t="shared" si="2"/>
        <v>1200</v>
      </c>
      <c r="O79" s="211"/>
    </row>
    <row r="80" spans="1:15" ht="16.5" customHeight="1" x14ac:dyDescent="0.25">
      <c r="A80" s="207">
        <f t="shared" si="0"/>
        <v>77</v>
      </c>
      <c r="B80" s="209"/>
      <c r="C80" s="346">
        <v>46160</v>
      </c>
      <c r="D80" s="209" t="s">
        <v>34</v>
      </c>
      <c r="E80" s="209" t="s">
        <v>13</v>
      </c>
      <c r="F80" s="209" t="s">
        <v>18</v>
      </c>
      <c r="G80" s="209" t="s">
        <v>80</v>
      </c>
      <c r="H80" s="209" t="s">
        <v>81</v>
      </c>
      <c r="I80" s="209" t="s">
        <v>104</v>
      </c>
      <c r="J80" s="209" t="s">
        <v>20</v>
      </c>
      <c r="K80" s="154">
        <v>28660</v>
      </c>
      <c r="L80" s="154">
        <v>18760</v>
      </c>
      <c r="M80" s="154"/>
      <c r="N80" s="344">
        <f t="shared" si="2"/>
        <v>9900</v>
      </c>
      <c r="O80" s="211"/>
    </row>
    <row r="81" spans="1:15" ht="16.5" customHeight="1" x14ac:dyDescent="0.25">
      <c r="A81" s="207">
        <f t="shared" si="0"/>
        <v>78</v>
      </c>
      <c r="B81" s="209"/>
      <c r="C81" s="346">
        <v>46160</v>
      </c>
      <c r="D81" s="209" t="s">
        <v>34</v>
      </c>
      <c r="E81" s="209" t="s">
        <v>13</v>
      </c>
      <c r="F81" s="209" t="s">
        <v>18</v>
      </c>
      <c r="G81" s="209" t="s">
        <v>51</v>
      </c>
      <c r="H81" s="209" t="s">
        <v>52</v>
      </c>
      <c r="I81" s="209" t="s">
        <v>100</v>
      </c>
      <c r="J81" s="209" t="s">
        <v>20</v>
      </c>
      <c r="K81" s="154">
        <v>33420</v>
      </c>
      <c r="L81" s="154">
        <v>18780</v>
      </c>
      <c r="M81" s="154"/>
      <c r="N81" s="344">
        <f t="shared" si="2"/>
        <v>14640</v>
      </c>
      <c r="O81" s="211"/>
    </row>
    <row r="82" spans="1:15" ht="16.5" customHeight="1" x14ac:dyDescent="0.25">
      <c r="A82" s="207">
        <f t="shared" si="0"/>
        <v>79</v>
      </c>
      <c r="B82" s="209"/>
      <c r="C82" s="346">
        <v>46160</v>
      </c>
      <c r="D82" s="209" t="s">
        <v>34</v>
      </c>
      <c r="E82" s="209" t="s">
        <v>13</v>
      </c>
      <c r="F82" s="209" t="s">
        <v>18</v>
      </c>
      <c r="G82" s="209" t="s">
        <v>38</v>
      </c>
      <c r="H82" s="209" t="s">
        <v>39</v>
      </c>
      <c r="I82" s="209" t="s">
        <v>162</v>
      </c>
      <c r="J82" s="209" t="s">
        <v>20</v>
      </c>
      <c r="K82" s="154">
        <v>35340</v>
      </c>
      <c r="L82" s="154">
        <v>18380</v>
      </c>
      <c r="M82" s="154"/>
      <c r="N82" s="344">
        <f t="shared" si="2"/>
        <v>16960</v>
      </c>
      <c r="O82" s="211"/>
    </row>
    <row r="83" spans="1:15" ht="16.5" customHeight="1" x14ac:dyDescent="0.25">
      <c r="A83" s="207">
        <f t="shared" si="0"/>
        <v>80</v>
      </c>
      <c r="B83" s="209"/>
      <c r="C83" s="346">
        <v>46160</v>
      </c>
      <c r="D83" s="343" t="s">
        <v>34</v>
      </c>
      <c r="E83" s="343" t="s">
        <v>13</v>
      </c>
      <c r="F83" s="343" t="s">
        <v>18</v>
      </c>
      <c r="G83" s="343" t="s">
        <v>153</v>
      </c>
      <c r="H83" s="343" t="s">
        <v>154</v>
      </c>
      <c r="I83" s="343" t="s">
        <v>155</v>
      </c>
      <c r="J83" s="343" t="s">
        <v>20</v>
      </c>
      <c r="K83" s="344">
        <v>38140</v>
      </c>
      <c r="L83" s="344">
        <v>18620</v>
      </c>
      <c r="M83" s="344"/>
      <c r="N83" s="344">
        <f t="shared" si="2"/>
        <v>19520</v>
      </c>
      <c r="O83" s="211"/>
    </row>
    <row r="84" spans="1:15" ht="16.5" customHeight="1" x14ac:dyDescent="0.25">
      <c r="A84" s="207">
        <f t="shared" si="0"/>
        <v>81</v>
      </c>
      <c r="B84" s="209"/>
      <c r="C84" s="346">
        <v>46160</v>
      </c>
      <c r="D84" s="209" t="s">
        <v>34</v>
      </c>
      <c r="E84" s="209" t="s">
        <v>13</v>
      </c>
      <c r="F84" s="209" t="s">
        <v>18</v>
      </c>
      <c r="G84" s="209" t="s">
        <v>351</v>
      </c>
      <c r="H84" s="209" t="s">
        <v>352</v>
      </c>
      <c r="I84" s="209" t="s">
        <v>353</v>
      </c>
      <c r="J84" s="209" t="s">
        <v>20</v>
      </c>
      <c r="K84" s="154">
        <v>37640</v>
      </c>
      <c r="L84" s="154">
        <v>17980</v>
      </c>
      <c r="M84" s="154"/>
      <c r="N84" s="344">
        <f t="shared" si="2"/>
        <v>19660</v>
      </c>
      <c r="O84" s="211"/>
    </row>
    <row r="85" spans="1:15" ht="16.5" customHeight="1" x14ac:dyDescent="0.25">
      <c r="A85" s="207">
        <f t="shared" si="0"/>
        <v>82</v>
      </c>
      <c r="B85" s="209"/>
      <c r="C85" s="346">
        <v>46160</v>
      </c>
      <c r="D85" s="209" t="s">
        <v>34</v>
      </c>
      <c r="E85" s="209" t="s">
        <v>13</v>
      </c>
      <c r="F85" s="209" t="s">
        <v>18</v>
      </c>
      <c r="G85" s="209" t="s">
        <v>156</v>
      </c>
      <c r="H85" s="209" t="s">
        <v>157</v>
      </c>
      <c r="I85" s="209" t="s">
        <v>158</v>
      </c>
      <c r="J85" s="209" t="s">
        <v>20</v>
      </c>
      <c r="K85" s="154">
        <v>34640</v>
      </c>
      <c r="L85" s="154">
        <v>18640</v>
      </c>
      <c r="M85" s="154"/>
      <c r="N85" s="344">
        <f t="shared" si="2"/>
        <v>16000</v>
      </c>
      <c r="O85" s="211"/>
    </row>
    <row r="86" spans="1:15" ht="16.5" customHeight="1" x14ac:dyDescent="0.25">
      <c r="A86" s="207">
        <f t="shared" si="0"/>
        <v>83</v>
      </c>
      <c r="B86" s="209"/>
      <c r="C86" s="346">
        <v>46160</v>
      </c>
      <c r="D86" s="209" t="s">
        <v>34</v>
      </c>
      <c r="E86" s="209" t="s">
        <v>13</v>
      </c>
      <c r="F86" s="209" t="s">
        <v>18</v>
      </c>
      <c r="G86" s="209" t="s">
        <v>35</v>
      </c>
      <c r="H86" s="209" t="s">
        <v>36</v>
      </c>
      <c r="I86" s="209" t="s">
        <v>108</v>
      </c>
      <c r="J86" s="209" t="s">
        <v>20</v>
      </c>
      <c r="K86" s="154">
        <v>34600</v>
      </c>
      <c r="L86" s="154">
        <v>18960</v>
      </c>
      <c r="M86" s="154"/>
      <c r="N86" s="344">
        <f t="shared" si="2"/>
        <v>15640</v>
      </c>
      <c r="O86" s="211"/>
    </row>
    <row r="87" spans="1:15" ht="16.5" customHeight="1" x14ac:dyDescent="0.25">
      <c r="A87" s="207">
        <f t="shared" si="0"/>
        <v>84</v>
      </c>
      <c r="B87" s="209"/>
      <c r="C87" s="346">
        <v>46160</v>
      </c>
      <c r="D87" s="209" t="s">
        <v>34</v>
      </c>
      <c r="E87" s="209" t="s">
        <v>13</v>
      </c>
      <c r="F87" s="209" t="s">
        <v>18</v>
      </c>
      <c r="G87" s="209" t="s">
        <v>139</v>
      </c>
      <c r="H87" s="209" t="s">
        <v>140</v>
      </c>
      <c r="I87" s="209" t="s">
        <v>141</v>
      </c>
      <c r="J87" s="209" t="s">
        <v>20</v>
      </c>
      <c r="K87" s="154">
        <v>37080</v>
      </c>
      <c r="L87" s="154">
        <v>19000</v>
      </c>
      <c r="M87" s="154"/>
      <c r="N87" s="344">
        <f t="shared" si="2"/>
        <v>18080</v>
      </c>
      <c r="O87" s="211"/>
    </row>
    <row r="88" spans="1:15" ht="16.5" customHeight="1" x14ac:dyDescent="0.25">
      <c r="A88" s="207">
        <f t="shared" si="0"/>
        <v>85</v>
      </c>
      <c r="B88" s="209"/>
      <c r="C88" s="346">
        <v>46160</v>
      </c>
      <c r="D88" s="209" t="s">
        <v>34</v>
      </c>
      <c r="E88" s="209" t="s">
        <v>13</v>
      </c>
      <c r="F88" s="209" t="s">
        <v>18</v>
      </c>
      <c r="G88" s="209" t="s">
        <v>153</v>
      </c>
      <c r="H88" s="209" t="s">
        <v>154</v>
      </c>
      <c r="I88" s="209" t="s">
        <v>155</v>
      </c>
      <c r="J88" s="209" t="s">
        <v>20</v>
      </c>
      <c r="K88" s="154">
        <v>35280</v>
      </c>
      <c r="L88" s="154">
        <v>18600</v>
      </c>
      <c r="M88" s="154"/>
      <c r="N88" s="344">
        <f t="shared" si="2"/>
        <v>16680</v>
      </c>
      <c r="O88" s="211"/>
    </row>
    <row r="89" spans="1:15" ht="16.5" customHeight="1" x14ac:dyDescent="0.25">
      <c r="A89" s="207">
        <f t="shared" si="0"/>
        <v>86</v>
      </c>
      <c r="B89" s="209"/>
      <c r="C89" s="346">
        <v>46160</v>
      </c>
      <c r="D89" s="209" t="s">
        <v>34</v>
      </c>
      <c r="E89" s="209" t="s">
        <v>13</v>
      </c>
      <c r="F89" s="209" t="s">
        <v>18</v>
      </c>
      <c r="G89" s="209" t="s">
        <v>351</v>
      </c>
      <c r="H89" s="209" t="s">
        <v>352</v>
      </c>
      <c r="I89" s="209" t="s">
        <v>353</v>
      </c>
      <c r="J89" s="209" t="s">
        <v>20</v>
      </c>
      <c r="K89" s="154">
        <v>36460</v>
      </c>
      <c r="L89" s="154">
        <v>18080</v>
      </c>
      <c r="M89" s="154"/>
      <c r="N89" s="344">
        <f t="shared" si="2"/>
        <v>18380</v>
      </c>
      <c r="O89" s="211"/>
    </row>
    <row r="90" spans="1:15" ht="16.5" customHeight="1" x14ac:dyDescent="0.25">
      <c r="A90" s="207">
        <f t="shared" si="0"/>
        <v>87</v>
      </c>
      <c r="B90" s="209"/>
      <c r="C90" s="199">
        <v>46160</v>
      </c>
      <c r="D90" s="200" t="s">
        <v>85</v>
      </c>
      <c r="E90" s="200" t="s">
        <v>25</v>
      </c>
      <c r="F90" s="200" t="s">
        <v>14</v>
      </c>
      <c r="G90" s="200" t="s">
        <v>40</v>
      </c>
      <c r="H90" s="200" t="s">
        <v>41</v>
      </c>
      <c r="I90" s="200" t="s">
        <v>24</v>
      </c>
      <c r="J90" s="201" t="s">
        <v>57</v>
      </c>
      <c r="K90" s="152">
        <v>15680</v>
      </c>
      <c r="L90" s="152">
        <v>14690</v>
      </c>
      <c r="M90" s="152"/>
      <c r="N90" s="153">
        <f>K90-L90-M90</f>
        <v>990</v>
      </c>
      <c r="O90" s="211"/>
    </row>
    <row r="91" spans="1:15" ht="16.5" customHeight="1" x14ac:dyDescent="0.25">
      <c r="A91" s="207">
        <f t="shared" si="0"/>
        <v>88</v>
      </c>
      <c r="B91" s="209"/>
      <c r="C91" s="199">
        <v>46160</v>
      </c>
      <c r="D91" s="200" t="s">
        <v>85</v>
      </c>
      <c r="E91" s="200" t="s">
        <v>13</v>
      </c>
      <c r="F91" s="200" t="s">
        <v>14</v>
      </c>
      <c r="G91" s="200" t="s">
        <v>40</v>
      </c>
      <c r="H91" s="200" t="s">
        <v>41</v>
      </c>
      <c r="I91" s="200" t="s">
        <v>24</v>
      </c>
      <c r="J91" s="201" t="s">
        <v>182</v>
      </c>
      <c r="K91" s="152">
        <v>19660</v>
      </c>
      <c r="L91" s="152">
        <v>15570</v>
      </c>
      <c r="M91" s="152"/>
      <c r="N91" s="153">
        <f t="shared" ref="N91:N96" si="3">K91-L91-M91</f>
        <v>4090</v>
      </c>
      <c r="O91" s="211"/>
    </row>
    <row r="92" spans="1:15" ht="16.5" customHeight="1" x14ac:dyDescent="0.25">
      <c r="A92" s="207">
        <f t="shared" si="0"/>
        <v>89</v>
      </c>
      <c r="B92" s="209"/>
      <c r="C92" s="199">
        <v>46160</v>
      </c>
      <c r="D92" s="200" t="s">
        <v>85</v>
      </c>
      <c r="E92" s="200" t="s">
        <v>13</v>
      </c>
      <c r="F92" s="200" t="s">
        <v>14</v>
      </c>
      <c r="G92" s="200" t="s">
        <v>40</v>
      </c>
      <c r="H92" s="200" t="s">
        <v>41</v>
      </c>
      <c r="I92" s="200" t="s">
        <v>24</v>
      </c>
      <c r="J92" s="201" t="s">
        <v>37</v>
      </c>
      <c r="K92" s="152"/>
      <c r="L92" s="152"/>
      <c r="M92" s="152"/>
      <c r="N92" s="153">
        <v>600</v>
      </c>
      <c r="O92" s="211"/>
    </row>
    <row r="93" spans="1:15" ht="16.5" customHeight="1" x14ac:dyDescent="0.25">
      <c r="A93" s="207">
        <f t="shared" si="0"/>
        <v>90</v>
      </c>
      <c r="B93" s="209"/>
      <c r="C93" s="199">
        <v>46160</v>
      </c>
      <c r="D93" s="200" t="s">
        <v>85</v>
      </c>
      <c r="E93" s="200" t="s">
        <v>13</v>
      </c>
      <c r="F93" s="200" t="s">
        <v>18</v>
      </c>
      <c r="G93" s="200" t="s">
        <v>38</v>
      </c>
      <c r="H93" s="200" t="s">
        <v>39</v>
      </c>
      <c r="I93" s="200" t="s">
        <v>162</v>
      </c>
      <c r="J93" s="201" t="s">
        <v>33</v>
      </c>
      <c r="K93" s="152">
        <v>26800</v>
      </c>
      <c r="L93" s="152">
        <v>18080</v>
      </c>
      <c r="M93" s="152"/>
      <c r="N93" s="153">
        <f t="shared" si="3"/>
        <v>8720</v>
      </c>
      <c r="O93" s="211"/>
    </row>
    <row r="94" spans="1:15" ht="16.5" customHeight="1" x14ac:dyDescent="0.25">
      <c r="A94" s="207">
        <f t="shared" si="0"/>
        <v>91</v>
      </c>
      <c r="B94" s="209"/>
      <c r="C94" s="199">
        <v>46160</v>
      </c>
      <c r="D94" s="200" t="s">
        <v>85</v>
      </c>
      <c r="E94" s="200" t="s">
        <v>13</v>
      </c>
      <c r="F94" s="200" t="s">
        <v>18</v>
      </c>
      <c r="G94" s="200" t="s">
        <v>101</v>
      </c>
      <c r="H94" s="200" t="s">
        <v>102</v>
      </c>
      <c r="I94" s="200" t="s">
        <v>103</v>
      </c>
      <c r="J94" s="201" t="s">
        <v>33</v>
      </c>
      <c r="K94" s="152">
        <v>25680</v>
      </c>
      <c r="L94" s="152">
        <v>18610</v>
      </c>
      <c r="M94" s="152"/>
      <c r="N94" s="153">
        <f t="shared" si="3"/>
        <v>7070</v>
      </c>
      <c r="O94" s="211"/>
    </row>
    <row r="95" spans="1:15" ht="16.5" customHeight="1" x14ac:dyDescent="0.25">
      <c r="A95" s="207">
        <f t="shared" si="0"/>
        <v>92</v>
      </c>
      <c r="B95" s="209"/>
      <c r="C95" s="199">
        <v>46160</v>
      </c>
      <c r="D95" s="209" t="s">
        <v>85</v>
      </c>
      <c r="E95" s="209" t="s">
        <v>13</v>
      </c>
      <c r="F95" s="209" t="s">
        <v>18</v>
      </c>
      <c r="G95" s="209" t="s">
        <v>51</v>
      </c>
      <c r="H95" s="209" t="s">
        <v>52</v>
      </c>
      <c r="I95" s="209" t="s">
        <v>100</v>
      </c>
      <c r="J95" s="210" t="s">
        <v>20</v>
      </c>
      <c r="K95" s="154">
        <v>32380</v>
      </c>
      <c r="L95" s="154">
        <v>18840</v>
      </c>
      <c r="M95" s="154"/>
      <c r="N95" s="153">
        <f t="shared" si="3"/>
        <v>13540</v>
      </c>
      <c r="O95" s="211"/>
    </row>
    <row r="96" spans="1:15" ht="16.5" customHeight="1" x14ac:dyDescent="0.25">
      <c r="A96" s="202">
        <f t="shared" si="0"/>
        <v>93</v>
      </c>
      <c r="B96" s="205"/>
      <c r="C96" s="204">
        <v>46160</v>
      </c>
      <c r="D96" s="205" t="s">
        <v>85</v>
      </c>
      <c r="E96" s="205" t="s">
        <v>13</v>
      </c>
      <c r="F96" s="205" t="s">
        <v>18</v>
      </c>
      <c r="G96" s="205" t="s">
        <v>35</v>
      </c>
      <c r="H96" s="205" t="s">
        <v>36</v>
      </c>
      <c r="I96" s="205" t="s">
        <v>108</v>
      </c>
      <c r="J96" s="206" t="s">
        <v>20</v>
      </c>
      <c r="K96" s="157">
        <v>31220</v>
      </c>
      <c r="L96" s="157">
        <v>18700</v>
      </c>
      <c r="M96" s="157"/>
      <c r="N96" s="162">
        <f t="shared" si="3"/>
        <v>12520</v>
      </c>
      <c r="O96" s="212"/>
    </row>
    <row r="97" spans="1:15" ht="16.5" customHeight="1" x14ac:dyDescent="0.25">
      <c r="A97" s="197">
        <f t="shared" si="0"/>
        <v>94</v>
      </c>
      <c r="B97" s="200"/>
      <c r="C97" s="199">
        <v>46161</v>
      </c>
      <c r="D97" s="200" t="s">
        <v>85</v>
      </c>
      <c r="E97" s="200" t="s">
        <v>13</v>
      </c>
      <c r="F97" s="200" t="s">
        <v>14</v>
      </c>
      <c r="G97" s="200" t="s">
        <v>40</v>
      </c>
      <c r="H97" s="200" t="s">
        <v>41</v>
      </c>
      <c r="I97" s="200" t="s">
        <v>24</v>
      </c>
      <c r="J97" s="201" t="s">
        <v>33</v>
      </c>
      <c r="K97" s="152">
        <v>21170</v>
      </c>
      <c r="L97" s="152">
        <v>14560</v>
      </c>
      <c r="M97" s="152"/>
      <c r="N97" s="153">
        <v>3390</v>
      </c>
      <c r="O97" s="225" t="s">
        <v>375</v>
      </c>
    </row>
    <row r="98" spans="1:15" ht="16.5" customHeight="1" x14ac:dyDescent="0.25">
      <c r="A98" s="207">
        <f t="shared" si="0"/>
        <v>95</v>
      </c>
      <c r="B98" s="209"/>
      <c r="C98" s="208">
        <v>46161</v>
      </c>
      <c r="D98" s="209" t="s">
        <v>85</v>
      </c>
      <c r="E98" s="209" t="s">
        <v>13</v>
      </c>
      <c r="F98" s="209" t="s">
        <v>14</v>
      </c>
      <c r="G98" s="209" t="s">
        <v>40</v>
      </c>
      <c r="H98" s="209" t="s">
        <v>41</v>
      </c>
      <c r="I98" s="209" t="s">
        <v>24</v>
      </c>
      <c r="J98" s="210" t="s">
        <v>182</v>
      </c>
      <c r="K98" s="154"/>
      <c r="L98" s="154"/>
      <c r="M98" s="154"/>
      <c r="N98" s="153">
        <v>3220</v>
      </c>
      <c r="O98" s="211" t="s">
        <v>373</v>
      </c>
    </row>
    <row r="99" spans="1:15" ht="16.5" customHeight="1" x14ac:dyDescent="0.25">
      <c r="A99" s="207">
        <f t="shared" si="0"/>
        <v>96</v>
      </c>
      <c r="B99" s="209"/>
      <c r="C99" s="348">
        <v>46161</v>
      </c>
      <c r="D99" s="200" t="s">
        <v>34</v>
      </c>
      <c r="E99" s="200" t="s">
        <v>13</v>
      </c>
      <c r="F99" s="200" t="s">
        <v>18</v>
      </c>
      <c r="G99" s="200" t="s">
        <v>139</v>
      </c>
      <c r="H99" s="200" t="s">
        <v>140</v>
      </c>
      <c r="I99" s="200" t="s">
        <v>141</v>
      </c>
      <c r="J99" s="200" t="s">
        <v>71</v>
      </c>
      <c r="K99" s="152">
        <v>42040</v>
      </c>
      <c r="L99" s="152">
        <v>18940</v>
      </c>
      <c r="M99" s="152"/>
      <c r="N99" s="290">
        <f t="shared" ref="N99:N122" si="4">K99-L99-M99</f>
        <v>23100</v>
      </c>
      <c r="O99" s="349"/>
    </row>
    <row r="100" spans="1:15" ht="16.5" customHeight="1" x14ac:dyDescent="0.25">
      <c r="A100" s="207">
        <f t="shared" si="0"/>
        <v>97</v>
      </c>
      <c r="B100" s="209"/>
      <c r="C100" s="346">
        <v>46161</v>
      </c>
      <c r="D100" s="209" t="s">
        <v>34</v>
      </c>
      <c r="E100" s="209" t="s">
        <v>13</v>
      </c>
      <c r="F100" s="209" t="s">
        <v>18</v>
      </c>
      <c r="G100" s="209" t="s">
        <v>324</v>
      </c>
      <c r="H100" s="209"/>
      <c r="I100" s="209"/>
      <c r="J100" s="209" t="s">
        <v>71</v>
      </c>
      <c r="K100" s="154">
        <v>42320</v>
      </c>
      <c r="L100" s="154">
        <v>18600</v>
      </c>
      <c r="M100" s="154"/>
      <c r="N100" s="344">
        <f t="shared" si="4"/>
        <v>23720</v>
      </c>
      <c r="O100" s="350"/>
    </row>
    <row r="101" spans="1:15" ht="16.5" customHeight="1" x14ac:dyDescent="0.25">
      <c r="A101" s="207">
        <f t="shared" si="0"/>
        <v>98</v>
      </c>
      <c r="B101" s="209"/>
      <c r="C101" s="346">
        <v>46161</v>
      </c>
      <c r="D101" s="209" t="s">
        <v>34</v>
      </c>
      <c r="E101" s="209" t="s">
        <v>13</v>
      </c>
      <c r="F101" s="209" t="s">
        <v>18</v>
      </c>
      <c r="G101" s="209" t="s">
        <v>331</v>
      </c>
      <c r="H101" s="209"/>
      <c r="I101" s="209"/>
      <c r="J101" s="209" t="s">
        <v>20</v>
      </c>
      <c r="K101" s="154">
        <v>42180</v>
      </c>
      <c r="L101" s="154">
        <v>18740</v>
      </c>
      <c r="M101" s="154"/>
      <c r="N101" s="344">
        <f t="shared" si="4"/>
        <v>23440</v>
      </c>
      <c r="O101" s="350"/>
    </row>
    <row r="102" spans="1:15" ht="16.5" customHeight="1" x14ac:dyDescent="0.25">
      <c r="A102" s="207">
        <f t="shared" si="0"/>
        <v>99</v>
      </c>
      <c r="B102" s="209"/>
      <c r="C102" s="346">
        <v>46161</v>
      </c>
      <c r="D102" s="209" t="s">
        <v>34</v>
      </c>
      <c r="E102" s="209" t="s">
        <v>13</v>
      </c>
      <c r="F102" s="209" t="s">
        <v>18</v>
      </c>
      <c r="G102" s="209" t="s">
        <v>142</v>
      </c>
      <c r="H102" s="209" t="s">
        <v>143</v>
      </c>
      <c r="I102" s="209" t="s">
        <v>144</v>
      </c>
      <c r="J102" s="209" t="s">
        <v>71</v>
      </c>
      <c r="K102" s="154">
        <v>42660</v>
      </c>
      <c r="L102" s="154">
        <v>18800</v>
      </c>
      <c r="M102" s="154"/>
      <c r="N102" s="344">
        <f t="shared" si="4"/>
        <v>23860</v>
      </c>
      <c r="O102" s="350"/>
    </row>
    <row r="103" spans="1:15" ht="16.5" customHeight="1" x14ac:dyDescent="0.25">
      <c r="A103" s="207">
        <f t="shared" si="0"/>
        <v>100</v>
      </c>
      <c r="B103" s="209"/>
      <c r="C103" s="346">
        <v>46161</v>
      </c>
      <c r="D103" s="209" t="s">
        <v>34</v>
      </c>
      <c r="E103" s="209" t="s">
        <v>13</v>
      </c>
      <c r="F103" s="209" t="s">
        <v>18</v>
      </c>
      <c r="G103" s="209" t="s">
        <v>136</v>
      </c>
      <c r="H103" s="209" t="s">
        <v>137</v>
      </c>
      <c r="I103" s="209" t="s">
        <v>138</v>
      </c>
      <c r="J103" s="209" t="s">
        <v>20</v>
      </c>
      <c r="K103" s="154">
        <v>38560</v>
      </c>
      <c r="L103" s="154">
        <v>18100</v>
      </c>
      <c r="M103" s="154"/>
      <c r="N103" s="344">
        <f t="shared" si="4"/>
        <v>20460</v>
      </c>
      <c r="O103" s="350"/>
    </row>
    <row r="104" spans="1:15" ht="16.5" customHeight="1" x14ac:dyDescent="0.25">
      <c r="A104" s="207">
        <f t="shared" si="0"/>
        <v>101</v>
      </c>
      <c r="B104" s="209"/>
      <c r="C104" s="346">
        <v>46161</v>
      </c>
      <c r="D104" s="209" t="s">
        <v>34</v>
      </c>
      <c r="E104" s="209" t="s">
        <v>13</v>
      </c>
      <c r="F104" s="209" t="s">
        <v>18</v>
      </c>
      <c r="G104" s="209" t="s">
        <v>329</v>
      </c>
      <c r="H104" s="209" t="s">
        <v>330</v>
      </c>
      <c r="I104" s="209" t="s">
        <v>155</v>
      </c>
      <c r="J104" s="209" t="s">
        <v>376</v>
      </c>
      <c r="K104" s="154">
        <v>39520</v>
      </c>
      <c r="L104" s="154">
        <v>18520</v>
      </c>
      <c r="M104" s="154"/>
      <c r="N104" s="344">
        <f t="shared" si="4"/>
        <v>21000</v>
      </c>
      <c r="O104" s="350"/>
    </row>
    <row r="105" spans="1:15" ht="16.5" customHeight="1" x14ac:dyDescent="0.25">
      <c r="A105" s="207">
        <f t="shared" si="0"/>
        <v>102</v>
      </c>
      <c r="B105" s="209"/>
      <c r="C105" s="346">
        <v>46161</v>
      </c>
      <c r="D105" s="209" t="s">
        <v>34</v>
      </c>
      <c r="E105" s="209" t="s">
        <v>13</v>
      </c>
      <c r="F105" s="209" t="s">
        <v>18</v>
      </c>
      <c r="G105" s="209" t="s">
        <v>139</v>
      </c>
      <c r="H105" s="209" t="s">
        <v>140</v>
      </c>
      <c r="I105" s="209" t="s">
        <v>141</v>
      </c>
      <c r="J105" s="209" t="s">
        <v>71</v>
      </c>
      <c r="K105" s="154">
        <v>42600</v>
      </c>
      <c r="L105" s="154">
        <v>18940</v>
      </c>
      <c r="M105" s="154"/>
      <c r="N105" s="344">
        <f t="shared" si="4"/>
        <v>23660</v>
      </c>
      <c r="O105" s="350"/>
    </row>
    <row r="106" spans="1:15" ht="16.5" customHeight="1" x14ac:dyDescent="0.25">
      <c r="A106" s="207">
        <f t="shared" si="0"/>
        <v>103</v>
      </c>
      <c r="B106" s="209"/>
      <c r="C106" s="346">
        <v>46161</v>
      </c>
      <c r="D106" s="209" t="s">
        <v>34</v>
      </c>
      <c r="E106" s="209" t="s">
        <v>13</v>
      </c>
      <c r="F106" s="209" t="s">
        <v>18</v>
      </c>
      <c r="G106" s="209" t="s">
        <v>324</v>
      </c>
      <c r="H106" s="209"/>
      <c r="I106" s="209"/>
      <c r="J106" s="209" t="s">
        <v>71</v>
      </c>
      <c r="K106" s="154">
        <v>42620</v>
      </c>
      <c r="L106" s="154">
        <v>18760</v>
      </c>
      <c r="M106" s="154"/>
      <c r="N106" s="344">
        <f t="shared" si="4"/>
        <v>23860</v>
      </c>
      <c r="O106" s="350"/>
    </row>
    <row r="107" spans="1:15" ht="16.5" customHeight="1" x14ac:dyDescent="0.25">
      <c r="A107" s="207">
        <f t="shared" si="0"/>
        <v>104</v>
      </c>
      <c r="B107" s="209"/>
      <c r="C107" s="346">
        <v>46161</v>
      </c>
      <c r="D107" s="209" t="s">
        <v>34</v>
      </c>
      <c r="E107" s="209" t="s">
        <v>13</v>
      </c>
      <c r="F107" s="209" t="s">
        <v>18</v>
      </c>
      <c r="G107" s="209" t="s">
        <v>331</v>
      </c>
      <c r="H107" s="209"/>
      <c r="I107" s="209"/>
      <c r="J107" s="209" t="s">
        <v>20</v>
      </c>
      <c r="K107" s="154">
        <v>43100</v>
      </c>
      <c r="L107" s="154">
        <v>18860</v>
      </c>
      <c r="M107" s="154"/>
      <c r="N107" s="344">
        <f t="shared" si="4"/>
        <v>24240</v>
      </c>
      <c r="O107" s="350"/>
    </row>
    <row r="108" spans="1:15" ht="16.5" customHeight="1" x14ac:dyDescent="0.25">
      <c r="A108" s="207">
        <f t="shared" si="0"/>
        <v>105</v>
      </c>
      <c r="B108" s="209"/>
      <c r="C108" s="346">
        <v>46161</v>
      </c>
      <c r="D108" s="209" t="s">
        <v>34</v>
      </c>
      <c r="E108" s="209" t="s">
        <v>13</v>
      </c>
      <c r="F108" s="209" t="s">
        <v>18</v>
      </c>
      <c r="G108" s="209" t="s">
        <v>142</v>
      </c>
      <c r="H108" s="209" t="s">
        <v>143</v>
      </c>
      <c r="I108" s="209" t="s">
        <v>144</v>
      </c>
      <c r="J108" s="209" t="s">
        <v>71</v>
      </c>
      <c r="K108" s="154">
        <v>42520</v>
      </c>
      <c r="L108" s="154">
        <v>18800</v>
      </c>
      <c r="M108" s="154"/>
      <c r="N108" s="344">
        <f t="shared" si="4"/>
        <v>23720</v>
      </c>
      <c r="O108" s="350"/>
    </row>
    <row r="109" spans="1:15" ht="16.5" customHeight="1" x14ac:dyDescent="0.25">
      <c r="A109" s="207">
        <f t="shared" si="0"/>
        <v>106</v>
      </c>
      <c r="B109" s="209"/>
      <c r="C109" s="346">
        <v>46161</v>
      </c>
      <c r="D109" s="209" t="s">
        <v>34</v>
      </c>
      <c r="E109" s="209" t="s">
        <v>13</v>
      </c>
      <c r="F109" s="209" t="s">
        <v>44</v>
      </c>
      <c r="G109" s="209" t="s">
        <v>377</v>
      </c>
      <c r="H109" s="209"/>
      <c r="I109" s="209"/>
      <c r="J109" s="209" t="s">
        <v>48</v>
      </c>
      <c r="K109" s="154">
        <v>20920</v>
      </c>
      <c r="L109" s="154">
        <v>14820</v>
      </c>
      <c r="M109" s="154"/>
      <c r="N109" s="344">
        <f t="shared" si="4"/>
        <v>6100</v>
      </c>
      <c r="O109" s="350"/>
    </row>
    <row r="110" spans="1:15" ht="16.5" customHeight="1" x14ac:dyDescent="0.25">
      <c r="A110" s="207">
        <f t="shared" si="0"/>
        <v>107</v>
      </c>
      <c r="B110" s="209"/>
      <c r="C110" s="346">
        <v>46161</v>
      </c>
      <c r="D110" s="209" t="s">
        <v>34</v>
      </c>
      <c r="E110" s="209" t="s">
        <v>378</v>
      </c>
      <c r="F110" s="209" t="s">
        <v>164</v>
      </c>
      <c r="G110" s="209" t="s">
        <v>379</v>
      </c>
      <c r="H110" s="209"/>
      <c r="I110" s="209"/>
      <c r="J110" s="209" t="s">
        <v>380</v>
      </c>
      <c r="K110" s="154">
        <v>8000</v>
      </c>
      <c r="L110" s="154">
        <v>3940</v>
      </c>
      <c r="M110" s="154"/>
      <c r="N110" s="344">
        <f t="shared" si="4"/>
        <v>4060</v>
      </c>
      <c r="O110" s="350" t="s">
        <v>385</v>
      </c>
    </row>
    <row r="111" spans="1:15" ht="16.5" customHeight="1" x14ac:dyDescent="0.25">
      <c r="A111" s="207">
        <f t="shared" si="0"/>
        <v>108</v>
      </c>
      <c r="B111" s="209"/>
      <c r="C111" s="346">
        <v>46161</v>
      </c>
      <c r="D111" s="209" t="s">
        <v>34</v>
      </c>
      <c r="E111" s="209" t="s">
        <v>378</v>
      </c>
      <c r="F111" s="209" t="s">
        <v>44</v>
      </c>
      <c r="G111" s="209" t="s">
        <v>381</v>
      </c>
      <c r="H111" s="209"/>
      <c r="I111" s="209"/>
      <c r="J111" s="209" t="s">
        <v>380</v>
      </c>
      <c r="K111" s="154">
        <v>37620</v>
      </c>
      <c r="L111" s="154">
        <v>15660</v>
      </c>
      <c r="M111" s="154"/>
      <c r="N111" s="344">
        <f t="shared" si="4"/>
        <v>21960</v>
      </c>
      <c r="O111" s="350" t="s">
        <v>385</v>
      </c>
    </row>
    <row r="112" spans="1:15" ht="16.5" customHeight="1" x14ac:dyDescent="0.25">
      <c r="A112" s="207">
        <f t="shared" si="0"/>
        <v>109</v>
      </c>
      <c r="B112" s="209"/>
      <c r="C112" s="346">
        <v>46161</v>
      </c>
      <c r="D112" s="209" t="s">
        <v>34</v>
      </c>
      <c r="E112" s="209" t="s">
        <v>378</v>
      </c>
      <c r="F112" s="209" t="s">
        <v>164</v>
      </c>
      <c r="G112" s="209" t="s">
        <v>382</v>
      </c>
      <c r="H112" s="209"/>
      <c r="I112" s="209"/>
      <c r="J112" s="209" t="s">
        <v>380</v>
      </c>
      <c r="K112" s="154">
        <v>8920</v>
      </c>
      <c r="L112" s="154">
        <v>4360</v>
      </c>
      <c r="M112" s="154"/>
      <c r="N112" s="344">
        <f t="shared" si="4"/>
        <v>4560</v>
      </c>
      <c r="O112" s="350" t="s">
        <v>385</v>
      </c>
    </row>
    <row r="113" spans="1:15" ht="16.5" customHeight="1" x14ac:dyDescent="0.25">
      <c r="A113" s="207">
        <f t="shared" si="0"/>
        <v>110</v>
      </c>
      <c r="B113" s="209"/>
      <c r="C113" s="346">
        <v>46161</v>
      </c>
      <c r="D113" s="209" t="s">
        <v>34</v>
      </c>
      <c r="E113" s="209" t="s">
        <v>378</v>
      </c>
      <c r="F113" s="209" t="s">
        <v>164</v>
      </c>
      <c r="G113" s="209" t="s">
        <v>383</v>
      </c>
      <c r="H113" s="209"/>
      <c r="I113" s="209"/>
      <c r="J113" s="209" t="s">
        <v>380</v>
      </c>
      <c r="K113" s="154">
        <v>3800</v>
      </c>
      <c r="L113" s="154">
        <v>2180</v>
      </c>
      <c r="M113" s="154"/>
      <c r="N113" s="344">
        <f t="shared" si="4"/>
        <v>1620</v>
      </c>
      <c r="O113" s="350" t="s">
        <v>385</v>
      </c>
    </row>
    <row r="114" spans="1:15" ht="16.5" customHeight="1" x14ac:dyDescent="0.25">
      <c r="A114" s="202">
        <f t="shared" si="0"/>
        <v>111</v>
      </c>
      <c r="B114" s="205"/>
      <c r="C114" s="345">
        <v>46161</v>
      </c>
      <c r="D114" s="205" t="s">
        <v>34</v>
      </c>
      <c r="E114" s="205" t="s">
        <v>378</v>
      </c>
      <c r="F114" s="205" t="s">
        <v>44</v>
      </c>
      <c r="G114" s="205" t="s">
        <v>384</v>
      </c>
      <c r="H114" s="205"/>
      <c r="I114" s="205"/>
      <c r="J114" s="205" t="s">
        <v>380</v>
      </c>
      <c r="K114" s="157">
        <v>19360</v>
      </c>
      <c r="L114" s="157">
        <v>7440</v>
      </c>
      <c r="M114" s="157"/>
      <c r="N114" s="157">
        <f t="shared" si="4"/>
        <v>11920</v>
      </c>
      <c r="O114" s="351" t="s">
        <v>385</v>
      </c>
    </row>
    <row r="115" spans="1:15" ht="16.5" customHeight="1" x14ac:dyDescent="0.25">
      <c r="A115" s="197">
        <f t="shared" si="0"/>
        <v>112</v>
      </c>
      <c r="B115" s="200"/>
      <c r="C115" s="199">
        <v>46162</v>
      </c>
      <c r="D115" s="200" t="s">
        <v>85</v>
      </c>
      <c r="E115" s="200" t="s">
        <v>13</v>
      </c>
      <c r="F115" s="200" t="s">
        <v>14</v>
      </c>
      <c r="G115" s="200" t="s">
        <v>40</v>
      </c>
      <c r="H115" s="200" t="s">
        <v>41</v>
      </c>
      <c r="I115" s="200" t="s">
        <v>24</v>
      </c>
      <c r="J115" s="201" t="s">
        <v>387</v>
      </c>
      <c r="K115" s="152">
        <v>20150</v>
      </c>
      <c r="L115" s="152">
        <v>14090</v>
      </c>
      <c r="M115" s="152"/>
      <c r="N115" s="153">
        <f t="shared" si="4"/>
        <v>6060</v>
      </c>
      <c r="O115" s="225" t="s">
        <v>386</v>
      </c>
    </row>
    <row r="116" spans="1:15" ht="16.5" customHeight="1" x14ac:dyDescent="0.25">
      <c r="A116" s="207">
        <f t="shared" si="0"/>
        <v>113</v>
      </c>
      <c r="B116" s="209"/>
      <c r="C116" s="348">
        <v>46162</v>
      </c>
      <c r="D116" s="200" t="s">
        <v>34</v>
      </c>
      <c r="E116" s="200" t="s">
        <v>13</v>
      </c>
      <c r="F116" s="200" t="s">
        <v>18</v>
      </c>
      <c r="G116" s="200" t="s">
        <v>249</v>
      </c>
      <c r="H116" s="200"/>
      <c r="I116" s="200"/>
      <c r="J116" s="200" t="s">
        <v>71</v>
      </c>
      <c r="K116" s="152">
        <v>43540</v>
      </c>
      <c r="L116" s="152">
        <v>18520</v>
      </c>
      <c r="M116" s="152"/>
      <c r="N116" s="290">
        <f t="shared" si="4"/>
        <v>25020</v>
      </c>
      <c r="O116" s="349"/>
    </row>
    <row r="117" spans="1:15" ht="16.5" customHeight="1" x14ac:dyDescent="0.25">
      <c r="A117" s="207">
        <f t="shared" si="0"/>
        <v>114</v>
      </c>
      <c r="B117" s="209"/>
      <c r="C117" s="346">
        <v>46162</v>
      </c>
      <c r="D117" s="209" t="s">
        <v>34</v>
      </c>
      <c r="E117" s="209" t="s">
        <v>13</v>
      </c>
      <c r="F117" s="209" t="s">
        <v>18</v>
      </c>
      <c r="G117" s="209" t="s">
        <v>388</v>
      </c>
      <c r="H117" s="209" t="s">
        <v>389</v>
      </c>
      <c r="I117" s="209" t="s">
        <v>390</v>
      </c>
      <c r="J117" s="209" t="s">
        <v>20</v>
      </c>
      <c r="K117" s="154">
        <v>41460</v>
      </c>
      <c r="L117" s="154">
        <v>18400</v>
      </c>
      <c r="M117" s="154"/>
      <c r="N117" s="344">
        <f t="shared" si="4"/>
        <v>23060</v>
      </c>
      <c r="O117" s="350"/>
    </row>
    <row r="118" spans="1:15" ht="16.5" customHeight="1" x14ac:dyDescent="0.25">
      <c r="A118" s="207">
        <f t="shared" si="0"/>
        <v>115</v>
      </c>
      <c r="B118" s="209"/>
      <c r="C118" s="346">
        <v>46162</v>
      </c>
      <c r="D118" s="209" t="s">
        <v>34</v>
      </c>
      <c r="E118" s="209" t="s">
        <v>13</v>
      </c>
      <c r="F118" s="209" t="s">
        <v>18</v>
      </c>
      <c r="G118" s="209" t="s">
        <v>252</v>
      </c>
      <c r="H118" s="209"/>
      <c r="I118" s="209"/>
      <c r="J118" s="209" t="s">
        <v>20</v>
      </c>
      <c r="K118" s="154">
        <v>43180</v>
      </c>
      <c r="L118" s="154">
        <v>18100</v>
      </c>
      <c r="M118" s="154"/>
      <c r="N118" s="344">
        <f t="shared" si="4"/>
        <v>25080</v>
      </c>
      <c r="O118" s="350"/>
    </row>
    <row r="119" spans="1:15" ht="16.5" customHeight="1" x14ac:dyDescent="0.25">
      <c r="A119" s="207">
        <f t="shared" si="0"/>
        <v>116</v>
      </c>
      <c r="B119" s="209"/>
      <c r="C119" s="346">
        <v>46162</v>
      </c>
      <c r="D119" s="343" t="s">
        <v>34</v>
      </c>
      <c r="E119" s="343" t="s">
        <v>25</v>
      </c>
      <c r="F119" s="343" t="s">
        <v>44</v>
      </c>
      <c r="G119" s="343" t="s">
        <v>391</v>
      </c>
      <c r="H119" s="343" t="s">
        <v>392</v>
      </c>
      <c r="I119" s="343" t="s">
        <v>393</v>
      </c>
      <c r="J119" s="343" t="s">
        <v>78</v>
      </c>
      <c r="K119" s="344">
        <v>11560</v>
      </c>
      <c r="L119" s="344">
        <v>8640</v>
      </c>
      <c r="M119" s="344"/>
      <c r="N119" s="344">
        <f t="shared" si="4"/>
        <v>2920</v>
      </c>
      <c r="O119" s="352" t="s">
        <v>394</v>
      </c>
    </row>
    <row r="120" spans="1:15" ht="16.5" customHeight="1" x14ac:dyDescent="0.25">
      <c r="A120" s="207">
        <f t="shared" si="0"/>
        <v>117</v>
      </c>
      <c r="B120" s="209"/>
      <c r="C120" s="346">
        <v>46162</v>
      </c>
      <c r="D120" s="209" t="s">
        <v>34</v>
      </c>
      <c r="E120" s="209" t="s">
        <v>25</v>
      </c>
      <c r="F120" s="209" t="s">
        <v>44</v>
      </c>
      <c r="G120" s="209" t="s">
        <v>391</v>
      </c>
      <c r="H120" s="209" t="s">
        <v>392</v>
      </c>
      <c r="I120" s="209" t="s">
        <v>393</v>
      </c>
      <c r="J120" s="209" t="s">
        <v>42</v>
      </c>
      <c r="K120" s="154">
        <v>200</v>
      </c>
      <c r="L120" s="154"/>
      <c r="M120" s="154"/>
      <c r="N120" s="344">
        <f t="shared" si="4"/>
        <v>200</v>
      </c>
      <c r="O120" s="350" t="s">
        <v>395</v>
      </c>
    </row>
    <row r="121" spans="1:15" ht="16.5" customHeight="1" x14ac:dyDescent="0.25">
      <c r="A121" s="202">
        <f t="shared" si="0"/>
        <v>118</v>
      </c>
      <c r="B121" s="205"/>
      <c r="C121" s="345">
        <v>46162</v>
      </c>
      <c r="D121" s="205" t="s">
        <v>34</v>
      </c>
      <c r="E121" s="205" t="s">
        <v>25</v>
      </c>
      <c r="F121" s="205" t="s">
        <v>44</v>
      </c>
      <c r="G121" s="205" t="s">
        <v>391</v>
      </c>
      <c r="H121" s="205" t="s">
        <v>392</v>
      </c>
      <c r="I121" s="205" t="s">
        <v>393</v>
      </c>
      <c r="J121" s="205" t="s">
        <v>54</v>
      </c>
      <c r="K121" s="157">
        <v>12850</v>
      </c>
      <c r="L121" s="157">
        <v>11610</v>
      </c>
      <c r="M121" s="157">
        <v>500</v>
      </c>
      <c r="N121" s="157">
        <f t="shared" si="4"/>
        <v>740</v>
      </c>
      <c r="O121" s="351" t="s">
        <v>396</v>
      </c>
    </row>
    <row r="122" spans="1:15" ht="16.5" customHeight="1" x14ac:dyDescent="0.25">
      <c r="A122" s="207">
        <f t="shared" si="0"/>
        <v>119</v>
      </c>
      <c r="B122" s="209"/>
      <c r="C122" s="208">
        <v>46163</v>
      </c>
      <c r="D122" s="209" t="s">
        <v>184</v>
      </c>
      <c r="E122" s="209" t="s">
        <v>25</v>
      </c>
      <c r="F122" s="209"/>
      <c r="G122" s="209"/>
      <c r="H122" s="209"/>
      <c r="I122" s="209"/>
      <c r="J122" s="210" t="s">
        <v>42</v>
      </c>
      <c r="K122" s="154">
        <v>11710</v>
      </c>
      <c r="L122" s="154">
        <v>11590</v>
      </c>
      <c r="M122" s="154">
        <v>12</v>
      </c>
      <c r="N122" s="155">
        <f t="shared" si="4"/>
        <v>108</v>
      </c>
      <c r="O122" s="211" t="s">
        <v>401</v>
      </c>
    </row>
    <row r="123" spans="1:15" ht="16.5" customHeight="1" x14ac:dyDescent="0.25">
      <c r="A123" s="197">
        <f t="shared" si="0"/>
        <v>120</v>
      </c>
      <c r="B123" s="200"/>
      <c r="C123" s="348">
        <v>46163</v>
      </c>
      <c r="D123" s="200" t="s">
        <v>34</v>
      </c>
      <c r="E123" s="200" t="s">
        <v>25</v>
      </c>
      <c r="F123" s="200" t="s">
        <v>26</v>
      </c>
      <c r="G123" s="200" t="s">
        <v>62</v>
      </c>
      <c r="H123" s="200" t="s">
        <v>28</v>
      </c>
      <c r="I123" s="200" t="s">
        <v>63</v>
      </c>
      <c r="J123" s="200" t="s">
        <v>30</v>
      </c>
      <c r="K123" s="152">
        <v>12370</v>
      </c>
      <c r="L123" s="152">
        <v>10100</v>
      </c>
      <c r="M123" s="152"/>
      <c r="N123" s="290">
        <f>K123-L123-M123</f>
        <v>2270</v>
      </c>
      <c r="O123" s="349" t="s">
        <v>400</v>
      </c>
    </row>
    <row r="124" spans="1:15" ht="16.5" customHeight="1" x14ac:dyDescent="0.25">
      <c r="A124" s="207">
        <f t="shared" si="0"/>
        <v>121</v>
      </c>
      <c r="B124" s="209"/>
      <c r="C124" s="346">
        <v>46163</v>
      </c>
      <c r="D124" s="343" t="s">
        <v>34</v>
      </c>
      <c r="E124" s="343" t="s">
        <v>378</v>
      </c>
      <c r="F124" s="343" t="s">
        <v>164</v>
      </c>
      <c r="G124" s="343" t="s">
        <v>383</v>
      </c>
      <c r="H124" s="343"/>
      <c r="I124" s="343"/>
      <c r="J124" s="343" t="s">
        <v>380</v>
      </c>
      <c r="K124" s="344">
        <v>4440</v>
      </c>
      <c r="L124" s="344">
        <v>2180</v>
      </c>
      <c r="M124" s="344"/>
      <c r="N124" s="344">
        <f t="shared" ref="N124:N128" si="5">K124-L124-M124</f>
        <v>2260</v>
      </c>
      <c r="O124" s="211"/>
    </row>
    <row r="125" spans="1:15" ht="16.5" customHeight="1" x14ac:dyDescent="0.25">
      <c r="A125" s="207">
        <f t="shared" si="0"/>
        <v>122</v>
      </c>
      <c r="B125" s="209"/>
      <c r="C125" s="346">
        <v>46163</v>
      </c>
      <c r="D125" s="209" t="s">
        <v>34</v>
      </c>
      <c r="E125" s="209" t="s">
        <v>378</v>
      </c>
      <c r="F125" s="209" t="s">
        <v>44</v>
      </c>
      <c r="G125" s="209" t="s">
        <v>382</v>
      </c>
      <c r="H125" s="209"/>
      <c r="I125" s="209"/>
      <c r="J125" s="209" t="s">
        <v>380</v>
      </c>
      <c r="K125" s="154">
        <v>9820</v>
      </c>
      <c r="L125" s="154">
        <v>4260</v>
      </c>
      <c r="M125" s="154"/>
      <c r="N125" s="344">
        <f t="shared" si="5"/>
        <v>5560</v>
      </c>
      <c r="O125" s="211"/>
    </row>
    <row r="126" spans="1:15" ht="16.5" customHeight="1" x14ac:dyDescent="0.25">
      <c r="A126" s="207">
        <f t="shared" si="0"/>
        <v>123</v>
      </c>
      <c r="B126" s="209"/>
      <c r="C126" s="346">
        <v>46163</v>
      </c>
      <c r="D126" s="209" t="s">
        <v>34</v>
      </c>
      <c r="E126" s="209" t="s">
        <v>378</v>
      </c>
      <c r="F126" s="209" t="s">
        <v>44</v>
      </c>
      <c r="G126" s="209" t="s">
        <v>379</v>
      </c>
      <c r="H126" s="209"/>
      <c r="I126" s="209"/>
      <c r="J126" s="209" t="s">
        <v>380</v>
      </c>
      <c r="K126" s="154">
        <v>8440</v>
      </c>
      <c r="L126" s="154">
        <v>3960</v>
      </c>
      <c r="M126" s="154"/>
      <c r="N126" s="344">
        <f t="shared" si="5"/>
        <v>4480</v>
      </c>
      <c r="O126" s="211"/>
    </row>
    <row r="127" spans="1:15" ht="16.5" customHeight="1" x14ac:dyDescent="0.25">
      <c r="A127" s="207">
        <f t="shared" si="0"/>
        <v>124</v>
      </c>
      <c r="B127" s="209"/>
      <c r="C127" s="346">
        <v>46163</v>
      </c>
      <c r="D127" s="209" t="s">
        <v>34</v>
      </c>
      <c r="E127" s="209" t="s">
        <v>13</v>
      </c>
      <c r="F127" s="209" t="s">
        <v>18</v>
      </c>
      <c r="G127" s="209" t="s">
        <v>35</v>
      </c>
      <c r="H127" s="209" t="s">
        <v>36</v>
      </c>
      <c r="I127" s="209" t="s">
        <v>108</v>
      </c>
      <c r="J127" s="209" t="s">
        <v>54</v>
      </c>
      <c r="K127" s="154">
        <v>43480</v>
      </c>
      <c r="L127" s="154">
        <v>18940</v>
      </c>
      <c r="M127" s="154"/>
      <c r="N127" s="344">
        <f t="shared" si="5"/>
        <v>24540</v>
      </c>
      <c r="O127" s="211"/>
    </row>
    <row r="128" spans="1:15" ht="16.5" customHeight="1" x14ac:dyDescent="0.25">
      <c r="A128" s="202">
        <f t="shared" si="0"/>
        <v>125</v>
      </c>
      <c r="B128" s="205"/>
      <c r="C128" s="345">
        <v>46163</v>
      </c>
      <c r="D128" s="205" t="s">
        <v>34</v>
      </c>
      <c r="E128" s="205" t="s">
        <v>13</v>
      </c>
      <c r="F128" s="205" t="s">
        <v>18</v>
      </c>
      <c r="G128" s="205" t="s">
        <v>45</v>
      </c>
      <c r="H128" s="205" t="s">
        <v>46</v>
      </c>
      <c r="I128" s="205" t="s">
        <v>47</v>
      </c>
      <c r="J128" s="205" t="s">
        <v>20</v>
      </c>
      <c r="K128" s="157">
        <v>42260</v>
      </c>
      <c r="L128" s="157">
        <v>19340</v>
      </c>
      <c r="M128" s="157"/>
      <c r="N128" s="157">
        <f t="shared" si="5"/>
        <v>22920</v>
      </c>
      <c r="O128" s="212"/>
    </row>
    <row r="129" spans="1:15" ht="16.5" customHeight="1" x14ac:dyDescent="0.25">
      <c r="A129" s="197">
        <f t="shared" si="0"/>
        <v>126</v>
      </c>
      <c r="B129" s="200"/>
      <c r="C129" s="199">
        <v>46164</v>
      </c>
      <c r="D129" s="200" t="s">
        <v>34</v>
      </c>
      <c r="E129" s="200" t="s">
        <v>59</v>
      </c>
      <c r="F129" s="200" t="s">
        <v>67</v>
      </c>
      <c r="G129" s="200" t="s">
        <v>68</v>
      </c>
      <c r="H129" s="200"/>
      <c r="I129" s="200"/>
      <c r="J129" s="201" t="s">
        <v>83</v>
      </c>
      <c r="K129" s="152">
        <v>33160</v>
      </c>
      <c r="L129" s="152">
        <v>20720</v>
      </c>
      <c r="M129" s="152">
        <v>9</v>
      </c>
      <c r="N129" s="153">
        <f>K129-L129-M129</f>
        <v>12431</v>
      </c>
      <c r="O129" s="225" t="s">
        <v>406</v>
      </c>
    </row>
    <row r="130" spans="1:15" ht="16.5" customHeight="1" x14ac:dyDescent="0.25">
      <c r="A130" s="207">
        <f t="shared" si="0"/>
        <v>127</v>
      </c>
      <c r="B130" s="209"/>
      <c r="C130" s="208">
        <v>46164</v>
      </c>
      <c r="D130" s="209" t="s">
        <v>34</v>
      </c>
      <c r="E130" s="209" t="s">
        <v>13</v>
      </c>
      <c r="F130" s="209" t="s">
        <v>18</v>
      </c>
      <c r="G130" s="209" t="s">
        <v>407</v>
      </c>
      <c r="H130" s="209" t="s">
        <v>408</v>
      </c>
      <c r="I130" s="209" t="s">
        <v>409</v>
      </c>
      <c r="J130" s="210" t="s">
        <v>20</v>
      </c>
      <c r="K130" s="154">
        <v>42920</v>
      </c>
      <c r="L130" s="154">
        <v>18420</v>
      </c>
      <c r="M130" s="154"/>
      <c r="N130" s="155">
        <f>K130-L130</f>
        <v>24500</v>
      </c>
      <c r="O130" s="211"/>
    </row>
    <row r="131" spans="1:15" ht="16.5" customHeight="1" x14ac:dyDescent="0.25">
      <c r="A131" s="207">
        <f t="shared" si="0"/>
        <v>128</v>
      </c>
      <c r="B131" s="209"/>
      <c r="C131" s="208">
        <v>46164</v>
      </c>
      <c r="D131" s="209" t="s">
        <v>34</v>
      </c>
      <c r="E131" s="209" t="s">
        <v>13</v>
      </c>
      <c r="F131" s="209" t="s">
        <v>18</v>
      </c>
      <c r="G131" s="209" t="s">
        <v>35</v>
      </c>
      <c r="H131" s="209" t="s">
        <v>36</v>
      </c>
      <c r="I131" s="209" t="s">
        <v>108</v>
      </c>
      <c r="J131" s="210" t="s">
        <v>54</v>
      </c>
      <c r="K131" s="154">
        <v>43460</v>
      </c>
      <c r="L131" s="154">
        <v>18960</v>
      </c>
      <c r="M131" s="154"/>
      <c r="N131" s="155">
        <f>K131-L131</f>
        <v>24500</v>
      </c>
      <c r="O131" s="211"/>
    </row>
    <row r="132" spans="1:15" ht="16.5" customHeight="1" x14ac:dyDescent="0.25">
      <c r="A132" s="202">
        <f t="shared" si="0"/>
        <v>129</v>
      </c>
      <c r="B132" s="205"/>
      <c r="C132" s="204">
        <v>46164</v>
      </c>
      <c r="D132" s="205" t="s">
        <v>198</v>
      </c>
      <c r="E132" s="205" t="s">
        <v>13</v>
      </c>
      <c r="F132" s="205" t="s">
        <v>224</v>
      </c>
      <c r="G132" s="205" t="s">
        <v>40</v>
      </c>
      <c r="H132" s="205" t="s">
        <v>41</v>
      </c>
      <c r="I132" s="205" t="s">
        <v>24</v>
      </c>
      <c r="J132" s="206" t="s">
        <v>37</v>
      </c>
      <c r="K132" s="157">
        <v>19430</v>
      </c>
      <c r="L132" s="157">
        <v>14210</v>
      </c>
      <c r="M132" s="157"/>
      <c r="N132" s="162">
        <f>K132-L132</f>
        <v>5220</v>
      </c>
      <c r="O132" s="360" t="s">
        <v>410</v>
      </c>
    </row>
    <row r="133" spans="1:15" ht="16.5" customHeight="1" x14ac:dyDescent="0.25">
      <c r="A133" s="197">
        <f t="shared" si="0"/>
        <v>130</v>
      </c>
      <c r="B133" s="200"/>
      <c r="C133" s="199">
        <v>46168</v>
      </c>
      <c r="D133" s="200" t="s">
        <v>85</v>
      </c>
      <c r="E133" s="200" t="s">
        <v>25</v>
      </c>
      <c r="F133" s="200" t="s">
        <v>14</v>
      </c>
      <c r="G133" s="200" t="s">
        <v>15</v>
      </c>
      <c r="H133" s="200" t="s">
        <v>41</v>
      </c>
      <c r="I133" s="200" t="s">
        <v>24</v>
      </c>
      <c r="J133" s="201" t="s">
        <v>43</v>
      </c>
      <c r="K133" s="152">
        <v>15080</v>
      </c>
      <c r="L133" s="152">
        <v>13600</v>
      </c>
      <c r="M133" s="152"/>
      <c r="N133" s="153">
        <f>K133-L133</f>
        <v>1480</v>
      </c>
      <c r="O133" s="225" t="s">
        <v>414</v>
      </c>
    </row>
    <row r="134" spans="1:15" ht="16.5" customHeight="1" x14ac:dyDescent="0.25">
      <c r="A134" s="207">
        <f t="shared" si="0"/>
        <v>131</v>
      </c>
      <c r="B134" s="209"/>
      <c r="C134" s="208">
        <v>46168</v>
      </c>
      <c r="D134" s="209" t="s">
        <v>198</v>
      </c>
      <c r="E134" s="209" t="s">
        <v>25</v>
      </c>
      <c r="F134" s="209" t="s">
        <v>164</v>
      </c>
      <c r="G134" s="209" t="s">
        <v>417</v>
      </c>
      <c r="H134" s="209" t="s">
        <v>419</v>
      </c>
      <c r="I134" s="209"/>
      <c r="J134" s="209" t="s">
        <v>57</v>
      </c>
      <c r="K134" s="210">
        <v>3420</v>
      </c>
      <c r="L134" s="154">
        <v>2350</v>
      </c>
      <c r="M134" s="154"/>
      <c r="N134" s="154">
        <v>1070</v>
      </c>
      <c r="O134" s="363" t="s">
        <v>419</v>
      </c>
    </row>
    <row r="135" spans="1:15" ht="16.5" customHeight="1" x14ac:dyDescent="0.25">
      <c r="A135" s="207">
        <f t="shared" si="0"/>
        <v>132</v>
      </c>
      <c r="B135" s="209"/>
      <c r="C135" s="208">
        <v>46168</v>
      </c>
      <c r="D135" s="209" t="s">
        <v>198</v>
      </c>
      <c r="E135" s="209" t="s">
        <v>25</v>
      </c>
      <c r="F135" s="209" t="s">
        <v>164</v>
      </c>
      <c r="G135" s="209" t="s">
        <v>417</v>
      </c>
      <c r="H135" s="209" t="s">
        <v>419</v>
      </c>
      <c r="I135" s="209"/>
      <c r="J135" s="209" t="s">
        <v>423</v>
      </c>
      <c r="K135" s="210">
        <v>2350</v>
      </c>
      <c r="L135" s="154">
        <v>2290</v>
      </c>
      <c r="M135" s="154"/>
      <c r="N135" s="154">
        <v>60</v>
      </c>
      <c r="O135" s="363" t="s">
        <v>419</v>
      </c>
    </row>
    <row r="136" spans="1:15" ht="16.5" customHeight="1" x14ac:dyDescent="0.25">
      <c r="A136" s="202">
        <f t="shared" si="0"/>
        <v>133</v>
      </c>
      <c r="B136" s="205"/>
      <c r="C136" s="204">
        <v>46168</v>
      </c>
      <c r="D136" s="205" t="s">
        <v>198</v>
      </c>
      <c r="E136" s="205" t="s">
        <v>25</v>
      </c>
      <c r="F136" s="205" t="s">
        <v>164</v>
      </c>
      <c r="G136" s="205" t="s">
        <v>417</v>
      </c>
      <c r="H136" s="205" t="s">
        <v>419</v>
      </c>
      <c r="I136" s="205"/>
      <c r="J136" s="205" t="s">
        <v>43</v>
      </c>
      <c r="K136" s="206">
        <v>2290</v>
      </c>
      <c r="L136" s="157">
        <v>2060</v>
      </c>
      <c r="M136" s="157"/>
      <c r="N136" s="157">
        <v>230</v>
      </c>
      <c r="O136" s="364" t="s">
        <v>419</v>
      </c>
    </row>
    <row r="137" spans="1:15" ht="16.5" customHeight="1" x14ac:dyDescent="0.25">
      <c r="A137" s="237">
        <f t="shared" si="0"/>
        <v>134</v>
      </c>
      <c r="B137" s="239"/>
      <c r="C137" s="375">
        <v>46169</v>
      </c>
      <c r="D137" s="239" t="s">
        <v>34</v>
      </c>
      <c r="E137" s="239" t="s">
        <v>225</v>
      </c>
      <c r="F137" s="239" t="s">
        <v>425</v>
      </c>
      <c r="G137" s="239" t="s">
        <v>426</v>
      </c>
      <c r="H137" s="239"/>
      <c r="I137" s="239"/>
      <c r="J137" s="239" t="s">
        <v>30</v>
      </c>
      <c r="K137" s="241">
        <v>20680</v>
      </c>
      <c r="L137" s="241">
        <v>11740</v>
      </c>
      <c r="M137" s="241">
        <f>1040*3</f>
        <v>3120</v>
      </c>
      <c r="N137" s="241">
        <f>K137-L137-M137</f>
        <v>5820</v>
      </c>
      <c r="O137" s="243" t="s">
        <v>427</v>
      </c>
    </row>
    <row r="138" spans="1:15" ht="16.5" customHeight="1" x14ac:dyDescent="0.25">
      <c r="A138" s="376">
        <f t="shared" si="0"/>
        <v>135</v>
      </c>
      <c r="B138" s="200"/>
      <c r="C138" s="287">
        <v>46170</v>
      </c>
      <c r="D138" s="288" t="s">
        <v>184</v>
      </c>
      <c r="E138" s="288" t="s">
        <v>13</v>
      </c>
      <c r="F138" s="288" t="s">
        <v>18</v>
      </c>
      <c r="G138" s="288" t="s">
        <v>428</v>
      </c>
      <c r="H138" s="288"/>
      <c r="I138" s="288"/>
      <c r="J138" s="289" t="s">
        <v>182</v>
      </c>
      <c r="K138" s="290">
        <v>37650</v>
      </c>
      <c r="L138" s="290">
        <v>18760</v>
      </c>
      <c r="M138" s="290"/>
      <c r="N138" s="153">
        <f t="shared" ref="N138:N144" si="6">K138-L138-M138</f>
        <v>18890</v>
      </c>
      <c r="O138" s="377" t="s">
        <v>429</v>
      </c>
    </row>
    <row r="139" spans="1:15" ht="16.5" customHeight="1" x14ac:dyDescent="0.25">
      <c r="A139" s="378">
        <f t="shared" si="0"/>
        <v>136</v>
      </c>
      <c r="B139" s="209"/>
      <c r="C139" s="379">
        <v>46170</v>
      </c>
      <c r="D139" s="343" t="s">
        <v>184</v>
      </c>
      <c r="E139" s="343" t="s">
        <v>13</v>
      </c>
      <c r="F139" s="343" t="s">
        <v>18</v>
      </c>
      <c r="G139" s="343" t="s">
        <v>105</v>
      </c>
      <c r="H139" s="343" t="s">
        <v>106</v>
      </c>
      <c r="I139" s="343" t="s">
        <v>107</v>
      </c>
      <c r="J139" s="380" t="s">
        <v>187</v>
      </c>
      <c r="K139" s="344">
        <v>30830</v>
      </c>
      <c r="L139" s="344">
        <v>17780</v>
      </c>
      <c r="M139" s="344"/>
      <c r="N139" s="155">
        <f t="shared" si="6"/>
        <v>13050</v>
      </c>
      <c r="O139" s="381" t="s">
        <v>429</v>
      </c>
    </row>
    <row r="140" spans="1:15" ht="16.5" customHeight="1" x14ac:dyDescent="0.25">
      <c r="A140" s="378">
        <f t="shared" si="0"/>
        <v>137</v>
      </c>
      <c r="B140" s="209"/>
      <c r="C140" s="379">
        <v>46170</v>
      </c>
      <c r="D140" s="343" t="s">
        <v>184</v>
      </c>
      <c r="E140" s="343" t="s">
        <v>13</v>
      </c>
      <c r="F140" s="343" t="s">
        <v>18</v>
      </c>
      <c r="G140" s="343" t="s">
        <v>430</v>
      </c>
      <c r="H140" s="343" t="s">
        <v>431</v>
      </c>
      <c r="I140" s="343" t="s">
        <v>432</v>
      </c>
      <c r="J140" s="380" t="s">
        <v>187</v>
      </c>
      <c r="K140" s="344">
        <v>28620</v>
      </c>
      <c r="L140" s="344">
        <v>18050</v>
      </c>
      <c r="M140" s="344"/>
      <c r="N140" s="155">
        <f t="shared" si="6"/>
        <v>10570</v>
      </c>
      <c r="O140" s="381" t="s">
        <v>434</v>
      </c>
    </row>
    <row r="141" spans="1:15" ht="16.5" customHeight="1" x14ac:dyDescent="0.25">
      <c r="A141" s="378">
        <f t="shared" si="0"/>
        <v>138</v>
      </c>
      <c r="B141" s="209"/>
      <c r="C141" s="379">
        <v>46170</v>
      </c>
      <c r="D141" s="343" t="s">
        <v>184</v>
      </c>
      <c r="E141" s="343" t="s">
        <v>13</v>
      </c>
      <c r="F141" s="343" t="s">
        <v>18</v>
      </c>
      <c r="G141" s="343" t="s">
        <v>35</v>
      </c>
      <c r="H141" s="343" t="s">
        <v>36</v>
      </c>
      <c r="I141" s="343" t="s">
        <v>108</v>
      </c>
      <c r="J141" s="380" t="s">
        <v>187</v>
      </c>
      <c r="K141" s="344">
        <v>30820</v>
      </c>
      <c r="L141" s="344">
        <v>18780</v>
      </c>
      <c r="M141" s="344"/>
      <c r="N141" s="155">
        <f t="shared" si="6"/>
        <v>12040</v>
      </c>
      <c r="O141" s="381" t="s">
        <v>429</v>
      </c>
    </row>
    <row r="142" spans="1:15" ht="16.5" customHeight="1" x14ac:dyDescent="0.25">
      <c r="A142" s="378">
        <f t="shared" si="0"/>
        <v>139</v>
      </c>
      <c r="B142" s="209"/>
      <c r="C142" s="379">
        <v>46170</v>
      </c>
      <c r="D142" s="343" t="s">
        <v>184</v>
      </c>
      <c r="E142" s="343" t="s">
        <v>13</v>
      </c>
      <c r="F142" s="343" t="s">
        <v>18</v>
      </c>
      <c r="G142" s="343" t="s">
        <v>51</v>
      </c>
      <c r="H142" s="343" t="s">
        <v>52</v>
      </c>
      <c r="I142" s="343" t="s">
        <v>100</v>
      </c>
      <c r="J142" s="380" t="s">
        <v>187</v>
      </c>
      <c r="K142" s="344">
        <v>29070</v>
      </c>
      <c r="L142" s="344">
        <v>18800</v>
      </c>
      <c r="M142" s="344"/>
      <c r="N142" s="155">
        <f t="shared" si="6"/>
        <v>10270</v>
      </c>
      <c r="O142" s="381" t="s">
        <v>429</v>
      </c>
    </row>
    <row r="143" spans="1:15" ht="16.5" customHeight="1" x14ac:dyDescent="0.25">
      <c r="A143" s="378">
        <f t="shared" si="0"/>
        <v>140</v>
      </c>
      <c r="B143" s="209"/>
      <c r="C143" s="379">
        <v>46170</v>
      </c>
      <c r="D143" s="343" t="s">
        <v>184</v>
      </c>
      <c r="E143" s="343" t="s">
        <v>13</v>
      </c>
      <c r="F143" s="343" t="s">
        <v>14</v>
      </c>
      <c r="G143" s="343" t="s">
        <v>40</v>
      </c>
      <c r="H143" s="343" t="s">
        <v>41</v>
      </c>
      <c r="I143" s="343" t="s">
        <v>24</v>
      </c>
      <c r="J143" s="380" t="s">
        <v>37</v>
      </c>
      <c r="K143" s="344">
        <v>16320</v>
      </c>
      <c r="L143" s="344">
        <v>13960</v>
      </c>
      <c r="M143" s="344"/>
      <c r="N143" s="155">
        <f t="shared" si="6"/>
        <v>2360</v>
      </c>
      <c r="O143" s="381" t="s">
        <v>145</v>
      </c>
    </row>
    <row r="144" spans="1:15" ht="16.5" customHeight="1" x14ac:dyDescent="0.25">
      <c r="A144" s="202">
        <f t="shared" si="0"/>
        <v>141</v>
      </c>
      <c r="B144" s="205"/>
      <c r="C144" s="204">
        <v>46170</v>
      </c>
      <c r="D144" s="205" t="s">
        <v>184</v>
      </c>
      <c r="E144" s="205" t="s">
        <v>25</v>
      </c>
      <c r="F144" s="205" t="s">
        <v>14</v>
      </c>
      <c r="G144" s="205" t="s">
        <v>22</v>
      </c>
      <c r="H144" s="205" t="s">
        <v>23</v>
      </c>
      <c r="I144" s="205" t="s">
        <v>17</v>
      </c>
      <c r="J144" s="206" t="s">
        <v>135</v>
      </c>
      <c r="K144" s="157">
        <v>22640</v>
      </c>
      <c r="L144" s="157">
        <v>21350</v>
      </c>
      <c r="M144" s="157"/>
      <c r="N144" s="162">
        <f t="shared" si="6"/>
        <v>1290</v>
      </c>
      <c r="O144" s="212" t="s">
        <v>433</v>
      </c>
    </row>
    <row r="145" spans="1:16" ht="16.5" customHeight="1" x14ac:dyDescent="0.25">
      <c r="A145" s="376">
        <f t="shared" si="0"/>
        <v>142</v>
      </c>
      <c r="B145" s="200"/>
      <c r="C145" s="287">
        <v>46171</v>
      </c>
      <c r="D145" s="288" t="s">
        <v>184</v>
      </c>
      <c r="E145" s="288" t="s">
        <v>256</v>
      </c>
      <c r="F145" s="288" t="s">
        <v>14</v>
      </c>
      <c r="G145" s="288" t="s">
        <v>40</v>
      </c>
      <c r="H145" s="288" t="s">
        <v>41</v>
      </c>
      <c r="I145" s="288" t="s">
        <v>24</v>
      </c>
      <c r="J145" s="289" t="s">
        <v>37</v>
      </c>
      <c r="K145" s="290">
        <v>17950</v>
      </c>
      <c r="L145" s="290">
        <v>15020</v>
      </c>
      <c r="M145" s="290"/>
      <c r="N145" s="291">
        <f>K145-L145</f>
        <v>2930</v>
      </c>
      <c r="O145" s="377" t="s">
        <v>440</v>
      </c>
    </row>
    <row r="146" spans="1:16" ht="16.5" customHeight="1" x14ac:dyDescent="0.25">
      <c r="A146" s="202">
        <f t="shared" si="0"/>
        <v>143</v>
      </c>
      <c r="B146" s="205"/>
      <c r="C146" s="204">
        <v>46171</v>
      </c>
      <c r="D146" s="205" t="s">
        <v>184</v>
      </c>
      <c r="E146" s="205" t="s">
        <v>225</v>
      </c>
      <c r="F146" s="205" t="s">
        <v>14</v>
      </c>
      <c r="G146" s="205" t="s">
        <v>40</v>
      </c>
      <c r="H146" s="205" t="s">
        <v>41</v>
      </c>
      <c r="I146" s="205" t="s">
        <v>24</v>
      </c>
      <c r="J146" s="206" t="s">
        <v>227</v>
      </c>
      <c r="K146" s="157">
        <v>15020</v>
      </c>
      <c r="L146" s="157">
        <v>14400</v>
      </c>
      <c r="M146" s="157"/>
      <c r="N146" s="162">
        <f>K146-L146</f>
        <v>620</v>
      </c>
      <c r="O146" s="212"/>
    </row>
    <row r="147" spans="1:16" ht="16.5" customHeight="1" x14ac:dyDescent="0.25">
      <c r="A147" s="250">
        <f t="shared" si="0"/>
        <v>144</v>
      </c>
      <c r="B147" s="252"/>
      <c r="C147" s="251">
        <v>46174</v>
      </c>
      <c r="D147" s="252" t="s">
        <v>184</v>
      </c>
      <c r="E147" s="252" t="s">
        <v>13</v>
      </c>
      <c r="F147" s="252" t="s">
        <v>18</v>
      </c>
      <c r="G147" s="252" t="s">
        <v>441</v>
      </c>
      <c r="H147" s="252" t="s">
        <v>442</v>
      </c>
      <c r="I147" s="252" t="s">
        <v>443</v>
      </c>
      <c r="J147" s="253" t="s">
        <v>182</v>
      </c>
      <c r="K147" s="254">
        <v>36790</v>
      </c>
      <c r="L147" s="254">
        <v>18510</v>
      </c>
      <c r="M147" s="254"/>
      <c r="N147" s="255">
        <f>K147-L147</f>
        <v>18280</v>
      </c>
      <c r="O147" s="256"/>
    </row>
    <row r="148" spans="1:16" ht="16.5" customHeight="1" x14ac:dyDescent="0.25">
      <c r="A148" s="207">
        <f t="shared" si="0"/>
        <v>145</v>
      </c>
      <c r="B148" s="209"/>
      <c r="C148" s="208">
        <v>46174</v>
      </c>
      <c r="D148" s="209" t="s">
        <v>184</v>
      </c>
      <c r="E148" s="209" t="s">
        <v>13</v>
      </c>
      <c r="F148" s="209" t="s">
        <v>18</v>
      </c>
      <c r="G148" s="209" t="s">
        <v>441</v>
      </c>
      <c r="H148" s="209" t="s">
        <v>442</v>
      </c>
      <c r="I148" s="209" t="s">
        <v>443</v>
      </c>
      <c r="J148" s="210" t="s">
        <v>20</v>
      </c>
      <c r="K148" s="154">
        <v>36360</v>
      </c>
      <c r="L148" s="154">
        <v>18770</v>
      </c>
      <c r="M148" s="154"/>
      <c r="N148" s="155">
        <f t="shared" ref="N148:N149" si="7">K148-L148</f>
        <v>17590</v>
      </c>
      <c r="O148" s="211"/>
    </row>
    <row r="149" spans="1:16" ht="16.5" customHeight="1" thickBot="1" x14ac:dyDescent="0.3">
      <c r="A149" s="202">
        <f t="shared" si="0"/>
        <v>146</v>
      </c>
      <c r="B149" s="205"/>
      <c r="C149" s="204">
        <v>46174</v>
      </c>
      <c r="D149" s="205" t="s">
        <v>184</v>
      </c>
      <c r="E149" s="205" t="s">
        <v>13</v>
      </c>
      <c r="F149" s="205" t="s">
        <v>14</v>
      </c>
      <c r="G149" s="205" t="s">
        <v>22</v>
      </c>
      <c r="H149" s="205" t="s">
        <v>23</v>
      </c>
      <c r="I149" s="205" t="s">
        <v>70</v>
      </c>
      <c r="J149" s="206" t="s">
        <v>37</v>
      </c>
      <c r="K149" s="157">
        <v>24620</v>
      </c>
      <c r="L149" s="157">
        <v>21220</v>
      </c>
      <c r="M149" s="157"/>
      <c r="N149" s="162">
        <f t="shared" si="7"/>
        <v>3400</v>
      </c>
      <c r="O149" s="212" t="s">
        <v>444</v>
      </c>
    </row>
    <row r="150" spans="1:16" ht="16.5" customHeight="1" thickBot="1" x14ac:dyDescent="0.3">
      <c r="A150" s="159"/>
      <c r="B150" s="437"/>
      <c r="C150" s="160"/>
      <c r="D150" s="160"/>
      <c r="E150" s="160"/>
      <c r="F150" s="160"/>
      <c r="G150" s="160"/>
      <c r="H150" s="160" t="s">
        <v>587</v>
      </c>
      <c r="I150" s="160"/>
      <c r="J150" s="160"/>
      <c r="K150" s="160"/>
      <c r="L150" s="160"/>
      <c r="M150" s="161"/>
      <c r="N150" s="81"/>
      <c r="O150" s="82"/>
      <c r="P150" s="195">
        <f>SUM(N4:N149)</f>
        <v>1916089</v>
      </c>
    </row>
    <row r="151" spans="1:16" ht="16.5" customHeight="1" x14ac:dyDescent="0.25">
      <c r="A151" s="376">
        <f t="shared" si="0"/>
        <v>148</v>
      </c>
      <c r="B151" s="200"/>
      <c r="C151" s="199">
        <v>46175</v>
      </c>
      <c r="D151" s="200" t="s">
        <v>449</v>
      </c>
      <c r="E151" s="200" t="s">
        <v>25</v>
      </c>
      <c r="F151" s="200" t="s">
        <v>447</v>
      </c>
      <c r="G151" s="200" t="s">
        <v>448</v>
      </c>
      <c r="H151" s="200"/>
      <c r="I151" s="200"/>
      <c r="J151" s="201" t="s">
        <v>53</v>
      </c>
      <c r="K151" s="152">
        <v>15400</v>
      </c>
      <c r="L151" s="152">
        <v>9900</v>
      </c>
      <c r="M151" s="152"/>
      <c r="N151" s="153">
        <f t="shared" ref="N151:N159" si="8">K151-L151-M151</f>
        <v>5500</v>
      </c>
      <c r="O151" s="225" t="s">
        <v>456</v>
      </c>
    </row>
    <row r="152" spans="1:16" ht="16.5" customHeight="1" x14ac:dyDescent="0.25">
      <c r="A152" s="378">
        <f t="shared" si="0"/>
        <v>149</v>
      </c>
      <c r="B152" s="209"/>
      <c r="C152" s="208">
        <v>46175</v>
      </c>
      <c r="D152" s="209" t="s">
        <v>449</v>
      </c>
      <c r="E152" s="209" t="s">
        <v>25</v>
      </c>
      <c r="F152" s="209" t="s">
        <v>447</v>
      </c>
      <c r="G152" s="209" t="s">
        <v>450</v>
      </c>
      <c r="H152" s="209"/>
      <c r="I152" s="209"/>
      <c r="J152" s="210" t="s">
        <v>53</v>
      </c>
      <c r="K152" s="154">
        <v>14580</v>
      </c>
      <c r="L152" s="154">
        <v>9800</v>
      </c>
      <c r="M152" s="154"/>
      <c r="N152" s="155">
        <f t="shared" si="8"/>
        <v>4780</v>
      </c>
      <c r="O152" s="226" t="s">
        <v>457</v>
      </c>
    </row>
    <row r="153" spans="1:16" ht="16.5" customHeight="1" x14ac:dyDescent="0.25">
      <c r="A153" s="378">
        <f t="shared" si="0"/>
        <v>150</v>
      </c>
      <c r="B153" s="209"/>
      <c r="C153" s="208">
        <v>46175</v>
      </c>
      <c r="D153" s="209" t="s">
        <v>449</v>
      </c>
      <c r="E153" s="209" t="s">
        <v>25</v>
      </c>
      <c r="F153" s="209" t="s">
        <v>447</v>
      </c>
      <c r="G153" s="209" t="s">
        <v>451</v>
      </c>
      <c r="H153" s="209"/>
      <c r="I153" s="209"/>
      <c r="J153" s="210" t="s">
        <v>53</v>
      </c>
      <c r="K153" s="154">
        <v>14470</v>
      </c>
      <c r="L153" s="154">
        <v>9230</v>
      </c>
      <c r="M153" s="154"/>
      <c r="N153" s="155">
        <f t="shared" si="8"/>
        <v>5240</v>
      </c>
      <c r="O153" s="211" t="s">
        <v>458</v>
      </c>
    </row>
    <row r="154" spans="1:16" ht="16.5" customHeight="1" x14ac:dyDescent="0.25">
      <c r="A154" s="378">
        <f t="shared" si="0"/>
        <v>151</v>
      </c>
      <c r="B154" s="209"/>
      <c r="C154" s="208">
        <v>46175</v>
      </c>
      <c r="D154" s="209" t="s">
        <v>449</v>
      </c>
      <c r="E154" s="209" t="s">
        <v>25</v>
      </c>
      <c r="F154" s="209" t="s">
        <v>44</v>
      </c>
      <c r="G154" s="209" t="s">
        <v>452</v>
      </c>
      <c r="H154" s="209"/>
      <c r="I154" s="209"/>
      <c r="J154" s="210" t="s">
        <v>53</v>
      </c>
      <c r="K154" s="154">
        <v>12100</v>
      </c>
      <c r="L154" s="154">
        <v>8120</v>
      </c>
      <c r="M154" s="154"/>
      <c r="N154" s="155">
        <f t="shared" si="8"/>
        <v>3980</v>
      </c>
      <c r="O154" s="211" t="s">
        <v>454</v>
      </c>
    </row>
    <row r="155" spans="1:16" ht="16.5" customHeight="1" x14ac:dyDescent="0.25">
      <c r="A155" s="202">
        <f t="shared" si="0"/>
        <v>152</v>
      </c>
      <c r="B155" s="205"/>
      <c r="C155" s="204">
        <v>46175</v>
      </c>
      <c r="D155" s="205" t="s">
        <v>449</v>
      </c>
      <c r="E155" s="205" t="s">
        <v>25</v>
      </c>
      <c r="F155" s="205" t="s">
        <v>447</v>
      </c>
      <c r="G155" s="205" t="s">
        <v>453</v>
      </c>
      <c r="H155" s="205"/>
      <c r="I155" s="205"/>
      <c r="J155" s="206" t="s">
        <v>53</v>
      </c>
      <c r="K155" s="157">
        <v>15170</v>
      </c>
      <c r="L155" s="157">
        <v>9950</v>
      </c>
      <c r="M155" s="157"/>
      <c r="N155" s="162">
        <f t="shared" si="8"/>
        <v>5220</v>
      </c>
      <c r="O155" s="212" t="s">
        <v>455</v>
      </c>
    </row>
    <row r="156" spans="1:16" ht="16.5" customHeight="1" x14ac:dyDescent="0.25">
      <c r="A156" s="376">
        <f t="shared" si="0"/>
        <v>153</v>
      </c>
      <c r="B156" s="200"/>
      <c r="C156" s="199">
        <v>46177</v>
      </c>
      <c r="D156" s="200" t="s">
        <v>449</v>
      </c>
      <c r="E156" s="200" t="s">
        <v>25</v>
      </c>
      <c r="F156" s="200" t="s">
        <v>447</v>
      </c>
      <c r="G156" s="200" t="s">
        <v>464</v>
      </c>
      <c r="H156" s="200"/>
      <c r="I156" s="200"/>
      <c r="J156" s="201" t="s">
        <v>53</v>
      </c>
      <c r="K156" s="152">
        <v>18780</v>
      </c>
      <c r="L156" s="152">
        <v>13350</v>
      </c>
      <c r="M156" s="152"/>
      <c r="N156" s="153">
        <f t="shared" si="8"/>
        <v>5430</v>
      </c>
      <c r="O156" s="225" t="s">
        <v>455</v>
      </c>
    </row>
    <row r="157" spans="1:16" ht="16.5" customHeight="1" x14ac:dyDescent="0.25">
      <c r="A157" s="378">
        <f t="shared" si="0"/>
        <v>154</v>
      </c>
      <c r="B157" s="209"/>
      <c r="C157" s="208">
        <v>46177</v>
      </c>
      <c r="D157" s="209" t="s">
        <v>449</v>
      </c>
      <c r="E157" s="209" t="s">
        <v>25</v>
      </c>
      <c r="F157" s="209" t="s">
        <v>447</v>
      </c>
      <c r="G157" s="209" t="s">
        <v>465</v>
      </c>
      <c r="H157" s="209"/>
      <c r="I157" s="209"/>
      <c r="J157" s="210" t="s">
        <v>53</v>
      </c>
      <c r="K157" s="154">
        <v>18050</v>
      </c>
      <c r="L157" s="154">
        <v>12210</v>
      </c>
      <c r="M157" s="154"/>
      <c r="N157" s="155">
        <f t="shared" si="8"/>
        <v>5840</v>
      </c>
      <c r="O157" s="211" t="s">
        <v>470</v>
      </c>
    </row>
    <row r="158" spans="1:16" ht="16.5" customHeight="1" x14ac:dyDescent="0.25">
      <c r="A158" s="378">
        <f t="shared" si="0"/>
        <v>155</v>
      </c>
      <c r="B158" s="209"/>
      <c r="C158" s="208">
        <v>46177</v>
      </c>
      <c r="D158" s="209" t="s">
        <v>449</v>
      </c>
      <c r="E158" s="209" t="s">
        <v>25</v>
      </c>
      <c r="F158" s="209" t="s">
        <v>44</v>
      </c>
      <c r="G158" s="209" t="s">
        <v>466</v>
      </c>
      <c r="H158" s="209" t="s">
        <v>467</v>
      </c>
      <c r="I158" s="209" t="s">
        <v>468</v>
      </c>
      <c r="J158" s="210" t="s">
        <v>53</v>
      </c>
      <c r="K158" s="154">
        <v>12180</v>
      </c>
      <c r="L158" s="154">
        <v>9030</v>
      </c>
      <c r="M158" s="154"/>
      <c r="N158" s="155">
        <f t="shared" si="8"/>
        <v>3150</v>
      </c>
      <c r="O158" s="211" t="s">
        <v>471</v>
      </c>
    </row>
    <row r="159" spans="1:16" ht="16.5" customHeight="1" x14ac:dyDescent="0.25">
      <c r="A159" s="378">
        <f t="shared" si="0"/>
        <v>156</v>
      </c>
      <c r="B159" s="209"/>
      <c r="C159" s="208">
        <v>46177</v>
      </c>
      <c r="D159" s="209" t="s">
        <v>449</v>
      </c>
      <c r="E159" s="209" t="s">
        <v>25</v>
      </c>
      <c r="F159" s="209" t="s">
        <v>44</v>
      </c>
      <c r="G159" s="209" t="s">
        <v>469</v>
      </c>
      <c r="H159" s="209"/>
      <c r="I159" s="209"/>
      <c r="J159" s="210" t="s">
        <v>53</v>
      </c>
      <c r="K159" s="154">
        <v>10270</v>
      </c>
      <c r="L159" s="154">
        <v>8570</v>
      </c>
      <c r="M159" s="154"/>
      <c r="N159" s="155">
        <f t="shared" si="8"/>
        <v>1700</v>
      </c>
      <c r="O159" s="211" t="s">
        <v>472</v>
      </c>
    </row>
    <row r="160" spans="1:16" ht="16.5" customHeight="1" x14ac:dyDescent="0.25">
      <c r="A160" s="207">
        <f t="shared" si="0"/>
        <v>157</v>
      </c>
      <c r="B160" s="209"/>
      <c r="C160" s="208">
        <v>46177</v>
      </c>
      <c r="D160" s="209" t="s">
        <v>184</v>
      </c>
      <c r="E160" s="209" t="s">
        <v>13</v>
      </c>
      <c r="F160" s="209" t="s">
        <v>18</v>
      </c>
      <c r="G160" s="209" t="s">
        <v>45</v>
      </c>
      <c r="H160" s="209" t="s">
        <v>46</v>
      </c>
      <c r="I160" s="209" t="s">
        <v>47</v>
      </c>
      <c r="J160" s="210" t="s">
        <v>182</v>
      </c>
      <c r="K160" s="154">
        <v>39780</v>
      </c>
      <c r="L160" s="154">
        <v>18570</v>
      </c>
      <c r="M160" s="154"/>
      <c r="N160" s="155">
        <f t="shared" ref="N160" si="9">K160-L160</f>
        <v>21210</v>
      </c>
      <c r="O160" s="211" t="s">
        <v>473</v>
      </c>
    </row>
    <row r="161" spans="1:15" ht="16.5" customHeight="1" x14ac:dyDescent="0.25">
      <c r="A161" s="207">
        <f t="shared" si="0"/>
        <v>158</v>
      </c>
      <c r="B161" s="209"/>
      <c r="C161" s="208">
        <v>46177</v>
      </c>
      <c r="D161" s="209" t="s">
        <v>184</v>
      </c>
      <c r="E161" s="209" t="s">
        <v>163</v>
      </c>
      <c r="F161" s="209" t="s">
        <v>14</v>
      </c>
      <c r="G161" s="209" t="s">
        <v>22</v>
      </c>
      <c r="H161" s="209" t="s">
        <v>23</v>
      </c>
      <c r="I161" s="209" t="s">
        <v>29</v>
      </c>
      <c r="J161" s="210" t="s">
        <v>33</v>
      </c>
      <c r="K161" s="154">
        <v>26580</v>
      </c>
      <c r="L161" s="154">
        <v>21100</v>
      </c>
      <c r="M161" s="154"/>
      <c r="N161" s="155">
        <v>5240</v>
      </c>
      <c r="O161" s="211" t="s">
        <v>474</v>
      </c>
    </row>
    <row r="162" spans="1:15" ht="16.5" customHeight="1" x14ac:dyDescent="0.25">
      <c r="A162" s="202">
        <f t="shared" si="0"/>
        <v>159</v>
      </c>
      <c r="B162" s="205"/>
      <c r="C162" s="204">
        <v>46177</v>
      </c>
      <c r="D162" s="205" t="s">
        <v>184</v>
      </c>
      <c r="E162" s="205" t="s">
        <v>25</v>
      </c>
      <c r="F162" s="205" t="s">
        <v>14</v>
      </c>
      <c r="G162" s="205" t="s">
        <v>22</v>
      </c>
      <c r="H162" s="205" t="s">
        <v>23</v>
      </c>
      <c r="I162" s="205" t="s">
        <v>29</v>
      </c>
      <c r="J162" s="206" t="s">
        <v>152</v>
      </c>
      <c r="K162" s="157"/>
      <c r="L162" s="157"/>
      <c r="M162" s="157"/>
      <c r="N162" s="162">
        <v>240</v>
      </c>
      <c r="O162" s="285" t="s">
        <v>475</v>
      </c>
    </row>
    <row r="163" spans="1:15" ht="16.5" customHeight="1" x14ac:dyDescent="0.25">
      <c r="A163" s="376">
        <f t="shared" si="0"/>
        <v>160</v>
      </c>
      <c r="B163" s="200"/>
      <c r="C163" s="199">
        <v>46178</v>
      </c>
      <c r="D163" s="200" t="s">
        <v>449</v>
      </c>
      <c r="E163" s="200" t="s">
        <v>25</v>
      </c>
      <c r="F163" s="200" t="s">
        <v>447</v>
      </c>
      <c r="G163" s="200" t="s">
        <v>498</v>
      </c>
      <c r="H163" s="200" t="s">
        <v>499</v>
      </c>
      <c r="I163" s="200" t="s">
        <v>500</v>
      </c>
      <c r="J163" s="201" t="s">
        <v>53</v>
      </c>
      <c r="K163" s="152">
        <v>18660</v>
      </c>
      <c r="L163" s="152">
        <v>11720</v>
      </c>
      <c r="M163" s="152"/>
      <c r="N163" s="153">
        <f t="shared" ref="N163:N169" si="10">K163-L163-M163</f>
        <v>6940</v>
      </c>
      <c r="O163" s="225" t="s">
        <v>510</v>
      </c>
    </row>
    <row r="164" spans="1:15" ht="16.5" customHeight="1" x14ac:dyDescent="0.25">
      <c r="A164" s="378">
        <f t="shared" si="0"/>
        <v>161</v>
      </c>
      <c r="B164" s="209"/>
      <c r="C164" s="208">
        <v>46178</v>
      </c>
      <c r="D164" s="209" t="s">
        <v>449</v>
      </c>
      <c r="E164" s="209" t="s">
        <v>25</v>
      </c>
      <c r="F164" s="209" t="s">
        <v>447</v>
      </c>
      <c r="G164" s="209" t="s">
        <v>450</v>
      </c>
      <c r="H164" s="209" t="s">
        <v>478</v>
      </c>
      <c r="I164" s="209" t="s">
        <v>480</v>
      </c>
      <c r="J164" s="210" t="s">
        <v>53</v>
      </c>
      <c r="K164" s="154">
        <v>15210</v>
      </c>
      <c r="L164" s="154">
        <v>9770</v>
      </c>
      <c r="M164" s="154"/>
      <c r="N164" s="155">
        <f t="shared" si="10"/>
        <v>5440</v>
      </c>
      <c r="O164" s="211" t="s">
        <v>471</v>
      </c>
    </row>
    <row r="165" spans="1:15" ht="16.5" customHeight="1" x14ac:dyDescent="0.25">
      <c r="A165" s="378">
        <f t="shared" si="0"/>
        <v>162</v>
      </c>
      <c r="B165" s="209"/>
      <c r="C165" s="208">
        <v>46178</v>
      </c>
      <c r="D165" s="209" t="s">
        <v>449</v>
      </c>
      <c r="E165" s="209" t="s">
        <v>25</v>
      </c>
      <c r="F165" s="209" t="s">
        <v>447</v>
      </c>
      <c r="G165" s="209" t="s">
        <v>501</v>
      </c>
      <c r="H165" s="209" t="s">
        <v>502</v>
      </c>
      <c r="I165" s="209" t="s">
        <v>503</v>
      </c>
      <c r="J165" s="210" t="s">
        <v>53</v>
      </c>
      <c r="K165" s="154">
        <v>15610</v>
      </c>
      <c r="L165" s="154">
        <v>9580</v>
      </c>
      <c r="M165" s="154"/>
      <c r="N165" s="155">
        <f t="shared" si="10"/>
        <v>6030</v>
      </c>
      <c r="O165" s="211" t="s">
        <v>510</v>
      </c>
    </row>
    <row r="166" spans="1:15" ht="16.5" customHeight="1" x14ac:dyDescent="0.25">
      <c r="A166" s="378">
        <f t="shared" si="0"/>
        <v>163</v>
      </c>
      <c r="B166" s="209"/>
      <c r="C166" s="208">
        <v>46178</v>
      </c>
      <c r="D166" s="209" t="s">
        <v>449</v>
      </c>
      <c r="E166" s="209" t="s">
        <v>25</v>
      </c>
      <c r="F166" s="209" t="s">
        <v>447</v>
      </c>
      <c r="G166" s="209" t="s">
        <v>504</v>
      </c>
      <c r="H166" s="209" t="s">
        <v>505</v>
      </c>
      <c r="I166" s="209" t="s">
        <v>506</v>
      </c>
      <c r="J166" s="210" t="s">
        <v>53</v>
      </c>
      <c r="K166" s="154">
        <v>19870</v>
      </c>
      <c r="L166" s="154">
        <v>13510</v>
      </c>
      <c r="M166" s="154"/>
      <c r="N166" s="155">
        <f t="shared" si="10"/>
        <v>6360</v>
      </c>
      <c r="O166" s="211" t="s">
        <v>511</v>
      </c>
    </row>
    <row r="167" spans="1:15" ht="16.5" customHeight="1" x14ac:dyDescent="0.25">
      <c r="A167" s="378">
        <f t="shared" si="0"/>
        <v>164</v>
      </c>
      <c r="B167" s="209"/>
      <c r="C167" s="208">
        <v>46178</v>
      </c>
      <c r="D167" s="209" t="s">
        <v>449</v>
      </c>
      <c r="E167" s="209" t="s">
        <v>25</v>
      </c>
      <c r="F167" s="209" t="s">
        <v>447</v>
      </c>
      <c r="G167" s="209" t="s">
        <v>507</v>
      </c>
      <c r="H167" s="209" t="s">
        <v>508</v>
      </c>
      <c r="I167" s="209" t="s">
        <v>509</v>
      </c>
      <c r="J167" s="210" t="s">
        <v>53</v>
      </c>
      <c r="K167" s="154">
        <v>15650</v>
      </c>
      <c r="L167" s="154">
        <v>10230</v>
      </c>
      <c r="M167" s="154"/>
      <c r="N167" s="155">
        <f t="shared" si="10"/>
        <v>5420</v>
      </c>
      <c r="O167" s="211" t="s">
        <v>512</v>
      </c>
    </row>
    <row r="168" spans="1:15" ht="16.5" customHeight="1" x14ac:dyDescent="0.25">
      <c r="A168" s="378">
        <f t="shared" si="0"/>
        <v>165</v>
      </c>
      <c r="B168" s="209"/>
      <c r="C168" s="208">
        <v>46178</v>
      </c>
      <c r="D168" s="209" t="s">
        <v>449</v>
      </c>
      <c r="E168" s="209" t="s">
        <v>25</v>
      </c>
      <c r="F168" s="209" t="s">
        <v>44</v>
      </c>
      <c r="G168" s="209" t="s">
        <v>466</v>
      </c>
      <c r="H168" s="209" t="s">
        <v>467</v>
      </c>
      <c r="I168" s="209" t="s">
        <v>468</v>
      </c>
      <c r="J168" s="210" t="s">
        <v>53</v>
      </c>
      <c r="K168" s="154">
        <v>13540</v>
      </c>
      <c r="L168" s="154">
        <v>9010</v>
      </c>
      <c r="M168" s="154"/>
      <c r="N168" s="155">
        <f t="shared" si="10"/>
        <v>4530</v>
      </c>
      <c r="O168" s="211" t="s">
        <v>513</v>
      </c>
    </row>
    <row r="169" spans="1:15" ht="16.5" customHeight="1" x14ac:dyDescent="0.25">
      <c r="A169" s="202">
        <f t="shared" si="0"/>
        <v>166</v>
      </c>
      <c r="B169" s="205"/>
      <c r="C169" s="204">
        <v>46178</v>
      </c>
      <c r="D169" s="205" t="s">
        <v>449</v>
      </c>
      <c r="E169" s="205" t="s">
        <v>25</v>
      </c>
      <c r="F169" s="205" t="s">
        <v>44</v>
      </c>
      <c r="G169" s="205" t="s">
        <v>452</v>
      </c>
      <c r="H169" s="205" t="s">
        <v>484</v>
      </c>
      <c r="I169" s="205" t="s">
        <v>488</v>
      </c>
      <c r="J169" s="206" t="s">
        <v>53</v>
      </c>
      <c r="K169" s="157">
        <v>11500</v>
      </c>
      <c r="L169" s="157">
        <v>8080</v>
      </c>
      <c r="M169" s="157"/>
      <c r="N169" s="162">
        <f t="shared" si="10"/>
        <v>3420</v>
      </c>
      <c r="O169" s="212" t="s">
        <v>454</v>
      </c>
    </row>
    <row r="170" spans="1:15" ht="16.5" customHeight="1" x14ac:dyDescent="0.25">
      <c r="A170" s="376">
        <f t="shared" si="0"/>
        <v>167</v>
      </c>
      <c r="B170" s="200"/>
      <c r="C170" s="287">
        <v>46181</v>
      </c>
      <c r="D170" s="288" t="s">
        <v>198</v>
      </c>
      <c r="E170" s="288" t="s">
        <v>25</v>
      </c>
      <c r="F170" s="288" t="s">
        <v>522</v>
      </c>
      <c r="G170" s="288" t="s">
        <v>524</v>
      </c>
      <c r="H170" s="288"/>
      <c r="I170" s="288" t="s">
        <v>14</v>
      </c>
      <c r="J170" s="288" t="s">
        <v>586</v>
      </c>
      <c r="K170" s="291">
        <v>15310</v>
      </c>
      <c r="L170" s="290">
        <v>13980</v>
      </c>
      <c r="M170" s="290">
        <v>24</v>
      </c>
      <c r="N170" s="290">
        <v>1306</v>
      </c>
      <c r="O170" s="408" t="s">
        <v>530</v>
      </c>
    </row>
    <row r="171" spans="1:15" ht="16.5" customHeight="1" x14ac:dyDescent="0.25">
      <c r="A171" s="378">
        <f t="shared" si="0"/>
        <v>168</v>
      </c>
      <c r="B171" s="209"/>
      <c r="C171" s="208">
        <v>46181</v>
      </c>
      <c r="D171" s="209" t="s">
        <v>198</v>
      </c>
      <c r="E171" s="209" t="s">
        <v>25</v>
      </c>
      <c r="F171" s="209" t="s">
        <v>522</v>
      </c>
      <c r="G171" s="209" t="s">
        <v>524</v>
      </c>
      <c r="H171" s="209"/>
      <c r="I171" s="209" t="s">
        <v>14</v>
      </c>
      <c r="J171" s="209" t="s">
        <v>528</v>
      </c>
      <c r="K171" s="155">
        <v>13980</v>
      </c>
      <c r="L171" s="154">
        <v>12580</v>
      </c>
      <c r="M171" s="154">
        <v>8</v>
      </c>
      <c r="N171" s="154">
        <v>1392</v>
      </c>
      <c r="O171" s="363" t="s">
        <v>532</v>
      </c>
    </row>
    <row r="172" spans="1:15" ht="16.5" customHeight="1" x14ac:dyDescent="0.25">
      <c r="A172" s="378">
        <f t="shared" si="0"/>
        <v>169</v>
      </c>
      <c r="B172" s="209"/>
      <c r="C172" s="199">
        <v>46181</v>
      </c>
      <c r="D172" s="200" t="s">
        <v>449</v>
      </c>
      <c r="E172" s="200" t="s">
        <v>25</v>
      </c>
      <c r="F172" s="200" t="s">
        <v>447</v>
      </c>
      <c r="G172" s="200" t="s">
        <v>534</v>
      </c>
      <c r="H172" s="200" t="s">
        <v>535</v>
      </c>
      <c r="I172" s="200" t="s">
        <v>536</v>
      </c>
      <c r="J172" s="201" t="s">
        <v>53</v>
      </c>
      <c r="K172" s="152">
        <v>17950</v>
      </c>
      <c r="L172" s="152">
        <v>11040</v>
      </c>
      <c r="M172" s="152"/>
      <c r="N172" s="153">
        <f t="shared" ref="N172:N178" si="11">K172-L172-M172</f>
        <v>6910</v>
      </c>
      <c r="O172" s="225" t="s">
        <v>455</v>
      </c>
    </row>
    <row r="173" spans="1:15" ht="16.5" customHeight="1" x14ac:dyDescent="0.25">
      <c r="A173" s="378">
        <f t="shared" si="0"/>
        <v>170</v>
      </c>
      <c r="B173" s="209"/>
      <c r="C173" s="208">
        <v>46181</v>
      </c>
      <c r="D173" s="209" t="s">
        <v>449</v>
      </c>
      <c r="E173" s="209" t="s">
        <v>25</v>
      </c>
      <c r="F173" s="209" t="s">
        <v>447</v>
      </c>
      <c r="G173" s="209" t="s">
        <v>537</v>
      </c>
      <c r="H173" s="209" t="s">
        <v>538</v>
      </c>
      <c r="I173" s="209" t="s">
        <v>539</v>
      </c>
      <c r="J173" s="210" t="s">
        <v>53</v>
      </c>
      <c r="K173" s="154">
        <v>15750</v>
      </c>
      <c r="L173" s="154">
        <v>10750</v>
      </c>
      <c r="M173" s="154"/>
      <c r="N173" s="155">
        <f t="shared" si="11"/>
        <v>5000</v>
      </c>
      <c r="O173" s="211" t="s">
        <v>513</v>
      </c>
    </row>
    <row r="174" spans="1:15" ht="16.5" customHeight="1" x14ac:dyDescent="0.25">
      <c r="A174" s="378">
        <f t="shared" si="0"/>
        <v>171</v>
      </c>
      <c r="B174" s="209"/>
      <c r="C174" s="208">
        <v>46181</v>
      </c>
      <c r="D174" s="209" t="s">
        <v>449</v>
      </c>
      <c r="E174" s="209" t="s">
        <v>25</v>
      </c>
      <c r="F174" s="209" t="s">
        <v>447</v>
      </c>
      <c r="G174" s="209" t="s">
        <v>540</v>
      </c>
      <c r="H174" s="209" t="s">
        <v>541</v>
      </c>
      <c r="I174" s="209" t="s">
        <v>542</v>
      </c>
      <c r="J174" s="210" t="s">
        <v>53</v>
      </c>
      <c r="K174" s="154">
        <v>14910</v>
      </c>
      <c r="L174" s="154">
        <v>10350</v>
      </c>
      <c r="M174" s="154"/>
      <c r="N174" s="155">
        <f t="shared" si="11"/>
        <v>4560</v>
      </c>
      <c r="O174" s="211" t="s">
        <v>471</v>
      </c>
    </row>
    <row r="175" spans="1:15" ht="16.5" customHeight="1" x14ac:dyDescent="0.25">
      <c r="A175" s="378">
        <f t="shared" si="0"/>
        <v>172</v>
      </c>
      <c r="B175" s="209"/>
      <c r="C175" s="208">
        <v>46181</v>
      </c>
      <c r="D175" s="209" t="s">
        <v>449</v>
      </c>
      <c r="E175" s="209" t="s">
        <v>25</v>
      </c>
      <c r="F175" s="209" t="s">
        <v>447</v>
      </c>
      <c r="G175" s="209" t="s">
        <v>543</v>
      </c>
      <c r="H175" s="209" t="s">
        <v>544</v>
      </c>
      <c r="I175" s="209" t="s">
        <v>545</v>
      </c>
      <c r="J175" s="210" t="s">
        <v>53</v>
      </c>
      <c r="K175" s="154">
        <v>17990</v>
      </c>
      <c r="L175" s="154">
        <v>12030</v>
      </c>
      <c r="M175" s="154"/>
      <c r="N175" s="155">
        <f t="shared" si="11"/>
        <v>5960</v>
      </c>
      <c r="O175" s="211" t="s">
        <v>511</v>
      </c>
    </row>
    <row r="176" spans="1:15" ht="16.5" customHeight="1" x14ac:dyDescent="0.25">
      <c r="A176" s="378">
        <f t="shared" si="0"/>
        <v>173</v>
      </c>
      <c r="B176" s="209"/>
      <c r="C176" s="208">
        <v>46181</v>
      </c>
      <c r="D176" s="209" t="s">
        <v>449</v>
      </c>
      <c r="E176" s="209" t="s">
        <v>25</v>
      </c>
      <c r="F176" s="209" t="s">
        <v>55</v>
      </c>
      <c r="G176" s="209" t="s">
        <v>546</v>
      </c>
      <c r="H176" s="209" t="s">
        <v>547</v>
      </c>
      <c r="I176" s="209" t="s">
        <v>548</v>
      </c>
      <c r="J176" s="210" t="s">
        <v>53</v>
      </c>
      <c r="K176" s="154">
        <v>28210</v>
      </c>
      <c r="L176" s="154">
        <v>17890</v>
      </c>
      <c r="M176" s="154"/>
      <c r="N176" s="155">
        <f t="shared" si="11"/>
        <v>10320</v>
      </c>
      <c r="O176" s="211" t="s">
        <v>510</v>
      </c>
    </row>
    <row r="177" spans="1:15" ht="16.5" customHeight="1" x14ac:dyDescent="0.25">
      <c r="A177" s="378">
        <f t="shared" si="0"/>
        <v>174</v>
      </c>
      <c r="B177" s="209"/>
      <c r="C177" s="208">
        <v>46181</v>
      </c>
      <c r="D177" s="209" t="s">
        <v>449</v>
      </c>
      <c r="E177" s="209" t="s">
        <v>25</v>
      </c>
      <c r="F177" s="209" t="s">
        <v>549</v>
      </c>
      <c r="G177" s="209" t="s">
        <v>550</v>
      </c>
      <c r="H177" s="209" t="s">
        <v>551</v>
      </c>
      <c r="I177" s="209" t="s">
        <v>552</v>
      </c>
      <c r="J177" s="210" t="s">
        <v>553</v>
      </c>
      <c r="K177" s="154">
        <v>12070</v>
      </c>
      <c r="L177" s="154">
        <v>10910</v>
      </c>
      <c r="M177" s="154"/>
      <c r="N177" s="155">
        <f t="shared" si="11"/>
        <v>1160</v>
      </c>
      <c r="O177" s="211"/>
    </row>
    <row r="178" spans="1:15" ht="16.5" customHeight="1" x14ac:dyDescent="0.25">
      <c r="A178" s="202">
        <f t="shared" si="0"/>
        <v>175</v>
      </c>
      <c r="B178" s="205"/>
      <c r="C178" s="409">
        <v>46181</v>
      </c>
      <c r="D178" s="410" t="s">
        <v>85</v>
      </c>
      <c r="E178" s="410" t="s">
        <v>225</v>
      </c>
      <c r="F178" s="410" t="s">
        <v>14</v>
      </c>
      <c r="G178" s="410" t="s">
        <v>40</v>
      </c>
      <c r="H178" s="410" t="s">
        <v>41</v>
      </c>
      <c r="I178" s="410" t="s">
        <v>24</v>
      </c>
      <c r="J178" s="411" t="s">
        <v>554</v>
      </c>
      <c r="K178" s="412">
        <v>15750</v>
      </c>
      <c r="L178" s="412">
        <v>14100</v>
      </c>
      <c r="M178" s="412"/>
      <c r="N178" s="413">
        <f t="shared" si="11"/>
        <v>1650</v>
      </c>
      <c r="O178" s="414" t="s">
        <v>555</v>
      </c>
    </row>
    <row r="179" spans="1:15" ht="16.5" customHeight="1" x14ac:dyDescent="0.25">
      <c r="A179" s="376">
        <f t="shared" si="0"/>
        <v>176</v>
      </c>
      <c r="B179" s="200">
        <v>1</v>
      </c>
      <c r="C179" s="199">
        <v>46182</v>
      </c>
      <c r="D179" s="200" t="s">
        <v>184</v>
      </c>
      <c r="E179" s="200" t="s">
        <v>13</v>
      </c>
      <c r="F179" s="200" t="s">
        <v>18</v>
      </c>
      <c r="G179" s="200" t="s">
        <v>324</v>
      </c>
      <c r="H179" s="200"/>
      <c r="I179" s="200"/>
      <c r="J179" s="201" t="s">
        <v>182</v>
      </c>
      <c r="K179" s="152">
        <v>37930</v>
      </c>
      <c r="L179" s="152">
        <v>18530</v>
      </c>
      <c r="M179" s="152"/>
      <c r="N179" s="153">
        <f>K179-L179</f>
        <v>19400</v>
      </c>
      <c r="O179" s="418"/>
    </row>
    <row r="180" spans="1:15" ht="16.5" customHeight="1" x14ac:dyDescent="0.25">
      <c r="A180" s="202">
        <f t="shared" si="0"/>
        <v>177</v>
      </c>
      <c r="B180" s="205">
        <v>2</v>
      </c>
      <c r="C180" s="208">
        <v>46182</v>
      </c>
      <c r="D180" s="209" t="s">
        <v>184</v>
      </c>
      <c r="E180" s="209" t="s">
        <v>13</v>
      </c>
      <c r="F180" s="209" t="s">
        <v>18</v>
      </c>
      <c r="G180" s="209" t="s">
        <v>252</v>
      </c>
      <c r="H180" s="209"/>
      <c r="I180" s="209"/>
      <c r="J180" s="210" t="s">
        <v>182</v>
      </c>
      <c r="K180" s="154">
        <v>37530</v>
      </c>
      <c r="L180" s="154">
        <v>18130</v>
      </c>
      <c r="M180" s="154"/>
      <c r="N180" s="155">
        <f>K180-L180</f>
        <v>19400</v>
      </c>
      <c r="O180" s="419"/>
    </row>
    <row r="181" spans="1:15" ht="16.5" customHeight="1" x14ac:dyDescent="0.25">
      <c r="A181" s="376">
        <f t="shared" si="0"/>
        <v>178</v>
      </c>
      <c r="B181" s="200">
        <v>1</v>
      </c>
      <c r="C181" s="251">
        <v>46184</v>
      </c>
      <c r="D181" s="252" t="s">
        <v>184</v>
      </c>
      <c r="E181" s="252" t="s">
        <v>13</v>
      </c>
      <c r="F181" s="252" t="s">
        <v>18</v>
      </c>
      <c r="G181" s="252" t="s">
        <v>159</v>
      </c>
      <c r="H181" s="252" t="s">
        <v>160</v>
      </c>
      <c r="I181" s="252" t="s">
        <v>161</v>
      </c>
      <c r="J181" s="253" t="s">
        <v>182</v>
      </c>
      <c r="K181" s="254">
        <v>36780</v>
      </c>
      <c r="L181" s="254">
        <v>18600</v>
      </c>
      <c r="M181" s="254"/>
      <c r="N181" s="255">
        <f t="shared" ref="N181:N183" si="12">K181-L181</f>
        <v>18180</v>
      </c>
      <c r="O181" s="441"/>
    </row>
    <row r="182" spans="1:15" ht="16.5" customHeight="1" x14ac:dyDescent="0.25">
      <c r="A182" s="378">
        <f t="shared" si="0"/>
        <v>179</v>
      </c>
      <c r="B182" s="209">
        <v>2</v>
      </c>
      <c r="C182" s="208">
        <v>46184</v>
      </c>
      <c r="D182" s="209" t="s">
        <v>184</v>
      </c>
      <c r="E182" s="209" t="s">
        <v>13</v>
      </c>
      <c r="F182" s="209" t="s">
        <v>18</v>
      </c>
      <c r="G182" s="209" t="s">
        <v>559</v>
      </c>
      <c r="H182" s="209"/>
      <c r="I182" s="209"/>
      <c r="J182" s="210" t="s">
        <v>182</v>
      </c>
      <c r="K182" s="154">
        <v>42010</v>
      </c>
      <c r="L182" s="154">
        <v>18470</v>
      </c>
      <c r="M182" s="154"/>
      <c r="N182" s="155">
        <f t="shared" si="12"/>
        <v>23540</v>
      </c>
      <c r="O182" s="284"/>
    </row>
    <row r="183" spans="1:15" ht="16.5" customHeight="1" x14ac:dyDescent="0.25">
      <c r="A183" s="378">
        <f t="shared" si="0"/>
        <v>180</v>
      </c>
      <c r="B183" s="209">
        <v>1</v>
      </c>
      <c r="C183" s="208">
        <v>46184</v>
      </c>
      <c r="D183" s="343" t="s">
        <v>449</v>
      </c>
      <c r="E183" s="343" t="s">
        <v>25</v>
      </c>
      <c r="F183" s="343" t="s">
        <v>44</v>
      </c>
      <c r="G183" s="343" t="s">
        <v>62</v>
      </c>
      <c r="H183" s="343" t="s">
        <v>28</v>
      </c>
      <c r="I183" s="343" t="s">
        <v>63</v>
      </c>
      <c r="J183" s="380" t="s">
        <v>53</v>
      </c>
      <c r="K183" s="344">
        <v>13440</v>
      </c>
      <c r="L183" s="344">
        <v>7910</v>
      </c>
      <c r="M183" s="344"/>
      <c r="N183" s="155">
        <f t="shared" si="12"/>
        <v>5530</v>
      </c>
      <c r="O183" s="381"/>
    </row>
    <row r="184" spans="1:15" ht="16.5" customHeight="1" x14ac:dyDescent="0.25">
      <c r="A184" s="207">
        <f t="shared" si="0"/>
        <v>181</v>
      </c>
      <c r="B184" s="442" t="s">
        <v>90</v>
      </c>
      <c r="C184" s="208">
        <v>46184</v>
      </c>
      <c r="D184" s="209" t="s">
        <v>109</v>
      </c>
      <c r="E184" s="209" t="s">
        <v>25</v>
      </c>
      <c r="F184" s="209" t="s">
        <v>14</v>
      </c>
      <c r="G184" s="209"/>
      <c r="H184" s="209"/>
      <c r="I184" s="209"/>
      <c r="J184" s="210" t="s">
        <v>561</v>
      </c>
      <c r="K184" s="154">
        <v>17410</v>
      </c>
      <c r="L184" s="154">
        <v>13550</v>
      </c>
      <c r="M184" s="154"/>
      <c r="N184" s="155">
        <f>K184-L184-390</f>
        <v>3470</v>
      </c>
      <c r="O184" s="284" t="s">
        <v>568</v>
      </c>
    </row>
    <row r="185" spans="1:15" ht="16.5" customHeight="1" x14ac:dyDescent="0.25">
      <c r="A185" s="207">
        <f t="shared" si="0"/>
        <v>182</v>
      </c>
      <c r="B185" s="442" t="s">
        <v>93</v>
      </c>
      <c r="C185" s="208">
        <v>46184</v>
      </c>
      <c r="D185" s="209" t="s">
        <v>109</v>
      </c>
      <c r="E185" s="209" t="s">
        <v>25</v>
      </c>
      <c r="F185" s="209" t="s">
        <v>567</v>
      </c>
      <c r="G185" s="209"/>
      <c r="H185" s="209"/>
      <c r="I185" s="209"/>
      <c r="J185" s="210" t="s">
        <v>58</v>
      </c>
      <c r="K185" s="154">
        <v>12570</v>
      </c>
      <c r="L185" s="154">
        <v>11680</v>
      </c>
      <c r="M185" s="154">
        <v>500</v>
      </c>
      <c r="N185" s="155">
        <f>K185-L185-M185</f>
        <v>390</v>
      </c>
      <c r="O185" s="284" t="s">
        <v>570</v>
      </c>
    </row>
    <row r="186" spans="1:15" ht="16.5" customHeight="1" x14ac:dyDescent="0.25">
      <c r="A186" s="202">
        <f t="shared" si="0"/>
        <v>183</v>
      </c>
      <c r="B186" s="205">
        <v>1</v>
      </c>
      <c r="C186" s="204">
        <v>46184</v>
      </c>
      <c r="D186" s="205" t="s">
        <v>85</v>
      </c>
      <c r="E186" s="205" t="s">
        <v>225</v>
      </c>
      <c r="F186" s="205" t="s">
        <v>14</v>
      </c>
      <c r="G186" s="205" t="s">
        <v>40</v>
      </c>
      <c r="H186" s="205" t="s">
        <v>41</v>
      </c>
      <c r="I186" s="205" t="s">
        <v>24</v>
      </c>
      <c r="J186" s="206" t="s">
        <v>257</v>
      </c>
      <c r="K186" s="157">
        <v>17870</v>
      </c>
      <c r="L186" s="157">
        <v>17510</v>
      </c>
      <c r="M186" s="157"/>
      <c r="N186" s="162">
        <f t="shared" ref="N186" si="13">K186-L186-M186</f>
        <v>360</v>
      </c>
      <c r="O186" s="285" t="s">
        <v>562</v>
      </c>
    </row>
    <row r="187" spans="1:15" ht="16.5" customHeight="1" x14ac:dyDescent="0.25">
      <c r="A187" s="237">
        <f t="shared" si="0"/>
        <v>184</v>
      </c>
      <c r="B187" s="239">
        <v>1</v>
      </c>
      <c r="C187" s="238">
        <v>46186</v>
      </c>
      <c r="D187" s="239" t="s">
        <v>184</v>
      </c>
      <c r="E187" s="239" t="s">
        <v>13</v>
      </c>
      <c r="F187" s="239" t="s">
        <v>224</v>
      </c>
      <c r="G187" s="239" t="s">
        <v>515</v>
      </c>
      <c r="H187" s="239" t="s">
        <v>517</v>
      </c>
      <c r="I187" s="239" t="s">
        <v>519</v>
      </c>
      <c r="J187" s="240" t="s">
        <v>257</v>
      </c>
      <c r="K187" s="241">
        <v>30870</v>
      </c>
      <c r="L187" s="241">
        <v>21170</v>
      </c>
      <c r="M187" s="241"/>
      <c r="N187" s="242">
        <f t="shared" ref="N187" si="14">K187-L187</f>
        <v>9700</v>
      </c>
      <c r="O187" s="243" t="s">
        <v>572</v>
      </c>
    </row>
    <row r="188" spans="1:15" ht="16.5" customHeight="1" x14ac:dyDescent="0.25">
      <c r="A188" s="376">
        <f t="shared" si="0"/>
        <v>185</v>
      </c>
      <c r="B188" s="200" t="s">
        <v>627</v>
      </c>
      <c r="C188" s="287">
        <v>46193</v>
      </c>
      <c r="D188" s="288" t="s">
        <v>198</v>
      </c>
      <c r="E188" s="507" t="s">
        <v>25</v>
      </c>
      <c r="F188" s="508" t="s">
        <v>14</v>
      </c>
      <c r="G188" s="508" t="s">
        <v>15</v>
      </c>
      <c r="H188" s="508" t="s">
        <v>216</v>
      </c>
      <c r="I188" s="508" t="s">
        <v>17</v>
      </c>
      <c r="J188" s="508" t="s">
        <v>30</v>
      </c>
      <c r="K188" s="104">
        <v>16710</v>
      </c>
      <c r="L188" s="104">
        <v>13580</v>
      </c>
      <c r="M188" s="104"/>
      <c r="N188" s="105">
        <v>90</v>
      </c>
      <c r="O188" s="509" t="s">
        <v>675</v>
      </c>
    </row>
    <row r="189" spans="1:15" ht="16.5" customHeight="1" x14ac:dyDescent="0.25">
      <c r="A189" s="378">
        <f t="shared" si="0"/>
        <v>186</v>
      </c>
      <c r="B189" s="209" t="s">
        <v>91</v>
      </c>
      <c r="C189" s="379">
        <v>46193</v>
      </c>
      <c r="D189" s="343" t="s">
        <v>198</v>
      </c>
      <c r="E189" s="507" t="s">
        <v>25</v>
      </c>
      <c r="F189" s="508" t="s">
        <v>567</v>
      </c>
      <c r="G189" s="508"/>
      <c r="H189" s="508" t="s">
        <v>625</v>
      </c>
      <c r="I189" s="508"/>
      <c r="J189" s="508" t="s">
        <v>624</v>
      </c>
      <c r="K189" s="104"/>
      <c r="L189" s="104"/>
      <c r="M189" s="104"/>
      <c r="N189" s="105">
        <v>770</v>
      </c>
      <c r="O189" s="509" t="s">
        <v>676</v>
      </c>
    </row>
    <row r="190" spans="1:15" ht="16.5" customHeight="1" x14ac:dyDescent="0.25">
      <c r="A190" s="378">
        <f t="shared" si="0"/>
        <v>187</v>
      </c>
      <c r="B190" s="209" t="s">
        <v>94</v>
      </c>
      <c r="C190" s="379">
        <v>46193</v>
      </c>
      <c r="D190" s="343" t="s">
        <v>198</v>
      </c>
      <c r="E190" s="507" t="s">
        <v>25</v>
      </c>
      <c r="F190" s="508" t="s">
        <v>567</v>
      </c>
      <c r="G190" s="508"/>
      <c r="H190" s="508" t="s">
        <v>625</v>
      </c>
      <c r="I190" s="508"/>
      <c r="J190" s="508" t="s">
        <v>58</v>
      </c>
      <c r="K190" s="104"/>
      <c r="L190" s="104"/>
      <c r="M190" s="104"/>
      <c r="N190" s="105">
        <v>170</v>
      </c>
      <c r="O190" s="509" t="s">
        <v>676</v>
      </c>
    </row>
    <row r="191" spans="1:15" ht="16.5" customHeight="1" x14ac:dyDescent="0.25">
      <c r="A191" s="378">
        <f t="shared" si="0"/>
        <v>188</v>
      </c>
      <c r="B191" s="209" t="s">
        <v>321</v>
      </c>
      <c r="C191" s="379">
        <v>46193</v>
      </c>
      <c r="D191" s="343" t="s">
        <v>198</v>
      </c>
      <c r="E191" s="507" t="s">
        <v>25</v>
      </c>
      <c r="F191" s="508" t="s">
        <v>567</v>
      </c>
      <c r="G191" s="508"/>
      <c r="H191" s="508" t="s">
        <v>625</v>
      </c>
      <c r="I191" s="508"/>
      <c r="J191" s="530" t="s">
        <v>674</v>
      </c>
      <c r="K191" s="104"/>
      <c r="L191" s="104"/>
      <c r="M191" s="104"/>
      <c r="N191" s="105">
        <v>1850</v>
      </c>
      <c r="O191" s="509" t="s">
        <v>676</v>
      </c>
    </row>
    <row r="192" spans="1:15" ht="16.5" customHeight="1" x14ac:dyDescent="0.25">
      <c r="A192" s="202">
        <f t="shared" si="0"/>
        <v>189</v>
      </c>
      <c r="B192" s="205" t="s">
        <v>623</v>
      </c>
      <c r="C192" s="204">
        <v>46193</v>
      </c>
      <c r="D192" s="205" t="s">
        <v>198</v>
      </c>
      <c r="E192" s="513" t="s">
        <v>25</v>
      </c>
      <c r="F192" s="514" t="s">
        <v>567</v>
      </c>
      <c r="G192" s="514"/>
      <c r="H192" s="514" t="s">
        <v>625</v>
      </c>
      <c r="I192" s="514"/>
      <c r="J192" s="514" t="s">
        <v>57</v>
      </c>
      <c r="K192" s="275"/>
      <c r="L192" s="275"/>
      <c r="M192" s="275"/>
      <c r="N192" s="276">
        <v>250</v>
      </c>
      <c r="O192" s="515" t="s">
        <v>676</v>
      </c>
    </row>
    <row r="193" spans="1:15" ht="16.5" customHeight="1" x14ac:dyDescent="0.25">
      <c r="A193" s="376">
        <f t="shared" si="0"/>
        <v>190</v>
      </c>
      <c r="B193" s="200">
        <v>1</v>
      </c>
      <c r="C193" s="199">
        <v>46199</v>
      </c>
      <c r="D193" s="200" t="s">
        <v>646</v>
      </c>
      <c r="E193" s="200" t="s">
        <v>225</v>
      </c>
      <c r="F193" s="200" t="s">
        <v>44</v>
      </c>
      <c r="G193" s="200" t="s">
        <v>647</v>
      </c>
      <c r="H193" s="200"/>
      <c r="I193" s="200"/>
      <c r="J193" s="201" t="s">
        <v>648</v>
      </c>
      <c r="K193" s="152">
        <v>10480</v>
      </c>
      <c r="L193" s="152">
        <v>8700</v>
      </c>
      <c r="M193" s="152"/>
      <c r="N193" s="153">
        <f t="shared" ref="N193:N215" si="15">K193-L193-M193</f>
        <v>1780</v>
      </c>
      <c r="O193" s="225"/>
    </row>
    <row r="194" spans="1:15" ht="16.5" customHeight="1" x14ac:dyDescent="0.25">
      <c r="A194" s="378">
        <f t="shared" si="0"/>
        <v>191</v>
      </c>
      <c r="B194" s="209">
        <v>2</v>
      </c>
      <c r="C194" s="208">
        <v>46199</v>
      </c>
      <c r="D194" s="209" t="s">
        <v>646</v>
      </c>
      <c r="E194" s="209" t="s">
        <v>25</v>
      </c>
      <c r="F194" s="209" t="s">
        <v>44</v>
      </c>
      <c r="G194" s="209" t="s">
        <v>649</v>
      </c>
      <c r="H194" s="209"/>
      <c r="I194" s="209"/>
      <c r="J194" s="210" t="s">
        <v>648</v>
      </c>
      <c r="K194" s="154">
        <v>11350</v>
      </c>
      <c r="L194" s="154">
        <v>9650</v>
      </c>
      <c r="M194" s="154"/>
      <c r="N194" s="155">
        <f t="shared" si="15"/>
        <v>1700</v>
      </c>
      <c r="O194" s="226"/>
    </row>
    <row r="195" spans="1:15" ht="16.5" customHeight="1" x14ac:dyDescent="0.25">
      <c r="A195" s="378">
        <f t="shared" si="0"/>
        <v>192</v>
      </c>
      <c r="B195" s="209">
        <v>3</v>
      </c>
      <c r="C195" s="208">
        <v>46199</v>
      </c>
      <c r="D195" s="209" t="s">
        <v>646</v>
      </c>
      <c r="E195" s="209" t="s">
        <v>25</v>
      </c>
      <c r="F195" s="209" t="s">
        <v>44</v>
      </c>
      <c r="G195" s="209" t="s">
        <v>650</v>
      </c>
      <c r="H195" s="209"/>
      <c r="I195" s="209"/>
      <c r="J195" s="210" t="s">
        <v>648</v>
      </c>
      <c r="K195" s="154">
        <v>10160</v>
      </c>
      <c r="L195" s="154">
        <v>8090</v>
      </c>
      <c r="M195" s="154"/>
      <c r="N195" s="155">
        <f t="shared" si="15"/>
        <v>2070</v>
      </c>
      <c r="O195" s="211"/>
    </row>
    <row r="196" spans="1:15" ht="16.5" customHeight="1" x14ac:dyDescent="0.25">
      <c r="A196" s="378">
        <f t="shared" si="0"/>
        <v>193</v>
      </c>
      <c r="B196" s="209">
        <v>4</v>
      </c>
      <c r="C196" s="208">
        <v>46199</v>
      </c>
      <c r="D196" s="209" t="s">
        <v>646</v>
      </c>
      <c r="E196" s="209" t="s">
        <v>25</v>
      </c>
      <c r="F196" s="209" t="s">
        <v>447</v>
      </c>
      <c r="G196" s="209" t="s">
        <v>651</v>
      </c>
      <c r="H196" s="209"/>
      <c r="I196" s="209"/>
      <c r="J196" s="210" t="s">
        <v>648</v>
      </c>
      <c r="K196" s="154">
        <v>13060</v>
      </c>
      <c r="L196" s="154">
        <v>9930</v>
      </c>
      <c r="M196" s="154"/>
      <c r="N196" s="155">
        <f t="shared" si="15"/>
        <v>3130</v>
      </c>
      <c r="O196" s="211"/>
    </row>
    <row r="197" spans="1:15" ht="16.5" customHeight="1" x14ac:dyDescent="0.25">
      <c r="A197" s="378">
        <f t="shared" si="0"/>
        <v>194</v>
      </c>
      <c r="B197" s="209">
        <v>5</v>
      </c>
      <c r="C197" s="208">
        <v>46199</v>
      </c>
      <c r="D197" s="209" t="s">
        <v>646</v>
      </c>
      <c r="E197" s="209" t="s">
        <v>25</v>
      </c>
      <c r="F197" s="209" t="s">
        <v>447</v>
      </c>
      <c r="G197" s="209" t="s">
        <v>652</v>
      </c>
      <c r="H197" s="209"/>
      <c r="I197" s="209"/>
      <c r="J197" s="210" t="s">
        <v>648</v>
      </c>
      <c r="K197" s="154">
        <v>13180</v>
      </c>
      <c r="L197" s="154">
        <v>10340</v>
      </c>
      <c r="M197" s="154"/>
      <c r="N197" s="155">
        <f t="shared" si="15"/>
        <v>2840</v>
      </c>
      <c r="O197" s="211"/>
    </row>
    <row r="198" spans="1:15" ht="16.5" customHeight="1" x14ac:dyDescent="0.25">
      <c r="A198" s="378">
        <f t="shared" ref="A198:A222" si="16">ROW()-3</f>
        <v>195</v>
      </c>
      <c r="B198" s="209">
        <v>6</v>
      </c>
      <c r="C198" s="208">
        <v>46199</v>
      </c>
      <c r="D198" s="209" t="s">
        <v>646</v>
      </c>
      <c r="E198" s="209" t="s">
        <v>25</v>
      </c>
      <c r="F198" s="209" t="s">
        <v>44</v>
      </c>
      <c r="G198" s="209" t="s">
        <v>653</v>
      </c>
      <c r="H198" s="209"/>
      <c r="I198" s="209"/>
      <c r="J198" s="210" t="s">
        <v>648</v>
      </c>
      <c r="K198" s="154">
        <v>10870</v>
      </c>
      <c r="L198" s="154">
        <v>8540</v>
      </c>
      <c r="M198" s="154"/>
      <c r="N198" s="155">
        <f t="shared" si="15"/>
        <v>2330</v>
      </c>
      <c r="O198" s="211"/>
    </row>
    <row r="199" spans="1:15" ht="16.5" customHeight="1" x14ac:dyDescent="0.25">
      <c r="A199" s="378">
        <f t="shared" si="16"/>
        <v>196</v>
      </c>
      <c r="B199" s="209">
        <v>7</v>
      </c>
      <c r="C199" s="208">
        <v>46199</v>
      </c>
      <c r="D199" s="209" t="s">
        <v>646</v>
      </c>
      <c r="E199" s="209" t="s">
        <v>25</v>
      </c>
      <c r="F199" s="209" t="s">
        <v>44</v>
      </c>
      <c r="G199" s="209" t="s">
        <v>654</v>
      </c>
      <c r="H199" s="209"/>
      <c r="I199" s="209"/>
      <c r="J199" s="210" t="s">
        <v>648</v>
      </c>
      <c r="K199" s="154">
        <v>11860</v>
      </c>
      <c r="L199" s="154">
        <v>9360</v>
      </c>
      <c r="M199" s="154"/>
      <c r="N199" s="155">
        <f t="shared" si="15"/>
        <v>2500</v>
      </c>
      <c r="O199" s="211"/>
    </row>
    <row r="200" spans="1:15" ht="16.5" customHeight="1" x14ac:dyDescent="0.25">
      <c r="A200" s="378">
        <f t="shared" si="16"/>
        <v>197</v>
      </c>
      <c r="B200" s="209">
        <v>8</v>
      </c>
      <c r="C200" s="208">
        <v>46199</v>
      </c>
      <c r="D200" s="209" t="s">
        <v>646</v>
      </c>
      <c r="E200" s="209" t="s">
        <v>25</v>
      </c>
      <c r="F200" s="209" t="s">
        <v>44</v>
      </c>
      <c r="G200" s="209" t="s">
        <v>647</v>
      </c>
      <c r="H200" s="209"/>
      <c r="I200" s="209"/>
      <c r="J200" s="210" t="s">
        <v>648</v>
      </c>
      <c r="K200" s="154">
        <v>10470</v>
      </c>
      <c r="L200" s="154">
        <v>8670</v>
      </c>
      <c r="M200" s="154"/>
      <c r="N200" s="155">
        <f t="shared" si="15"/>
        <v>1800</v>
      </c>
      <c r="O200" s="211"/>
    </row>
    <row r="201" spans="1:15" ht="16.5" customHeight="1" x14ac:dyDescent="0.25">
      <c r="A201" s="378">
        <f t="shared" si="16"/>
        <v>198</v>
      </c>
      <c r="B201" s="209">
        <v>9</v>
      </c>
      <c r="C201" s="208">
        <v>46199</v>
      </c>
      <c r="D201" s="209" t="s">
        <v>646</v>
      </c>
      <c r="E201" s="209" t="s">
        <v>25</v>
      </c>
      <c r="F201" s="209" t="s">
        <v>44</v>
      </c>
      <c r="G201" s="209" t="s">
        <v>655</v>
      </c>
      <c r="H201" s="209"/>
      <c r="I201" s="209"/>
      <c r="J201" s="210" t="s">
        <v>648</v>
      </c>
      <c r="K201" s="154">
        <v>10190</v>
      </c>
      <c r="L201" s="154">
        <v>7770</v>
      </c>
      <c r="M201" s="154"/>
      <c r="N201" s="155">
        <f t="shared" si="15"/>
        <v>2420</v>
      </c>
      <c r="O201" s="211"/>
    </row>
    <row r="202" spans="1:15" ht="16.5" customHeight="1" x14ac:dyDescent="0.25">
      <c r="A202" s="378">
        <f t="shared" si="16"/>
        <v>199</v>
      </c>
      <c r="B202" s="209">
        <v>10</v>
      </c>
      <c r="C202" s="208">
        <v>46199</v>
      </c>
      <c r="D202" s="209" t="s">
        <v>646</v>
      </c>
      <c r="E202" s="209" t="s">
        <v>25</v>
      </c>
      <c r="F202" s="209" t="s">
        <v>44</v>
      </c>
      <c r="G202" s="209" t="s">
        <v>650</v>
      </c>
      <c r="H202" s="209"/>
      <c r="I202" s="209"/>
      <c r="J202" s="210" t="s">
        <v>648</v>
      </c>
      <c r="K202" s="154">
        <v>12720</v>
      </c>
      <c r="L202" s="154">
        <v>8070</v>
      </c>
      <c r="M202" s="154"/>
      <c r="N202" s="155">
        <f t="shared" si="15"/>
        <v>4650</v>
      </c>
      <c r="O202" s="211"/>
    </row>
    <row r="203" spans="1:15" ht="16.5" customHeight="1" x14ac:dyDescent="0.25">
      <c r="A203" s="378">
        <f t="shared" si="16"/>
        <v>200</v>
      </c>
      <c r="B203" s="209">
        <v>11</v>
      </c>
      <c r="C203" s="208">
        <v>46199</v>
      </c>
      <c r="D203" s="209" t="s">
        <v>646</v>
      </c>
      <c r="E203" s="209" t="s">
        <v>25</v>
      </c>
      <c r="F203" s="209" t="s">
        <v>44</v>
      </c>
      <c r="G203" s="209" t="s">
        <v>653</v>
      </c>
      <c r="H203" s="209"/>
      <c r="I203" s="209"/>
      <c r="J203" s="210" t="s">
        <v>648</v>
      </c>
      <c r="K203" s="154">
        <v>15320</v>
      </c>
      <c r="L203" s="154">
        <v>8520</v>
      </c>
      <c r="M203" s="154"/>
      <c r="N203" s="155">
        <f t="shared" si="15"/>
        <v>6800</v>
      </c>
      <c r="O203" s="211"/>
    </row>
    <row r="204" spans="1:15" ht="16.5" customHeight="1" x14ac:dyDescent="0.25">
      <c r="A204" s="378">
        <f t="shared" si="16"/>
        <v>201</v>
      </c>
      <c r="B204" s="209">
        <v>12</v>
      </c>
      <c r="C204" s="208">
        <v>46199</v>
      </c>
      <c r="D204" s="209" t="s">
        <v>646</v>
      </c>
      <c r="E204" s="209" t="s">
        <v>25</v>
      </c>
      <c r="F204" s="209" t="s">
        <v>44</v>
      </c>
      <c r="G204" s="209" t="s">
        <v>656</v>
      </c>
      <c r="H204" s="209"/>
      <c r="I204" s="209"/>
      <c r="J204" s="210" t="s">
        <v>648</v>
      </c>
      <c r="K204" s="154">
        <v>10810</v>
      </c>
      <c r="L204" s="154">
        <v>7770</v>
      </c>
      <c r="M204" s="154"/>
      <c r="N204" s="155">
        <f t="shared" si="15"/>
        <v>3040</v>
      </c>
      <c r="O204" s="211"/>
    </row>
    <row r="205" spans="1:15" ht="16.5" customHeight="1" x14ac:dyDescent="0.25">
      <c r="A205" s="378">
        <f t="shared" si="16"/>
        <v>202</v>
      </c>
      <c r="B205" s="209">
        <v>13</v>
      </c>
      <c r="C205" s="208">
        <v>46199</v>
      </c>
      <c r="D205" s="209" t="s">
        <v>646</v>
      </c>
      <c r="E205" s="209" t="s">
        <v>25</v>
      </c>
      <c r="F205" s="209" t="s">
        <v>44</v>
      </c>
      <c r="G205" s="209" t="s">
        <v>654</v>
      </c>
      <c r="H205" s="209"/>
      <c r="I205" s="209"/>
      <c r="J205" s="210" t="s">
        <v>648</v>
      </c>
      <c r="K205" s="154">
        <v>11830</v>
      </c>
      <c r="L205" s="154">
        <v>9330</v>
      </c>
      <c r="M205" s="154"/>
      <c r="N205" s="155">
        <f t="shared" si="15"/>
        <v>2500</v>
      </c>
      <c r="O205" s="211"/>
    </row>
    <row r="206" spans="1:15" ht="16.5" customHeight="1" x14ac:dyDescent="0.25">
      <c r="A206" s="378">
        <f t="shared" si="16"/>
        <v>203</v>
      </c>
      <c r="B206" s="209">
        <v>14</v>
      </c>
      <c r="C206" s="208">
        <v>46199</v>
      </c>
      <c r="D206" s="209" t="s">
        <v>646</v>
      </c>
      <c r="E206" s="209" t="s">
        <v>25</v>
      </c>
      <c r="F206" s="209" t="s">
        <v>44</v>
      </c>
      <c r="G206" s="209" t="s">
        <v>647</v>
      </c>
      <c r="H206" s="209"/>
      <c r="I206" s="209"/>
      <c r="J206" s="210" t="s">
        <v>648</v>
      </c>
      <c r="K206" s="154">
        <v>12000</v>
      </c>
      <c r="L206" s="154">
        <v>8670</v>
      </c>
      <c r="M206" s="154"/>
      <c r="N206" s="155">
        <f t="shared" si="15"/>
        <v>3330</v>
      </c>
      <c r="O206" s="211"/>
    </row>
    <row r="207" spans="1:15" ht="16.5" customHeight="1" x14ac:dyDescent="0.25">
      <c r="A207" s="378">
        <f t="shared" si="16"/>
        <v>204</v>
      </c>
      <c r="B207" s="209">
        <v>15</v>
      </c>
      <c r="C207" s="208">
        <v>46199</v>
      </c>
      <c r="D207" s="209" t="s">
        <v>646</v>
      </c>
      <c r="E207" s="209" t="s">
        <v>25</v>
      </c>
      <c r="F207" s="209" t="s">
        <v>44</v>
      </c>
      <c r="G207" s="209" t="s">
        <v>657</v>
      </c>
      <c r="H207" s="209"/>
      <c r="I207" s="209"/>
      <c r="J207" s="210" t="s">
        <v>648</v>
      </c>
      <c r="K207" s="154">
        <v>12890</v>
      </c>
      <c r="L207" s="154">
        <v>8930</v>
      </c>
      <c r="M207" s="154"/>
      <c r="N207" s="155">
        <f t="shared" si="15"/>
        <v>3960</v>
      </c>
      <c r="O207" s="211"/>
    </row>
    <row r="208" spans="1:15" ht="16.5" customHeight="1" x14ac:dyDescent="0.25">
      <c r="A208" s="378">
        <f t="shared" si="16"/>
        <v>205</v>
      </c>
      <c r="B208" s="209">
        <v>16</v>
      </c>
      <c r="C208" s="208">
        <v>46199</v>
      </c>
      <c r="D208" s="209" t="s">
        <v>646</v>
      </c>
      <c r="E208" s="209" t="s">
        <v>25</v>
      </c>
      <c r="F208" s="209" t="s">
        <v>447</v>
      </c>
      <c r="G208" s="209" t="s">
        <v>658</v>
      </c>
      <c r="H208" s="209"/>
      <c r="I208" s="209"/>
      <c r="J208" s="210" t="s">
        <v>648</v>
      </c>
      <c r="K208" s="154">
        <v>10890</v>
      </c>
      <c r="L208" s="154">
        <v>8130</v>
      </c>
      <c r="M208" s="154"/>
      <c r="N208" s="155">
        <f t="shared" si="15"/>
        <v>2760</v>
      </c>
      <c r="O208" s="211"/>
    </row>
    <row r="209" spans="1:15" ht="16.5" customHeight="1" x14ac:dyDescent="0.25">
      <c r="A209" s="378">
        <f t="shared" si="16"/>
        <v>206</v>
      </c>
      <c r="B209" s="209">
        <v>17</v>
      </c>
      <c r="C209" s="208">
        <v>46199</v>
      </c>
      <c r="D209" s="209" t="s">
        <v>646</v>
      </c>
      <c r="E209" s="209" t="s">
        <v>25</v>
      </c>
      <c r="F209" s="209" t="s">
        <v>447</v>
      </c>
      <c r="G209" s="209" t="s">
        <v>659</v>
      </c>
      <c r="H209" s="209"/>
      <c r="I209" s="209"/>
      <c r="J209" s="210" t="s">
        <v>648</v>
      </c>
      <c r="K209" s="154">
        <v>10660</v>
      </c>
      <c r="L209" s="154">
        <v>7890</v>
      </c>
      <c r="M209" s="154"/>
      <c r="N209" s="155">
        <f t="shared" si="15"/>
        <v>2770</v>
      </c>
      <c r="O209" s="211"/>
    </row>
    <row r="210" spans="1:15" ht="16.5" customHeight="1" x14ac:dyDescent="0.25">
      <c r="A210" s="378">
        <f t="shared" si="16"/>
        <v>207</v>
      </c>
      <c r="B210" s="209">
        <v>18</v>
      </c>
      <c r="C210" s="208">
        <v>46199</v>
      </c>
      <c r="D210" s="209" t="s">
        <v>646</v>
      </c>
      <c r="E210" s="209" t="s">
        <v>25</v>
      </c>
      <c r="F210" s="209" t="s">
        <v>44</v>
      </c>
      <c r="G210" s="209" t="s">
        <v>650</v>
      </c>
      <c r="H210" s="209"/>
      <c r="I210" s="209"/>
      <c r="J210" s="210" t="s">
        <v>648</v>
      </c>
      <c r="K210" s="154">
        <v>12440</v>
      </c>
      <c r="L210" s="154">
        <v>8050</v>
      </c>
      <c r="M210" s="154"/>
      <c r="N210" s="155">
        <f t="shared" si="15"/>
        <v>4390</v>
      </c>
      <c r="O210" s="211"/>
    </row>
    <row r="211" spans="1:15" ht="16.5" customHeight="1" x14ac:dyDescent="0.25">
      <c r="A211" s="378">
        <f t="shared" si="16"/>
        <v>208</v>
      </c>
      <c r="B211" s="209">
        <v>19</v>
      </c>
      <c r="C211" s="208">
        <v>46199</v>
      </c>
      <c r="D211" s="209" t="s">
        <v>646</v>
      </c>
      <c r="E211" s="209" t="s">
        <v>25</v>
      </c>
      <c r="F211" s="209" t="s">
        <v>44</v>
      </c>
      <c r="G211" s="209" t="s">
        <v>660</v>
      </c>
      <c r="H211" s="209"/>
      <c r="I211" s="209"/>
      <c r="J211" s="210" t="s">
        <v>648</v>
      </c>
      <c r="K211" s="154">
        <v>10400</v>
      </c>
      <c r="L211" s="154">
        <v>7840</v>
      </c>
      <c r="M211" s="154"/>
      <c r="N211" s="155">
        <f t="shared" si="15"/>
        <v>2560</v>
      </c>
      <c r="O211" s="211"/>
    </row>
    <row r="212" spans="1:15" ht="16.5" customHeight="1" x14ac:dyDescent="0.25">
      <c r="A212" s="378">
        <f t="shared" si="16"/>
        <v>209</v>
      </c>
      <c r="B212" s="209">
        <v>20</v>
      </c>
      <c r="C212" s="208">
        <v>46199</v>
      </c>
      <c r="D212" s="209" t="s">
        <v>646</v>
      </c>
      <c r="E212" s="209" t="s">
        <v>25</v>
      </c>
      <c r="F212" s="209" t="s">
        <v>44</v>
      </c>
      <c r="G212" s="209" t="s">
        <v>661</v>
      </c>
      <c r="H212" s="209"/>
      <c r="I212" s="209"/>
      <c r="J212" s="210" t="s">
        <v>648</v>
      </c>
      <c r="K212" s="154">
        <v>10860</v>
      </c>
      <c r="L212" s="154">
        <v>8730</v>
      </c>
      <c r="M212" s="154"/>
      <c r="N212" s="155">
        <f t="shared" si="15"/>
        <v>2130</v>
      </c>
      <c r="O212" s="211"/>
    </row>
    <row r="213" spans="1:15" ht="16.5" customHeight="1" x14ac:dyDescent="0.25">
      <c r="A213" s="378">
        <f t="shared" si="16"/>
        <v>210</v>
      </c>
      <c r="B213" s="209">
        <v>21</v>
      </c>
      <c r="C213" s="208">
        <v>46199</v>
      </c>
      <c r="D213" s="209" t="s">
        <v>646</v>
      </c>
      <c r="E213" s="209" t="s">
        <v>25</v>
      </c>
      <c r="F213" s="209" t="s">
        <v>44</v>
      </c>
      <c r="G213" s="209" t="s">
        <v>662</v>
      </c>
      <c r="H213" s="209"/>
      <c r="I213" s="209"/>
      <c r="J213" s="210" t="s">
        <v>648</v>
      </c>
      <c r="K213" s="154">
        <v>22500</v>
      </c>
      <c r="L213" s="154">
        <v>15100</v>
      </c>
      <c r="M213" s="154"/>
      <c r="N213" s="155">
        <f t="shared" si="15"/>
        <v>7400</v>
      </c>
      <c r="O213" s="211"/>
    </row>
    <row r="214" spans="1:15" ht="16.5" customHeight="1" x14ac:dyDescent="0.25">
      <c r="A214" s="378">
        <f t="shared" si="16"/>
        <v>211</v>
      </c>
      <c r="B214" s="209">
        <v>22</v>
      </c>
      <c r="C214" s="208">
        <v>46199</v>
      </c>
      <c r="D214" s="209" t="s">
        <v>646</v>
      </c>
      <c r="E214" s="209" t="s">
        <v>25</v>
      </c>
      <c r="F214" s="209" t="s">
        <v>44</v>
      </c>
      <c r="G214" s="209" t="s">
        <v>654</v>
      </c>
      <c r="H214" s="209"/>
      <c r="I214" s="209"/>
      <c r="J214" s="210" t="s">
        <v>648</v>
      </c>
      <c r="K214" s="154">
        <v>11390</v>
      </c>
      <c r="L214" s="154">
        <v>9320</v>
      </c>
      <c r="M214" s="154"/>
      <c r="N214" s="155">
        <f t="shared" si="15"/>
        <v>2070</v>
      </c>
      <c r="O214" s="211"/>
    </row>
    <row r="215" spans="1:15" ht="16.5" customHeight="1" x14ac:dyDescent="0.25">
      <c r="A215" s="378">
        <f t="shared" si="16"/>
        <v>212</v>
      </c>
      <c r="B215" s="209">
        <v>23</v>
      </c>
      <c r="C215" s="208">
        <v>46199</v>
      </c>
      <c r="D215" s="209" t="s">
        <v>646</v>
      </c>
      <c r="E215" s="209" t="s">
        <v>25</v>
      </c>
      <c r="F215" s="209" t="s">
        <v>44</v>
      </c>
      <c r="G215" s="209" t="s">
        <v>663</v>
      </c>
      <c r="H215" s="209"/>
      <c r="I215" s="209"/>
      <c r="J215" s="210" t="s">
        <v>648</v>
      </c>
      <c r="K215" s="154">
        <v>10650</v>
      </c>
      <c r="L215" s="154">
        <v>8150</v>
      </c>
      <c r="M215" s="154"/>
      <c r="N215" s="155">
        <f t="shared" si="15"/>
        <v>2500</v>
      </c>
      <c r="O215" s="211"/>
    </row>
    <row r="216" spans="1:15" ht="16.5" customHeight="1" x14ac:dyDescent="0.25">
      <c r="A216" s="202">
        <f t="shared" si="16"/>
        <v>213</v>
      </c>
      <c r="B216" s="205">
        <v>24</v>
      </c>
      <c r="C216" s="204">
        <v>46199</v>
      </c>
      <c r="D216" s="205" t="s">
        <v>646</v>
      </c>
      <c r="E216" s="205" t="s">
        <v>25</v>
      </c>
      <c r="F216" s="205" t="s">
        <v>44</v>
      </c>
      <c r="G216" s="205" t="s">
        <v>664</v>
      </c>
      <c r="H216" s="205"/>
      <c r="I216" s="205"/>
      <c r="J216" s="206" t="s">
        <v>648</v>
      </c>
      <c r="K216" s="157">
        <v>10240</v>
      </c>
      <c r="L216" s="157">
        <v>8220</v>
      </c>
      <c r="M216" s="157"/>
      <c r="N216" s="162">
        <f t="shared" ref="N216:N223" si="17">K216-L216-M216</f>
        <v>2020</v>
      </c>
      <c r="O216" s="212"/>
    </row>
    <row r="217" spans="1:15" ht="16.5" customHeight="1" x14ac:dyDescent="0.25">
      <c r="A217" s="376">
        <f t="shared" si="16"/>
        <v>214</v>
      </c>
      <c r="B217" s="200">
        <v>1</v>
      </c>
      <c r="C217" s="199">
        <v>46200</v>
      </c>
      <c r="D217" s="200" t="s">
        <v>646</v>
      </c>
      <c r="E217" s="200" t="s">
        <v>25</v>
      </c>
      <c r="F217" s="200" t="s">
        <v>44</v>
      </c>
      <c r="G217" s="200" t="s">
        <v>650</v>
      </c>
      <c r="H217" s="200"/>
      <c r="I217" s="200"/>
      <c r="J217" s="201" t="s">
        <v>648</v>
      </c>
      <c r="K217" s="152">
        <v>11400</v>
      </c>
      <c r="L217" s="152">
        <v>8040</v>
      </c>
      <c r="M217" s="152"/>
      <c r="N217" s="153">
        <f t="shared" si="17"/>
        <v>3360</v>
      </c>
      <c r="O217" s="225"/>
    </row>
    <row r="218" spans="1:15" ht="16.5" customHeight="1" x14ac:dyDescent="0.25">
      <c r="A218" s="378">
        <f t="shared" si="16"/>
        <v>215</v>
      </c>
      <c r="B218" s="209">
        <v>2</v>
      </c>
      <c r="C218" s="208">
        <v>46200</v>
      </c>
      <c r="D218" s="209" t="s">
        <v>646</v>
      </c>
      <c r="E218" s="209" t="s">
        <v>25</v>
      </c>
      <c r="F218" s="209" t="s">
        <v>44</v>
      </c>
      <c r="G218" s="209" t="s">
        <v>665</v>
      </c>
      <c r="H218" s="209"/>
      <c r="I218" s="209"/>
      <c r="J218" s="210" t="s">
        <v>648</v>
      </c>
      <c r="K218" s="154">
        <v>11810</v>
      </c>
      <c r="L218" s="154">
        <v>8290</v>
      </c>
      <c r="M218" s="154"/>
      <c r="N218" s="155">
        <f t="shared" si="17"/>
        <v>3520</v>
      </c>
      <c r="O218" s="211"/>
    </row>
    <row r="219" spans="1:15" ht="16.5" customHeight="1" x14ac:dyDescent="0.25">
      <c r="A219" s="378">
        <f t="shared" si="16"/>
        <v>216</v>
      </c>
      <c r="B219" s="209">
        <v>3</v>
      </c>
      <c r="C219" s="208">
        <v>46200</v>
      </c>
      <c r="D219" s="209" t="s">
        <v>646</v>
      </c>
      <c r="E219" s="209" t="s">
        <v>25</v>
      </c>
      <c r="F219" s="209" t="s">
        <v>447</v>
      </c>
      <c r="G219" s="209" t="s">
        <v>666</v>
      </c>
      <c r="H219" s="209"/>
      <c r="I219" s="209"/>
      <c r="J219" s="210" t="s">
        <v>648</v>
      </c>
      <c r="K219" s="154">
        <v>13500</v>
      </c>
      <c r="L219" s="154">
        <v>10950</v>
      </c>
      <c r="M219" s="154"/>
      <c r="N219" s="155">
        <f t="shared" si="17"/>
        <v>2550</v>
      </c>
      <c r="O219" s="211"/>
    </row>
    <row r="220" spans="1:15" ht="16.5" customHeight="1" x14ac:dyDescent="0.25">
      <c r="A220" s="378">
        <f t="shared" si="16"/>
        <v>217</v>
      </c>
      <c r="B220" s="209">
        <v>4</v>
      </c>
      <c r="C220" s="208">
        <v>46200</v>
      </c>
      <c r="D220" s="209" t="s">
        <v>646</v>
      </c>
      <c r="E220" s="209" t="s">
        <v>25</v>
      </c>
      <c r="F220" s="209" t="s">
        <v>44</v>
      </c>
      <c r="G220" s="209" t="s">
        <v>667</v>
      </c>
      <c r="H220" s="209"/>
      <c r="I220" s="209"/>
      <c r="J220" s="210" t="s">
        <v>648</v>
      </c>
      <c r="K220" s="154">
        <v>11600</v>
      </c>
      <c r="L220" s="154">
        <v>8550</v>
      </c>
      <c r="M220" s="154"/>
      <c r="N220" s="155">
        <f t="shared" si="17"/>
        <v>3050</v>
      </c>
      <c r="O220" s="211"/>
    </row>
    <row r="221" spans="1:15" ht="16.5" customHeight="1" x14ac:dyDescent="0.25">
      <c r="A221" s="378">
        <f t="shared" si="16"/>
        <v>218</v>
      </c>
      <c r="B221" s="209">
        <v>5</v>
      </c>
      <c r="C221" s="208">
        <v>46200</v>
      </c>
      <c r="D221" s="209" t="s">
        <v>646</v>
      </c>
      <c r="E221" s="209" t="s">
        <v>25</v>
      </c>
      <c r="F221" s="209" t="s">
        <v>44</v>
      </c>
      <c r="G221" s="209" t="s">
        <v>668</v>
      </c>
      <c r="H221" s="209"/>
      <c r="I221" s="209"/>
      <c r="J221" s="210" t="s">
        <v>669</v>
      </c>
      <c r="K221" s="154">
        <v>17610</v>
      </c>
      <c r="L221" s="154">
        <v>9340</v>
      </c>
      <c r="M221" s="154"/>
      <c r="N221" s="155">
        <f t="shared" si="17"/>
        <v>8270</v>
      </c>
      <c r="O221" s="211"/>
    </row>
    <row r="222" spans="1:15" ht="16.5" customHeight="1" x14ac:dyDescent="0.25">
      <c r="A222" s="378">
        <f t="shared" si="16"/>
        <v>219</v>
      </c>
      <c r="B222" s="209">
        <v>6</v>
      </c>
      <c r="C222" s="208">
        <v>46200</v>
      </c>
      <c r="D222" s="209" t="s">
        <v>646</v>
      </c>
      <c r="E222" s="209" t="s">
        <v>25</v>
      </c>
      <c r="F222" s="209" t="s">
        <v>44</v>
      </c>
      <c r="G222" s="209" t="s">
        <v>670</v>
      </c>
      <c r="H222" s="209"/>
      <c r="I222" s="209"/>
      <c r="J222" s="210" t="s">
        <v>671</v>
      </c>
      <c r="K222" s="154">
        <v>11230</v>
      </c>
      <c r="L222" s="154">
        <v>8820</v>
      </c>
      <c r="M222" s="154"/>
      <c r="N222" s="155">
        <f t="shared" si="17"/>
        <v>2410</v>
      </c>
      <c r="O222" s="211"/>
    </row>
    <row r="223" spans="1:15" ht="16.5" customHeight="1" x14ac:dyDescent="0.25">
      <c r="A223" s="202">
        <f t="shared" si="0"/>
        <v>220</v>
      </c>
      <c r="B223" s="205">
        <v>7</v>
      </c>
      <c r="C223" s="204">
        <v>46200</v>
      </c>
      <c r="D223" s="205" t="s">
        <v>646</v>
      </c>
      <c r="E223" s="205" t="s">
        <v>25</v>
      </c>
      <c r="F223" s="205" t="s">
        <v>44</v>
      </c>
      <c r="G223" s="205" t="s">
        <v>654</v>
      </c>
      <c r="H223" s="205"/>
      <c r="I223" s="205"/>
      <c r="J223" s="206" t="s">
        <v>648</v>
      </c>
      <c r="K223" s="157">
        <v>10900</v>
      </c>
      <c r="L223" s="157">
        <v>9290</v>
      </c>
      <c r="M223" s="157"/>
      <c r="N223" s="162">
        <f t="shared" si="17"/>
        <v>1610</v>
      </c>
      <c r="O223" s="212"/>
    </row>
    <row r="224" spans="1:15" ht="16.5" customHeight="1" x14ac:dyDescent="0.25">
      <c r="A224" s="362">
        <f t="shared" ref="A224:A226" si="18">ROW()-3</f>
        <v>221</v>
      </c>
      <c r="B224" s="536"/>
      <c r="C224" s="387"/>
      <c r="D224" s="388"/>
      <c r="E224" s="388"/>
      <c r="F224" s="388"/>
      <c r="G224" s="388"/>
      <c r="H224" s="388"/>
      <c r="I224" s="388"/>
      <c r="J224" s="389"/>
      <c r="K224" s="390"/>
      <c r="L224" s="390"/>
      <c r="M224" s="390"/>
      <c r="N224" s="391"/>
      <c r="O224" s="392"/>
    </row>
    <row r="225" spans="1:15" ht="16.5" customHeight="1" x14ac:dyDescent="0.25">
      <c r="A225" s="362">
        <f t="shared" si="18"/>
        <v>222</v>
      </c>
      <c r="B225" s="536"/>
      <c r="C225" s="387"/>
      <c r="D225" s="388"/>
      <c r="E225" s="388"/>
      <c r="F225" s="388"/>
      <c r="G225" s="388"/>
      <c r="H225" s="388"/>
      <c r="I225" s="388"/>
      <c r="J225" s="389"/>
      <c r="K225" s="390"/>
      <c r="L225" s="390"/>
      <c r="M225" s="390"/>
      <c r="N225" s="391"/>
      <c r="O225" s="392"/>
    </row>
    <row r="226" spans="1:15" ht="16.5" customHeight="1" x14ac:dyDescent="0.25">
      <c r="A226" s="362">
        <f t="shared" si="18"/>
        <v>223</v>
      </c>
      <c r="B226" s="536"/>
      <c r="C226" s="387"/>
      <c r="D226" s="388"/>
      <c r="E226" s="388"/>
      <c r="F226" s="388"/>
      <c r="G226" s="388"/>
      <c r="H226" s="388"/>
      <c r="I226" s="388"/>
      <c r="J226" s="389"/>
      <c r="K226" s="390"/>
      <c r="L226" s="390"/>
      <c r="M226" s="390"/>
      <c r="N226" s="391"/>
      <c r="O226" s="392"/>
    </row>
    <row r="227" spans="1:15" ht="16.5" customHeight="1" x14ac:dyDescent="0.25">
      <c r="A227" s="362">
        <f t="shared" si="0"/>
        <v>224</v>
      </c>
      <c r="B227" s="421"/>
      <c r="C227" s="387"/>
      <c r="D227" s="388"/>
      <c r="E227" s="388"/>
      <c r="F227" s="388"/>
      <c r="G227" s="388"/>
      <c r="H227" s="388"/>
      <c r="I227" s="388"/>
      <c r="J227" s="389"/>
      <c r="K227" s="390"/>
      <c r="L227" s="390"/>
      <c r="M227" s="390"/>
      <c r="N227" s="391"/>
      <c r="O227" s="392"/>
    </row>
    <row r="228" spans="1:15" ht="16.5" customHeight="1" x14ac:dyDescent="0.25">
      <c r="A228" s="20">
        <f t="shared" si="0"/>
        <v>225</v>
      </c>
      <c r="B228" s="21"/>
      <c r="C228" s="22"/>
      <c r="D228" s="21"/>
      <c r="E228" s="21"/>
      <c r="F228" s="21"/>
      <c r="G228" s="21"/>
      <c r="H228" s="21"/>
      <c r="I228" s="21"/>
      <c r="J228" s="23"/>
      <c r="K228" s="24"/>
      <c r="L228" s="24"/>
      <c r="M228" s="24"/>
      <c r="N228" s="25"/>
      <c r="O228" s="26"/>
    </row>
  </sheetData>
  <autoFilter ref="A3:O228" xr:uid="{9A5732CA-B3C5-4332-9120-9E0CE23E5A7D}"/>
  <mergeCells count="1">
    <mergeCell ref="A1:O1"/>
  </mergeCells>
  <phoneticPr fontId="5" type="noConversion"/>
  <printOptions horizontalCentered="1"/>
  <pageMargins left="0.11811023622047245" right="0.11811023622047245" top="0.74803149606299213" bottom="0.74803149606299213" header="0.31496062992125984" footer="0.31496062992125984"/>
  <pageSetup paperSize="8" scale="8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D2FC-047E-4A3C-86D5-E7A4475A489F}">
  <dimension ref="A1:T50"/>
  <sheetViews>
    <sheetView zoomScaleNormal="100" workbookViewId="0">
      <pane ySplit="3" topLeftCell="A20" activePane="bottomLeft" state="frozen"/>
      <selection activeCell="F27" sqref="F27"/>
      <selection pane="bottomLeft" activeCell="F42" sqref="F42"/>
    </sheetView>
  </sheetViews>
  <sheetFormatPr defaultColWidth="9.140625" defaultRowHeight="16.5" customHeight="1" x14ac:dyDescent="0.25"/>
  <cols>
    <col min="1" max="2" width="6.42578125" style="27" customWidth="1"/>
    <col min="3" max="3" width="16.7109375" style="37" customWidth="1"/>
    <col min="4" max="4" width="19" style="27" customWidth="1"/>
    <col min="5" max="9" width="16.7109375" style="27" customWidth="1"/>
    <col min="10" max="10" width="22.85546875" style="27" customWidth="1"/>
    <col min="11" max="13" width="16.7109375" style="38" customWidth="1"/>
    <col min="14" max="14" width="16.140625" style="38" customWidth="1"/>
    <col min="15" max="15" width="28.7109375" style="27" customWidth="1"/>
    <col min="16" max="16" width="8.140625" style="27" bestFit="1" customWidth="1"/>
    <col min="17" max="17" width="6" style="27" bestFit="1" customWidth="1"/>
    <col min="18" max="18" width="8.140625" style="27" bestFit="1" customWidth="1"/>
    <col min="19" max="19" width="12.42578125" style="27" bestFit="1" customWidth="1"/>
    <col min="20" max="20" width="8.140625" style="27" bestFit="1" customWidth="1"/>
    <col min="21" max="16384" width="9.140625" style="27"/>
  </cols>
  <sheetData>
    <row r="1" spans="1:20" s="2" customFormat="1" ht="36.75" customHeight="1" x14ac:dyDescent="0.5">
      <c r="A1" s="563" t="s">
        <v>445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1"/>
      <c r="Q1" s="1"/>
      <c r="R1" s="1"/>
      <c r="S1" s="1"/>
      <c r="T1" s="1"/>
    </row>
    <row r="2" spans="1:20" s="3" customFormat="1" ht="14.25" thickBot="1" x14ac:dyDescent="0.3">
      <c r="C2" s="4"/>
      <c r="M2" s="5">
        <f>SUBTOTAL(9,M4:M576)</f>
        <v>12</v>
      </c>
      <c r="N2" s="6">
        <f>SUBTOTAL(9,N4:N576)</f>
        <v>228308</v>
      </c>
    </row>
    <row r="3" spans="1:20" s="11" customFormat="1" ht="30.75" customHeight="1" thickBot="1" x14ac:dyDescent="0.35">
      <c r="A3" s="39" t="s">
        <v>87</v>
      </c>
      <c r="B3" s="40" t="s">
        <v>86</v>
      </c>
      <c r="C3" s="40" t="s">
        <v>0</v>
      </c>
      <c r="D3" s="41" t="s">
        <v>1</v>
      </c>
      <c r="E3" s="41" t="s">
        <v>2</v>
      </c>
      <c r="F3" s="41" t="s">
        <v>3</v>
      </c>
      <c r="G3" s="41" t="s">
        <v>4</v>
      </c>
      <c r="H3" s="41" t="s">
        <v>5</v>
      </c>
      <c r="I3" s="41" t="s">
        <v>6</v>
      </c>
      <c r="J3" s="40" t="s">
        <v>7</v>
      </c>
      <c r="K3" s="41" t="s">
        <v>8</v>
      </c>
      <c r="L3" s="41" t="s">
        <v>9</v>
      </c>
      <c r="M3" s="41" t="s">
        <v>10</v>
      </c>
      <c r="N3" s="40" t="s">
        <v>11</v>
      </c>
      <c r="O3" s="42" t="s">
        <v>12</v>
      </c>
    </row>
    <row r="4" spans="1:20" s="19" customFormat="1" ht="16.5" customHeight="1" x14ac:dyDescent="0.25">
      <c r="A4" s="175">
        <f t="shared" ref="A4:A27" si="0">ROW()-3</f>
        <v>1</v>
      </c>
      <c r="B4" s="369">
        <v>1</v>
      </c>
      <c r="C4" s="370">
        <v>46163</v>
      </c>
      <c r="D4" s="369" t="s">
        <v>184</v>
      </c>
      <c r="E4" s="369" t="s">
        <v>25</v>
      </c>
      <c r="F4" s="369"/>
      <c r="G4" s="369"/>
      <c r="H4" s="369"/>
      <c r="I4" s="369"/>
      <c r="J4" s="371" t="s">
        <v>42</v>
      </c>
      <c r="K4" s="372">
        <v>11710</v>
      </c>
      <c r="L4" s="372">
        <v>11590</v>
      </c>
      <c r="M4" s="372">
        <v>12</v>
      </c>
      <c r="N4" s="373">
        <f t="shared" ref="N4:N27" si="1">K4-L4-M4</f>
        <v>108</v>
      </c>
      <c r="O4" s="374" t="s">
        <v>401</v>
      </c>
    </row>
    <row r="5" spans="1:20" s="19" customFormat="1" ht="16.5" customHeight="1" x14ac:dyDescent="0.25">
      <c r="A5" s="12">
        <f t="shared" si="0"/>
        <v>2</v>
      </c>
      <c r="B5" s="185">
        <v>1</v>
      </c>
      <c r="C5" s="366">
        <v>46170</v>
      </c>
      <c r="D5" s="185" t="s">
        <v>184</v>
      </c>
      <c r="E5" s="185" t="s">
        <v>13</v>
      </c>
      <c r="F5" s="185" t="s">
        <v>18</v>
      </c>
      <c r="G5" s="185" t="s">
        <v>428</v>
      </c>
      <c r="H5" s="185"/>
      <c r="I5" s="185"/>
      <c r="J5" s="367" t="s">
        <v>182</v>
      </c>
      <c r="K5" s="186">
        <v>37650</v>
      </c>
      <c r="L5" s="186">
        <v>18760</v>
      </c>
      <c r="M5" s="186"/>
      <c r="N5" s="43">
        <f t="shared" si="1"/>
        <v>18890</v>
      </c>
      <c r="O5" s="368" t="s">
        <v>429</v>
      </c>
    </row>
    <row r="6" spans="1:20" s="19" customFormat="1" ht="16.5" customHeight="1" x14ac:dyDescent="0.25">
      <c r="A6" s="20">
        <f t="shared" si="0"/>
        <v>3</v>
      </c>
      <c r="B6" s="146">
        <v>2</v>
      </c>
      <c r="C6" s="147">
        <v>46170</v>
      </c>
      <c r="D6" s="146" t="s">
        <v>184</v>
      </c>
      <c r="E6" s="146" t="s">
        <v>13</v>
      </c>
      <c r="F6" s="146" t="s">
        <v>18</v>
      </c>
      <c r="G6" s="146" t="s">
        <v>105</v>
      </c>
      <c r="H6" s="146" t="s">
        <v>106</v>
      </c>
      <c r="I6" s="146" t="s">
        <v>107</v>
      </c>
      <c r="J6" s="148" t="s">
        <v>187</v>
      </c>
      <c r="K6" s="149">
        <v>30830</v>
      </c>
      <c r="L6" s="149">
        <v>17780</v>
      </c>
      <c r="M6" s="149"/>
      <c r="N6" s="45">
        <f t="shared" si="1"/>
        <v>13050</v>
      </c>
      <c r="O6" s="150" t="s">
        <v>429</v>
      </c>
    </row>
    <row r="7" spans="1:20" s="19" customFormat="1" ht="16.5" customHeight="1" x14ac:dyDescent="0.25">
      <c r="A7" s="20">
        <f t="shared" si="0"/>
        <v>4</v>
      </c>
      <c r="B7" s="146">
        <v>3</v>
      </c>
      <c r="C7" s="147">
        <v>46170</v>
      </c>
      <c r="D7" s="146" t="s">
        <v>184</v>
      </c>
      <c r="E7" s="146" t="s">
        <v>13</v>
      </c>
      <c r="F7" s="146" t="s">
        <v>18</v>
      </c>
      <c r="G7" s="146" t="s">
        <v>430</v>
      </c>
      <c r="H7" s="146" t="s">
        <v>431</v>
      </c>
      <c r="I7" s="146" t="s">
        <v>432</v>
      </c>
      <c r="J7" s="148" t="s">
        <v>187</v>
      </c>
      <c r="K7" s="149">
        <v>28620</v>
      </c>
      <c r="L7" s="149">
        <v>18050</v>
      </c>
      <c r="M7" s="149"/>
      <c r="N7" s="45">
        <f t="shared" si="1"/>
        <v>10570</v>
      </c>
      <c r="O7" s="150" t="s">
        <v>429</v>
      </c>
    </row>
    <row r="8" spans="1:20" s="19" customFormat="1" ht="16.5" customHeight="1" x14ac:dyDescent="0.25">
      <c r="A8" s="20">
        <f t="shared" si="0"/>
        <v>5</v>
      </c>
      <c r="B8" s="146">
        <v>4</v>
      </c>
      <c r="C8" s="147">
        <v>46170</v>
      </c>
      <c r="D8" s="146" t="s">
        <v>184</v>
      </c>
      <c r="E8" s="146" t="s">
        <v>13</v>
      </c>
      <c r="F8" s="146" t="s">
        <v>18</v>
      </c>
      <c r="G8" s="146" t="s">
        <v>35</v>
      </c>
      <c r="H8" s="146" t="s">
        <v>36</v>
      </c>
      <c r="I8" s="146" t="s">
        <v>108</v>
      </c>
      <c r="J8" s="148" t="s">
        <v>187</v>
      </c>
      <c r="K8" s="149">
        <v>30820</v>
      </c>
      <c r="L8" s="149">
        <v>18780</v>
      </c>
      <c r="M8" s="149"/>
      <c r="N8" s="45">
        <f t="shared" si="1"/>
        <v>12040</v>
      </c>
      <c r="O8" s="150" t="s">
        <v>429</v>
      </c>
    </row>
    <row r="9" spans="1:20" s="19" customFormat="1" ht="16.5" customHeight="1" x14ac:dyDescent="0.25">
      <c r="A9" s="20">
        <f t="shared" si="0"/>
        <v>6</v>
      </c>
      <c r="B9" s="146">
        <v>5</v>
      </c>
      <c r="C9" s="147">
        <v>46170</v>
      </c>
      <c r="D9" s="146" t="s">
        <v>184</v>
      </c>
      <c r="E9" s="146" t="s">
        <v>13</v>
      </c>
      <c r="F9" s="146" t="s">
        <v>18</v>
      </c>
      <c r="G9" s="146" t="s">
        <v>51</v>
      </c>
      <c r="H9" s="146" t="s">
        <v>52</v>
      </c>
      <c r="I9" s="146" t="s">
        <v>100</v>
      </c>
      <c r="J9" s="148" t="s">
        <v>187</v>
      </c>
      <c r="K9" s="149">
        <v>29070</v>
      </c>
      <c r="L9" s="149">
        <v>18800</v>
      </c>
      <c r="M9" s="149"/>
      <c r="N9" s="45">
        <f t="shared" si="1"/>
        <v>10270</v>
      </c>
      <c r="O9" s="150" t="s">
        <v>429</v>
      </c>
    </row>
    <row r="10" spans="1:20" s="19" customFormat="1" ht="16.5" customHeight="1" x14ac:dyDescent="0.25">
      <c r="A10" s="20">
        <f t="shared" si="0"/>
        <v>7</v>
      </c>
      <c r="B10" s="146">
        <v>6</v>
      </c>
      <c r="C10" s="147">
        <v>46170</v>
      </c>
      <c r="D10" s="146" t="s">
        <v>184</v>
      </c>
      <c r="E10" s="146" t="s">
        <v>13</v>
      </c>
      <c r="F10" s="146" t="s">
        <v>14</v>
      </c>
      <c r="G10" s="146" t="s">
        <v>40</v>
      </c>
      <c r="H10" s="146" t="s">
        <v>41</v>
      </c>
      <c r="I10" s="146" t="s">
        <v>24</v>
      </c>
      <c r="J10" s="148" t="s">
        <v>37</v>
      </c>
      <c r="K10" s="149">
        <v>16320</v>
      </c>
      <c r="L10" s="149">
        <v>13960</v>
      </c>
      <c r="M10" s="149"/>
      <c r="N10" s="45">
        <f t="shared" si="1"/>
        <v>2360</v>
      </c>
      <c r="O10" s="150" t="s">
        <v>145</v>
      </c>
    </row>
    <row r="11" spans="1:20" s="19" customFormat="1" ht="16.5" customHeight="1" x14ac:dyDescent="0.25">
      <c r="A11" s="20">
        <f t="shared" si="0"/>
        <v>8</v>
      </c>
      <c r="B11" s="171" t="s">
        <v>438</v>
      </c>
      <c r="C11" s="147">
        <v>46170</v>
      </c>
      <c r="D11" s="146" t="s">
        <v>184</v>
      </c>
      <c r="E11" s="146" t="s">
        <v>25</v>
      </c>
      <c r="F11" s="146" t="s">
        <v>14</v>
      </c>
      <c r="G11" s="146" t="s">
        <v>22</v>
      </c>
      <c r="H11" s="146" t="s">
        <v>23</v>
      </c>
      <c r="I11" s="146" t="s">
        <v>17</v>
      </c>
      <c r="J11" s="148" t="s">
        <v>435</v>
      </c>
      <c r="K11" s="149">
        <v>22640</v>
      </c>
      <c r="L11" s="149">
        <v>21350</v>
      </c>
      <c r="M11" s="149"/>
      <c r="N11" s="45">
        <f>K11-L11-M11-190</f>
        <v>1100</v>
      </c>
      <c r="O11" s="150" t="s">
        <v>437</v>
      </c>
    </row>
    <row r="12" spans="1:20" s="19" customFormat="1" ht="16.5" customHeight="1" x14ac:dyDescent="0.25">
      <c r="A12" s="29">
        <f t="shared" si="0"/>
        <v>9</v>
      </c>
      <c r="B12" s="79" t="s">
        <v>439</v>
      </c>
      <c r="C12" s="30">
        <v>46170</v>
      </c>
      <c r="D12" s="31" t="s">
        <v>184</v>
      </c>
      <c r="E12" s="31" t="s">
        <v>25</v>
      </c>
      <c r="F12" s="31" t="s">
        <v>14</v>
      </c>
      <c r="G12" s="31" t="s">
        <v>22</v>
      </c>
      <c r="H12" s="31" t="s">
        <v>23</v>
      </c>
      <c r="I12" s="31" t="s">
        <v>17</v>
      </c>
      <c r="J12" s="32" t="s">
        <v>585</v>
      </c>
      <c r="K12" s="33"/>
      <c r="L12" s="33"/>
      <c r="M12" s="33"/>
      <c r="N12" s="48">
        <v>190</v>
      </c>
      <c r="O12" s="35" t="s">
        <v>436</v>
      </c>
    </row>
    <row r="13" spans="1:20" s="19" customFormat="1" ht="16.5" customHeight="1" x14ac:dyDescent="0.25">
      <c r="A13" s="12">
        <f t="shared" si="0"/>
        <v>10</v>
      </c>
      <c r="B13" s="183" t="s">
        <v>90</v>
      </c>
      <c r="C13" s="366">
        <v>46171</v>
      </c>
      <c r="D13" s="185" t="s">
        <v>184</v>
      </c>
      <c r="E13" s="185" t="s">
        <v>256</v>
      </c>
      <c r="F13" s="185" t="s">
        <v>14</v>
      </c>
      <c r="G13" s="185" t="s">
        <v>40</v>
      </c>
      <c r="H13" s="185" t="s">
        <v>41</v>
      </c>
      <c r="I13" s="185" t="s">
        <v>24</v>
      </c>
      <c r="J13" s="367" t="s">
        <v>37</v>
      </c>
      <c r="K13" s="186">
        <v>17950</v>
      </c>
      <c r="L13" s="186">
        <v>15020</v>
      </c>
      <c r="M13" s="186"/>
      <c r="N13" s="280">
        <f>K13-L13</f>
        <v>2930</v>
      </c>
      <c r="O13" s="368" t="s">
        <v>172</v>
      </c>
    </row>
    <row r="14" spans="1:20" s="19" customFormat="1" ht="16.5" customHeight="1" x14ac:dyDescent="0.25">
      <c r="A14" s="29">
        <f t="shared" si="0"/>
        <v>11</v>
      </c>
      <c r="B14" s="79" t="s">
        <v>93</v>
      </c>
      <c r="C14" s="30">
        <v>46171</v>
      </c>
      <c r="D14" s="31" t="s">
        <v>184</v>
      </c>
      <c r="E14" s="31" t="s">
        <v>225</v>
      </c>
      <c r="F14" s="31" t="s">
        <v>14</v>
      </c>
      <c r="G14" s="31" t="s">
        <v>40</v>
      </c>
      <c r="H14" s="31" t="s">
        <v>41</v>
      </c>
      <c r="I14" s="31" t="s">
        <v>24</v>
      </c>
      <c r="J14" s="32" t="s">
        <v>227</v>
      </c>
      <c r="K14" s="33">
        <v>15020</v>
      </c>
      <c r="L14" s="33">
        <v>14400</v>
      </c>
      <c r="M14" s="33"/>
      <c r="N14" s="48">
        <f>K14-L14</f>
        <v>620</v>
      </c>
      <c r="O14" s="35"/>
    </row>
    <row r="15" spans="1:20" s="19" customFormat="1" ht="16.5" customHeight="1" x14ac:dyDescent="0.25">
      <c r="A15" s="20">
        <f t="shared" si="0"/>
        <v>12</v>
      </c>
      <c r="B15" s="183">
        <v>1</v>
      </c>
      <c r="C15" s="366">
        <v>46174</v>
      </c>
      <c r="D15" s="185" t="s">
        <v>184</v>
      </c>
      <c r="E15" s="185" t="s">
        <v>13</v>
      </c>
      <c r="F15" s="185" t="s">
        <v>18</v>
      </c>
      <c r="G15" s="185" t="s">
        <v>441</v>
      </c>
      <c r="H15" s="185" t="s">
        <v>442</v>
      </c>
      <c r="I15" s="185" t="s">
        <v>443</v>
      </c>
      <c r="J15" s="367" t="s">
        <v>182</v>
      </c>
      <c r="K15" s="186">
        <v>36790</v>
      </c>
      <c r="L15" s="186">
        <v>18510</v>
      </c>
      <c r="M15" s="186"/>
      <c r="N15" s="43">
        <f>K15-L15</f>
        <v>18280</v>
      </c>
      <c r="O15" s="18"/>
    </row>
    <row r="16" spans="1:20" s="19" customFormat="1" ht="16.5" customHeight="1" x14ac:dyDescent="0.25">
      <c r="A16" s="20">
        <f t="shared" si="0"/>
        <v>13</v>
      </c>
      <c r="B16" s="183">
        <v>2</v>
      </c>
      <c r="C16" s="366">
        <v>46174</v>
      </c>
      <c r="D16" s="185" t="s">
        <v>184</v>
      </c>
      <c r="E16" s="185" t="s">
        <v>13</v>
      </c>
      <c r="F16" s="185" t="s">
        <v>18</v>
      </c>
      <c r="G16" s="185" t="s">
        <v>441</v>
      </c>
      <c r="H16" s="185" t="s">
        <v>442</v>
      </c>
      <c r="I16" s="185" t="s">
        <v>443</v>
      </c>
      <c r="J16" s="367" t="s">
        <v>20</v>
      </c>
      <c r="K16" s="186">
        <v>36360</v>
      </c>
      <c r="L16" s="186">
        <v>18770</v>
      </c>
      <c r="M16" s="186"/>
      <c r="N16" s="45">
        <f t="shared" ref="N16:N18" si="2">K16-L16</f>
        <v>17590</v>
      </c>
      <c r="O16" s="26"/>
    </row>
    <row r="17" spans="1:20" s="19" customFormat="1" ht="16.5" customHeight="1" x14ac:dyDescent="0.25">
      <c r="A17" s="29">
        <f t="shared" si="0"/>
        <v>14</v>
      </c>
      <c r="B17" s="393">
        <v>3</v>
      </c>
      <c r="C17" s="370">
        <v>46174</v>
      </c>
      <c r="D17" s="369" t="s">
        <v>184</v>
      </c>
      <c r="E17" s="369" t="s">
        <v>13</v>
      </c>
      <c r="F17" s="369" t="s">
        <v>14</v>
      </c>
      <c r="G17" s="369" t="s">
        <v>22</v>
      </c>
      <c r="H17" s="369" t="s">
        <v>23</v>
      </c>
      <c r="I17" s="369" t="s">
        <v>70</v>
      </c>
      <c r="J17" s="371" t="s">
        <v>37</v>
      </c>
      <c r="K17" s="372">
        <v>24620</v>
      </c>
      <c r="L17" s="372">
        <v>21220</v>
      </c>
      <c r="M17" s="372"/>
      <c r="N17" s="48">
        <f t="shared" si="2"/>
        <v>3400</v>
      </c>
      <c r="O17" s="35" t="s">
        <v>444</v>
      </c>
    </row>
    <row r="18" spans="1:20" s="19" customFormat="1" ht="16.5" customHeight="1" x14ac:dyDescent="0.25">
      <c r="A18" s="258">
        <f t="shared" si="0"/>
        <v>15</v>
      </c>
      <c r="B18" s="399">
        <v>1</v>
      </c>
      <c r="C18" s="400">
        <v>46177</v>
      </c>
      <c r="D18" s="401" t="s">
        <v>184</v>
      </c>
      <c r="E18" s="401" t="s">
        <v>13</v>
      </c>
      <c r="F18" s="401" t="s">
        <v>18</v>
      </c>
      <c r="G18" s="401" t="s">
        <v>45</v>
      </c>
      <c r="H18" s="401" t="s">
        <v>46</v>
      </c>
      <c r="I18" s="401" t="s">
        <v>47</v>
      </c>
      <c r="J18" s="402" t="s">
        <v>182</v>
      </c>
      <c r="K18" s="403">
        <v>39780</v>
      </c>
      <c r="L18" s="403">
        <v>18570</v>
      </c>
      <c r="M18" s="403"/>
      <c r="N18" s="404">
        <f t="shared" si="2"/>
        <v>21210</v>
      </c>
      <c r="O18" s="405" t="s">
        <v>473</v>
      </c>
    </row>
    <row r="19" spans="1:20" s="19" customFormat="1" ht="16.5" customHeight="1" x14ac:dyDescent="0.25">
      <c r="A19" s="20">
        <f t="shared" si="0"/>
        <v>16</v>
      </c>
      <c r="B19" s="52" t="s">
        <v>92</v>
      </c>
      <c r="C19" s="22">
        <v>46177</v>
      </c>
      <c r="D19" s="21" t="s">
        <v>184</v>
      </c>
      <c r="E19" s="21" t="s">
        <v>163</v>
      </c>
      <c r="F19" s="21" t="s">
        <v>14</v>
      </c>
      <c r="G19" s="21" t="s">
        <v>22</v>
      </c>
      <c r="H19" s="21" t="s">
        <v>23</v>
      </c>
      <c r="I19" s="21" t="s">
        <v>29</v>
      </c>
      <c r="J19" s="23" t="s">
        <v>33</v>
      </c>
      <c r="K19" s="24">
        <v>26580</v>
      </c>
      <c r="L19" s="24">
        <v>21100</v>
      </c>
      <c r="M19" s="24"/>
      <c r="N19" s="45">
        <f>K19-L19-240</f>
        <v>5240</v>
      </c>
      <c r="O19" s="26" t="s">
        <v>474</v>
      </c>
    </row>
    <row r="20" spans="1:20" s="19" customFormat="1" ht="16.5" customHeight="1" x14ac:dyDescent="0.25">
      <c r="A20" s="29">
        <f t="shared" si="0"/>
        <v>17</v>
      </c>
      <c r="B20" s="79" t="s">
        <v>269</v>
      </c>
      <c r="C20" s="30">
        <v>46177</v>
      </c>
      <c r="D20" s="31" t="s">
        <v>184</v>
      </c>
      <c r="E20" s="31" t="s">
        <v>25</v>
      </c>
      <c r="F20" s="31" t="s">
        <v>14</v>
      </c>
      <c r="G20" s="31" t="s">
        <v>22</v>
      </c>
      <c r="H20" s="31" t="s">
        <v>23</v>
      </c>
      <c r="I20" s="31" t="s">
        <v>29</v>
      </c>
      <c r="J20" s="32" t="s">
        <v>152</v>
      </c>
      <c r="K20" s="33"/>
      <c r="L20" s="33"/>
      <c r="M20" s="33"/>
      <c r="N20" s="48">
        <v>240</v>
      </c>
      <c r="O20" s="407" t="s">
        <v>475</v>
      </c>
    </row>
    <row r="21" spans="1:20" s="19" customFormat="1" ht="16.5" customHeight="1" x14ac:dyDescent="0.25">
      <c r="A21" s="12">
        <f t="shared" si="0"/>
        <v>18</v>
      </c>
      <c r="B21" s="51">
        <v>1</v>
      </c>
      <c r="C21" s="14">
        <v>46182</v>
      </c>
      <c r="D21" s="13" t="s">
        <v>184</v>
      </c>
      <c r="E21" s="13" t="s">
        <v>13</v>
      </c>
      <c r="F21" s="13" t="s">
        <v>18</v>
      </c>
      <c r="G21" s="13" t="s">
        <v>324</v>
      </c>
      <c r="H21" s="13"/>
      <c r="I21" s="13"/>
      <c r="J21" s="15" t="s">
        <v>182</v>
      </c>
      <c r="K21" s="16">
        <v>37930</v>
      </c>
      <c r="L21" s="16">
        <v>18530</v>
      </c>
      <c r="M21" s="16"/>
      <c r="N21" s="43">
        <f>K21-L21</f>
        <v>19400</v>
      </c>
      <c r="O21" s="406"/>
    </row>
    <row r="22" spans="1:20" s="19" customFormat="1" ht="16.5" customHeight="1" x14ac:dyDescent="0.25">
      <c r="A22" s="29">
        <f t="shared" si="0"/>
        <v>19</v>
      </c>
      <c r="B22" s="79">
        <v>2</v>
      </c>
      <c r="C22" s="30">
        <v>46182</v>
      </c>
      <c r="D22" s="31" t="s">
        <v>184</v>
      </c>
      <c r="E22" s="31" t="s">
        <v>13</v>
      </c>
      <c r="F22" s="31" t="s">
        <v>18</v>
      </c>
      <c r="G22" s="31" t="s">
        <v>252</v>
      </c>
      <c r="H22" s="31"/>
      <c r="I22" s="31"/>
      <c r="J22" s="32" t="s">
        <v>182</v>
      </c>
      <c r="K22" s="33">
        <v>37530</v>
      </c>
      <c r="L22" s="33">
        <v>18130</v>
      </c>
      <c r="M22" s="33"/>
      <c r="N22" s="48">
        <f>K22-L22</f>
        <v>19400</v>
      </c>
      <c r="O22" s="407"/>
    </row>
    <row r="23" spans="1:20" s="19" customFormat="1" ht="16.5" customHeight="1" x14ac:dyDescent="0.25">
      <c r="A23" s="258">
        <f t="shared" si="0"/>
        <v>20</v>
      </c>
      <c r="B23" s="399">
        <v>1</v>
      </c>
      <c r="C23" s="400">
        <v>46184</v>
      </c>
      <c r="D23" s="401" t="s">
        <v>184</v>
      </c>
      <c r="E23" s="401" t="s">
        <v>13</v>
      </c>
      <c r="F23" s="401" t="s">
        <v>18</v>
      </c>
      <c r="G23" s="401" t="s">
        <v>159</v>
      </c>
      <c r="H23" s="401" t="s">
        <v>160</v>
      </c>
      <c r="I23" s="401" t="s">
        <v>161</v>
      </c>
      <c r="J23" s="402" t="s">
        <v>182</v>
      </c>
      <c r="K23" s="403">
        <v>36780</v>
      </c>
      <c r="L23" s="403">
        <v>18600</v>
      </c>
      <c r="M23" s="403"/>
      <c r="N23" s="404">
        <f t="shared" ref="N23:N26" si="3">K23-L23</f>
        <v>18180</v>
      </c>
      <c r="O23" s="420"/>
    </row>
    <row r="24" spans="1:20" s="19" customFormat="1" ht="16.5" customHeight="1" x14ac:dyDescent="0.25">
      <c r="A24" s="29">
        <f t="shared" si="0"/>
        <v>21</v>
      </c>
      <c r="B24" s="79">
        <v>2</v>
      </c>
      <c r="C24" s="30">
        <v>46184</v>
      </c>
      <c r="D24" s="31" t="s">
        <v>184</v>
      </c>
      <c r="E24" s="31" t="s">
        <v>13</v>
      </c>
      <c r="F24" s="31" t="s">
        <v>18</v>
      </c>
      <c r="G24" s="31" t="s">
        <v>559</v>
      </c>
      <c r="H24" s="31"/>
      <c r="I24" s="31"/>
      <c r="J24" s="32" t="s">
        <v>182</v>
      </c>
      <c r="K24" s="33">
        <v>42010</v>
      </c>
      <c r="L24" s="33">
        <v>18470</v>
      </c>
      <c r="M24" s="33"/>
      <c r="N24" s="48">
        <f t="shared" si="3"/>
        <v>23540</v>
      </c>
      <c r="O24" s="407"/>
    </row>
    <row r="25" spans="1:20" s="19" customFormat="1" ht="16.5" customHeight="1" x14ac:dyDescent="0.25">
      <c r="A25" s="12">
        <f t="shared" si="0"/>
        <v>22</v>
      </c>
      <c r="B25" s="183">
        <v>1</v>
      </c>
      <c r="C25" s="366">
        <v>46186</v>
      </c>
      <c r="D25" s="13" t="s">
        <v>184</v>
      </c>
      <c r="E25" s="13" t="s">
        <v>13</v>
      </c>
      <c r="F25" s="185" t="s">
        <v>224</v>
      </c>
      <c r="G25" s="185" t="s">
        <v>515</v>
      </c>
      <c r="H25" s="185" t="s">
        <v>517</v>
      </c>
      <c r="I25" s="185" t="s">
        <v>519</v>
      </c>
      <c r="J25" s="367" t="s">
        <v>257</v>
      </c>
      <c r="K25" s="186">
        <v>30870</v>
      </c>
      <c r="L25" s="186">
        <v>21170</v>
      </c>
      <c r="M25" s="186"/>
      <c r="N25" s="43">
        <f t="shared" si="3"/>
        <v>9700</v>
      </c>
      <c r="O25" s="18" t="s">
        <v>572</v>
      </c>
    </row>
    <row r="26" spans="1:20" s="19" customFormat="1" ht="16.5" customHeight="1" x14ac:dyDescent="0.25">
      <c r="A26" s="20">
        <f t="shared" si="0"/>
        <v>23</v>
      </c>
      <c r="B26" s="171"/>
      <c r="C26" s="147"/>
      <c r="D26" s="146"/>
      <c r="E26" s="146"/>
      <c r="F26" s="146"/>
      <c r="G26" s="146"/>
      <c r="H26" s="146"/>
      <c r="I26" s="146"/>
      <c r="J26" s="148"/>
      <c r="K26" s="149"/>
      <c r="L26" s="149"/>
      <c r="M26" s="149"/>
      <c r="N26" s="45">
        <f t="shared" si="3"/>
        <v>0</v>
      </c>
      <c r="O26" s="150"/>
    </row>
    <row r="27" spans="1:20" s="19" customFormat="1" ht="16.5" customHeight="1" x14ac:dyDescent="0.25">
      <c r="A27" s="29">
        <f t="shared" si="0"/>
        <v>24</v>
      </c>
      <c r="B27" s="31"/>
      <c r="C27" s="30"/>
      <c r="D27" s="31"/>
      <c r="E27" s="31"/>
      <c r="F27" s="31"/>
      <c r="G27" s="31"/>
      <c r="H27" s="31"/>
      <c r="I27" s="31"/>
      <c r="J27" s="32"/>
      <c r="K27" s="33"/>
      <c r="L27" s="33"/>
      <c r="M27" s="33"/>
      <c r="N27" s="48">
        <f t="shared" si="1"/>
        <v>0</v>
      </c>
      <c r="O27" s="35"/>
    </row>
    <row r="28" spans="1:20" ht="16.5" customHeight="1" x14ac:dyDescent="0.25">
      <c r="C28" s="50"/>
    </row>
    <row r="29" spans="1:20" ht="16.5" customHeight="1" x14ac:dyDescent="0.25">
      <c r="C29" s="450" t="s">
        <v>593</v>
      </c>
    </row>
    <row r="30" spans="1:20" ht="16.5" customHeight="1" thickBot="1" x14ac:dyDescent="0.3"/>
    <row r="31" spans="1:20" ht="21.6" customHeight="1" x14ac:dyDescent="0.25">
      <c r="C31" s="460" t="s">
        <v>7</v>
      </c>
      <c r="D31" s="460" t="s">
        <v>592</v>
      </c>
      <c r="E31"/>
      <c r="F31" s="467" t="s">
        <v>605</v>
      </c>
      <c r="G31" s="468" t="s">
        <v>606</v>
      </c>
      <c r="H31" s="469" t="s">
        <v>604</v>
      </c>
      <c r="I31"/>
      <c r="J31"/>
      <c r="K31"/>
      <c r="L31"/>
      <c r="M31"/>
      <c r="N31"/>
      <c r="O31"/>
      <c r="P31"/>
      <c r="Q31"/>
      <c r="R31"/>
      <c r="S31"/>
      <c r="T31"/>
    </row>
    <row r="32" spans="1:20" ht="15" x14ac:dyDescent="0.25">
      <c r="C32" s="456" t="s">
        <v>43</v>
      </c>
      <c r="D32" s="457">
        <v>9700</v>
      </c>
      <c r="E32"/>
      <c r="F32" s="470" t="s">
        <v>257</v>
      </c>
      <c r="G32" s="471">
        <f>SUM(D32:D37)</f>
        <v>227150</v>
      </c>
      <c r="H32" s="472">
        <f>G32/GETPIVOTDATA("입고량(kg)",$C$31)</f>
        <v>0.99492790440983236</v>
      </c>
      <c r="I32"/>
      <c r="J32"/>
      <c r="K32"/>
      <c r="L32"/>
      <c r="M32"/>
      <c r="N32"/>
      <c r="O32"/>
      <c r="P32"/>
      <c r="Q32"/>
      <c r="R32"/>
      <c r="S32"/>
      <c r="T32"/>
    </row>
    <row r="33" spans="3:20" ht="15" x14ac:dyDescent="0.25">
      <c r="C33" s="456" t="s">
        <v>37</v>
      </c>
      <c r="D33" s="457">
        <v>8690</v>
      </c>
      <c r="E33"/>
      <c r="F33" s="474" t="s">
        <v>227</v>
      </c>
      <c r="G33" s="475">
        <f>SUM(D38:D40)</f>
        <v>1158</v>
      </c>
      <c r="H33" s="476">
        <f>G33/GETPIVOTDATA("입고량(kg)",$C$31)</f>
        <v>5.0720955901676686E-3</v>
      </c>
      <c r="I33"/>
      <c r="J33"/>
      <c r="K33"/>
      <c r="L33"/>
      <c r="M33"/>
      <c r="N33"/>
      <c r="O33"/>
      <c r="P33"/>
      <c r="Q33"/>
      <c r="R33"/>
      <c r="S33"/>
      <c r="T33"/>
    </row>
    <row r="34" spans="3:20" ht="15" x14ac:dyDescent="0.25">
      <c r="C34" s="456" t="s">
        <v>33</v>
      </c>
      <c r="D34" s="457">
        <v>6340</v>
      </c>
      <c r="E34"/>
      <c r="F34" s="537" t="s">
        <v>621</v>
      </c>
      <c r="G34" s="538">
        <f>SUM(G30:G33)</f>
        <v>228308</v>
      </c>
      <c r="H34" s="539">
        <f>SUM(H30:H33)</f>
        <v>1</v>
      </c>
    </row>
    <row r="35" spans="3:20" ht="15" x14ac:dyDescent="0.25">
      <c r="C35" s="456" t="s">
        <v>187</v>
      </c>
      <c r="D35" s="457">
        <v>45930</v>
      </c>
      <c r="E35"/>
      <c r="F35" s="540"/>
      <c r="G35" s="541"/>
      <c r="H35" s="542"/>
    </row>
    <row r="36" spans="3:20" ht="15" x14ac:dyDescent="0.25">
      <c r="C36" s="456" t="s">
        <v>20</v>
      </c>
      <c r="D36" s="457">
        <v>17590</v>
      </c>
      <c r="E36"/>
      <c r="F36" s="543"/>
      <c r="G36" s="544"/>
      <c r="H36" s="545"/>
    </row>
    <row r="37" spans="3:20" ht="15" x14ac:dyDescent="0.25">
      <c r="C37" s="456" t="s">
        <v>182</v>
      </c>
      <c r="D37" s="457">
        <v>138900</v>
      </c>
      <c r="E37"/>
    </row>
    <row r="38" spans="3:20" ht="15" x14ac:dyDescent="0.25">
      <c r="C38" s="446" t="s">
        <v>152</v>
      </c>
      <c r="D38" s="449">
        <v>860</v>
      </c>
      <c r="E38"/>
    </row>
    <row r="39" spans="3:20" ht="15" x14ac:dyDescent="0.25">
      <c r="C39" s="446" t="s">
        <v>185</v>
      </c>
      <c r="D39" s="449">
        <v>190</v>
      </c>
      <c r="E39"/>
    </row>
    <row r="40" spans="3:20" ht="15" x14ac:dyDescent="0.25">
      <c r="C40" s="446" t="s">
        <v>42</v>
      </c>
      <c r="D40" s="449">
        <v>108</v>
      </c>
      <c r="E40"/>
    </row>
    <row r="41" spans="3:20" ht="15" x14ac:dyDescent="0.25">
      <c r="C41" s="453" t="s">
        <v>588</v>
      </c>
      <c r="D41" s="455">
        <v>228308</v>
      </c>
      <c r="E41"/>
    </row>
    <row r="42" spans="3:20" ht="15" x14ac:dyDescent="0.25">
      <c r="C42"/>
      <c r="D42"/>
      <c r="E42"/>
    </row>
    <row r="43" spans="3:20" ht="15" x14ac:dyDescent="0.25">
      <c r="C43"/>
      <c r="D43"/>
      <c r="E43"/>
    </row>
    <row r="44" spans="3:20" ht="15" x14ac:dyDescent="0.25">
      <c r="C44"/>
      <c r="D44"/>
      <c r="E44"/>
    </row>
    <row r="45" spans="3:20" ht="15" x14ac:dyDescent="0.25">
      <c r="C45"/>
      <c r="D45"/>
      <c r="E45"/>
    </row>
    <row r="46" spans="3:20" ht="15" x14ac:dyDescent="0.25">
      <c r="C46"/>
      <c r="D46"/>
      <c r="E46"/>
    </row>
    <row r="47" spans="3:20" ht="15" hidden="1" x14ac:dyDescent="0.25">
      <c r="C47"/>
      <c r="D47"/>
      <c r="E47"/>
    </row>
    <row r="48" spans="3:20" ht="21.6" customHeight="1" x14ac:dyDescent="0.25">
      <c r="C48"/>
      <c r="D48"/>
      <c r="E48"/>
    </row>
    <row r="50" spans="3:3" ht="16.5" customHeight="1" x14ac:dyDescent="0.25">
      <c r="C50" s="37" t="s">
        <v>589</v>
      </c>
    </row>
  </sheetData>
  <autoFilter ref="A3:O27" xr:uid="{9992D2FC-047E-4A3C-86D5-E7A4475A489F}"/>
  <mergeCells count="1">
    <mergeCell ref="A1:O1"/>
  </mergeCells>
  <phoneticPr fontId="5" type="noConversion"/>
  <conditionalFormatting sqref="H35:H36 H32">
    <cfRule type="dataBar" priority="2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{C5AE233C-D561-4893-A634-4E990BA7B71A}</x14:id>
        </ext>
      </extLst>
    </cfRule>
  </conditionalFormatting>
  <conditionalFormatting sqref="H33:H34">
    <cfRule type="dataBar" priority="1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{86B11B8F-0C33-4517-A049-C438A224703E}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AE233C-D561-4893-A634-4E990BA7B7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H35:H36 H32</xm:sqref>
        </x14:conditionalFormatting>
        <x14:conditionalFormatting xmlns:xm="http://schemas.microsoft.com/office/excel/2006/main">
          <x14:cfRule type="dataBar" id="{86B11B8F-0C33-4517-A049-C438A22470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H33:H34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4E82-C3B9-4C43-8893-224FFCE48B4D}">
  <dimension ref="A1:T37"/>
  <sheetViews>
    <sheetView zoomScaleNormal="100" workbookViewId="0">
      <pane ySplit="3" topLeftCell="A4" activePane="bottomLeft" state="frozen"/>
      <selection sqref="A1:XFD1048576"/>
      <selection pane="bottomLeft" activeCell="G35" sqref="G35"/>
    </sheetView>
  </sheetViews>
  <sheetFormatPr defaultColWidth="9.140625" defaultRowHeight="16.5" customHeight="1" x14ac:dyDescent="0.25"/>
  <cols>
    <col min="1" max="2" width="6.42578125" style="27" customWidth="1"/>
    <col min="3" max="3" width="16.7109375" style="37" customWidth="1"/>
    <col min="4" max="4" width="23.7109375" style="27" customWidth="1"/>
    <col min="5" max="9" width="16.7109375" style="27" customWidth="1"/>
    <col min="10" max="10" width="22.85546875" style="27" customWidth="1"/>
    <col min="11" max="13" width="16.7109375" style="38" customWidth="1"/>
    <col min="14" max="14" width="16.140625" style="38" customWidth="1"/>
    <col min="15" max="15" width="28.7109375" style="27" customWidth="1"/>
    <col min="16" max="16384" width="9.140625" style="27"/>
  </cols>
  <sheetData>
    <row r="1" spans="1:20" s="2" customFormat="1" ht="36.75" customHeight="1" x14ac:dyDescent="0.5">
      <c r="A1" s="563" t="s">
        <v>645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1"/>
      <c r="Q1" s="1"/>
      <c r="R1" s="1"/>
      <c r="S1" s="1"/>
      <c r="T1" s="1"/>
    </row>
    <row r="2" spans="1:20" s="3" customFormat="1" ht="14.25" thickBot="1" x14ac:dyDescent="0.3">
      <c r="C2" s="4"/>
      <c r="M2" s="5">
        <f>SUBTOTAL(9,M4:M586)</f>
        <v>0</v>
      </c>
      <c r="N2" s="6">
        <f>SUBTOTAL(9,N4:N586)</f>
        <v>98220</v>
      </c>
    </row>
    <row r="3" spans="1:20" s="11" customFormat="1" ht="30.75" customHeight="1" thickBot="1" x14ac:dyDescent="0.35">
      <c r="A3" s="39" t="s">
        <v>87</v>
      </c>
      <c r="B3" s="40" t="s">
        <v>86</v>
      </c>
      <c r="C3" s="40" t="s">
        <v>0</v>
      </c>
      <c r="D3" s="41" t="s">
        <v>1</v>
      </c>
      <c r="E3" s="41" t="s">
        <v>2</v>
      </c>
      <c r="F3" s="41" t="s">
        <v>3</v>
      </c>
      <c r="G3" s="41" t="s">
        <v>4</v>
      </c>
      <c r="H3" s="41" t="s">
        <v>5</v>
      </c>
      <c r="I3" s="41" t="s">
        <v>6</v>
      </c>
      <c r="J3" s="40" t="s">
        <v>7</v>
      </c>
      <c r="K3" s="41" t="s">
        <v>8</v>
      </c>
      <c r="L3" s="41" t="s">
        <v>9</v>
      </c>
      <c r="M3" s="41" t="s">
        <v>10</v>
      </c>
      <c r="N3" s="40" t="s">
        <v>11</v>
      </c>
      <c r="O3" s="42" t="s">
        <v>12</v>
      </c>
    </row>
    <row r="4" spans="1:20" s="19" customFormat="1" ht="16.5" customHeight="1" x14ac:dyDescent="0.25">
      <c r="A4" s="176">
        <f>ROW()-3</f>
        <v>1</v>
      </c>
      <c r="B4" s="178">
        <v>1</v>
      </c>
      <c r="C4" s="177">
        <v>46199</v>
      </c>
      <c r="D4" s="178" t="s">
        <v>646</v>
      </c>
      <c r="E4" s="178" t="s">
        <v>225</v>
      </c>
      <c r="F4" s="178" t="s">
        <v>44</v>
      </c>
      <c r="G4" s="178" t="s">
        <v>647</v>
      </c>
      <c r="H4" s="178"/>
      <c r="I4" s="178"/>
      <c r="J4" s="179" t="s">
        <v>648</v>
      </c>
      <c r="K4" s="180">
        <v>10480</v>
      </c>
      <c r="L4" s="180">
        <v>8700</v>
      </c>
      <c r="M4" s="180"/>
      <c r="N4" s="181">
        <f t="shared" ref="N4:N36" si="0">K4-L4-M4</f>
        <v>1780</v>
      </c>
      <c r="O4" s="182"/>
    </row>
    <row r="5" spans="1:20" s="19" customFormat="1" ht="13.5" x14ac:dyDescent="0.25">
      <c r="A5" s="20">
        <f t="shared" ref="A5:A36" si="1">ROW()-3</f>
        <v>2</v>
      </c>
      <c r="B5" s="21">
        <v>2</v>
      </c>
      <c r="C5" s="22">
        <v>46199</v>
      </c>
      <c r="D5" s="21" t="s">
        <v>646</v>
      </c>
      <c r="E5" s="21" t="s">
        <v>25</v>
      </c>
      <c r="F5" s="21" t="s">
        <v>44</v>
      </c>
      <c r="G5" s="21" t="s">
        <v>649</v>
      </c>
      <c r="H5" s="21"/>
      <c r="I5" s="21"/>
      <c r="J5" s="23" t="s">
        <v>648</v>
      </c>
      <c r="K5" s="24">
        <v>11350</v>
      </c>
      <c r="L5" s="24">
        <v>9650</v>
      </c>
      <c r="M5" s="24"/>
      <c r="N5" s="45">
        <f t="shared" si="0"/>
        <v>1700</v>
      </c>
      <c r="O5" s="28"/>
    </row>
    <row r="6" spans="1:20" s="19" customFormat="1" ht="16.5" customHeight="1" x14ac:dyDescent="0.25">
      <c r="A6" s="20">
        <f t="shared" si="1"/>
        <v>3</v>
      </c>
      <c r="B6" s="21">
        <v>3</v>
      </c>
      <c r="C6" s="22">
        <v>46199</v>
      </c>
      <c r="D6" s="21" t="s">
        <v>646</v>
      </c>
      <c r="E6" s="21" t="s">
        <v>25</v>
      </c>
      <c r="F6" s="21" t="s">
        <v>44</v>
      </c>
      <c r="G6" s="21" t="s">
        <v>650</v>
      </c>
      <c r="H6" s="21"/>
      <c r="I6" s="21"/>
      <c r="J6" s="23" t="s">
        <v>648</v>
      </c>
      <c r="K6" s="24">
        <v>10160</v>
      </c>
      <c r="L6" s="24">
        <v>8090</v>
      </c>
      <c r="M6" s="24"/>
      <c r="N6" s="45">
        <f t="shared" si="0"/>
        <v>2070</v>
      </c>
      <c r="O6" s="26"/>
    </row>
    <row r="7" spans="1:20" s="19" customFormat="1" ht="16.5" customHeight="1" x14ac:dyDescent="0.25">
      <c r="A7" s="20">
        <f t="shared" si="1"/>
        <v>4</v>
      </c>
      <c r="B7" s="21">
        <v>4</v>
      </c>
      <c r="C7" s="22">
        <v>46199</v>
      </c>
      <c r="D7" s="21" t="s">
        <v>646</v>
      </c>
      <c r="E7" s="21" t="s">
        <v>25</v>
      </c>
      <c r="F7" s="21" t="s">
        <v>447</v>
      </c>
      <c r="G7" s="21" t="s">
        <v>651</v>
      </c>
      <c r="H7" s="21"/>
      <c r="I7" s="21"/>
      <c r="J7" s="23" t="s">
        <v>648</v>
      </c>
      <c r="K7" s="24">
        <v>13060</v>
      </c>
      <c r="L7" s="24">
        <v>9930</v>
      </c>
      <c r="M7" s="24"/>
      <c r="N7" s="45">
        <f t="shared" si="0"/>
        <v>3130</v>
      </c>
      <c r="O7" s="26"/>
    </row>
    <row r="8" spans="1:20" s="19" customFormat="1" ht="16.5" customHeight="1" x14ac:dyDescent="0.25">
      <c r="A8" s="20">
        <f t="shared" si="1"/>
        <v>5</v>
      </c>
      <c r="B8" s="21">
        <v>5</v>
      </c>
      <c r="C8" s="22">
        <v>46199</v>
      </c>
      <c r="D8" s="21" t="s">
        <v>646</v>
      </c>
      <c r="E8" s="21" t="s">
        <v>25</v>
      </c>
      <c r="F8" s="21" t="s">
        <v>447</v>
      </c>
      <c r="G8" s="21" t="s">
        <v>652</v>
      </c>
      <c r="H8" s="21"/>
      <c r="I8" s="21"/>
      <c r="J8" s="23" t="s">
        <v>648</v>
      </c>
      <c r="K8" s="24">
        <v>13180</v>
      </c>
      <c r="L8" s="24">
        <v>10340</v>
      </c>
      <c r="M8" s="24"/>
      <c r="N8" s="45">
        <f t="shared" si="0"/>
        <v>2840</v>
      </c>
      <c r="O8" s="26"/>
    </row>
    <row r="9" spans="1:20" s="19" customFormat="1" ht="16.5" customHeight="1" x14ac:dyDescent="0.25">
      <c r="A9" s="20">
        <f t="shared" si="1"/>
        <v>6</v>
      </c>
      <c r="B9" s="21">
        <v>6</v>
      </c>
      <c r="C9" s="22">
        <v>46199</v>
      </c>
      <c r="D9" s="21" t="s">
        <v>646</v>
      </c>
      <c r="E9" s="21" t="s">
        <v>25</v>
      </c>
      <c r="F9" s="21" t="s">
        <v>44</v>
      </c>
      <c r="G9" s="21" t="s">
        <v>653</v>
      </c>
      <c r="H9" s="21"/>
      <c r="I9" s="21"/>
      <c r="J9" s="23" t="s">
        <v>648</v>
      </c>
      <c r="K9" s="24">
        <v>10870</v>
      </c>
      <c r="L9" s="24">
        <v>8540</v>
      </c>
      <c r="M9" s="24"/>
      <c r="N9" s="45">
        <f t="shared" si="0"/>
        <v>2330</v>
      </c>
      <c r="O9" s="26"/>
    </row>
    <row r="10" spans="1:20" s="19" customFormat="1" ht="16.5" customHeight="1" x14ac:dyDescent="0.25">
      <c r="A10" s="20">
        <f t="shared" si="1"/>
        <v>7</v>
      </c>
      <c r="B10" s="21">
        <v>7</v>
      </c>
      <c r="C10" s="22">
        <v>46199</v>
      </c>
      <c r="D10" s="21" t="s">
        <v>646</v>
      </c>
      <c r="E10" s="21" t="s">
        <v>25</v>
      </c>
      <c r="F10" s="21" t="s">
        <v>44</v>
      </c>
      <c r="G10" s="21" t="s">
        <v>654</v>
      </c>
      <c r="H10" s="21"/>
      <c r="I10" s="21"/>
      <c r="J10" s="23" t="s">
        <v>648</v>
      </c>
      <c r="K10" s="24">
        <v>11860</v>
      </c>
      <c r="L10" s="24">
        <v>9360</v>
      </c>
      <c r="M10" s="24"/>
      <c r="N10" s="45">
        <f t="shared" si="0"/>
        <v>2500</v>
      </c>
      <c r="O10" s="26"/>
    </row>
    <row r="11" spans="1:20" s="19" customFormat="1" ht="16.5" customHeight="1" x14ac:dyDescent="0.25">
      <c r="A11" s="20">
        <f t="shared" si="1"/>
        <v>8</v>
      </c>
      <c r="B11" s="21">
        <v>8</v>
      </c>
      <c r="C11" s="22">
        <v>46199</v>
      </c>
      <c r="D11" s="21" t="s">
        <v>646</v>
      </c>
      <c r="E11" s="21" t="s">
        <v>25</v>
      </c>
      <c r="F11" s="21" t="s">
        <v>44</v>
      </c>
      <c r="G11" s="21" t="s">
        <v>647</v>
      </c>
      <c r="H11" s="21"/>
      <c r="I11" s="21"/>
      <c r="J11" s="23" t="s">
        <v>648</v>
      </c>
      <c r="K11" s="24">
        <v>10470</v>
      </c>
      <c r="L11" s="24">
        <v>8670</v>
      </c>
      <c r="M11" s="24"/>
      <c r="N11" s="45">
        <f t="shared" si="0"/>
        <v>1800</v>
      </c>
      <c r="O11" s="26"/>
    </row>
    <row r="12" spans="1:20" s="19" customFormat="1" ht="16.5" customHeight="1" x14ac:dyDescent="0.25">
      <c r="A12" s="20">
        <f t="shared" si="1"/>
        <v>9</v>
      </c>
      <c r="B12" s="21">
        <v>9</v>
      </c>
      <c r="C12" s="22">
        <v>46199</v>
      </c>
      <c r="D12" s="21" t="s">
        <v>646</v>
      </c>
      <c r="E12" s="21" t="s">
        <v>25</v>
      </c>
      <c r="F12" s="21" t="s">
        <v>44</v>
      </c>
      <c r="G12" s="21" t="s">
        <v>655</v>
      </c>
      <c r="H12" s="21"/>
      <c r="I12" s="21"/>
      <c r="J12" s="23" t="s">
        <v>648</v>
      </c>
      <c r="K12" s="24">
        <v>10190</v>
      </c>
      <c r="L12" s="24">
        <v>7770</v>
      </c>
      <c r="M12" s="24"/>
      <c r="N12" s="45">
        <f t="shared" si="0"/>
        <v>2420</v>
      </c>
      <c r="O12" s="26"/>
    </row>
    <row r="13" spans="1:20" s="19" customFormat="1" ht="16.5" customHeight="1" x14ac:dyDescent="0.25">
      <c r="A13" s="20">
        <f t="shared" si="1"/>
        <v>10</v>
      </c>
      <c r="B13" s="21">
        <v>10</v>
      </c>
      <c r="C13" s="22">
        <v>46199</v>
      </c>
      <c r="D13" s="21" t="s">
        <v>646</v>
      </c>
      <c r="E13" s="21" t="s">
        <v>25</v>
      </c>
      <c r="F13" s="21" t="s">
        <v>44</v>
      </c>
      <c r="G13" s="21" t="s">
        <v>650</v>
      </c>
      <c r="H13" s="21"/>
      <c r="I13" s="21"/>
      <c r="J13" s="23" t="s">
        <v>648</v>
      </c>
      <c r="K13" s="24">
        <v>12720</v>
      </c>
      <c r="L13" s="24">
        <v>8070</v>
      </c>
      <c r="M13" s="24"/>
      <c r="N13" s="45">
        <f t="shared" si="0"/>
        <v>4650</v>
      </c>
      <c r="O13" s="26"/>
    </row>
    <row r="14" spans="1:20" s="19" customFormat="1" ht="16.5" customHeight="1" x14ac:dyDescent="0.25">
      <c r="A14" s="20">
        <f t="shared" si="1"/>
        <v>11</v>
      </c>
      <c r="B14" s="21">
        <v>11</v>
      </c>
      <c r="C14" s="22">
        <v>46199</v>
      </c>
      <c r="D14" s="21" t="s">
        <v>646</v>
      </c>
      <c r="E14" s="21" t="s">
        <v>25</v>
      </c>
      <c r="F14" s="21" t="s">
        <v>44</v>
      </c>
      <c r="G14" s="21" t="s">
        <v>653</v>
      </c>
      <c r="H14" s="21"/>
      <c r="I14" s="21"/>
      <c r="J14" s="23" t="s">
        <v>648</v>
      </c>
      <c r="K14" s="24">
        <v>15320</v>
      </c>
      <c r="L14" s="24">
        <v>8520</v>
      </c>
      <c r="M14" s="24"/>
      <c r="N14" s="45">
        <f t="shared" si="0"/>
        <v>6800</v>
      </c>
      <c r="O14" s="26"/>
    </row>
    <row r="15" spans="1:20" s="19" customFormat="1" ht="16.5" customHeight="1" x14ac:dyDescent="0.25">
      <c r="A15" s="20">
        <f t="shared" si="1"/>
        <v>12</v>
      </c>
      <c r="B15" s="21">
        <v>12</v>
      </c>
      <c r="C15" s="22">
        <v>46199</v>
      </c>
      <c r="D15" s="21" t="s">
        <v>646</v>
      </c>
      <c r="E15" s="21" t="s">
        <v>25</v>
      </c>
      <c r="F15" s="21" t="s">
        <v>44</v>
      </c>
      <c r="G15" s="21" t="s">
        <v>656</v>
      </c>
      <c r="H15" s="21"/>
      <c r="I15" s="21"/>
      <c r="J15" s="23" t="s">
        <v>648</v>
      </c>
      <c r="K15" s="24">
        <v>10810</v>
      </c>
      <c r="L15" s="24">
        <v>7770</v>
      </c>
      <c r="M15" s="24"/>
      <c r="N15" s="45">
        <f t="shared" si="0"/>
        <v>3040</v>
      </c>
      <c r="O15" s="26"/>
    </row>
    <row r="16" spans="1:20" s="19" customFormat="1" ht="16.5" customHeight="1" x14ac:dyDescent="0.25">
      <c r="A16" s="20">
        <f t="shared" si="1"/>
        <v>13</v>
      </c>
      <c r="B16" s="21">
        <v>13</v>
      </c>
      <c r="C16" s="22">
        <v>46199</v>
      </c>
      <c r="D16" s="21" t="s">
        <v>646</v>
      </c>
      <c r="E16" s="21" t="s">
        <v>25</v>
      </c>
      <c r="F16" s="21" t="s">
        <v>44</v>
      </c>
      <c r="G16" s="21" t="s">
        <v>654</v>
      </c>
      <c r="H16" s="21"/>
      <c r="I16" s="21"/>
      <c r="J16" s="23" t="s">
        <v>648</v>
      </c>
      <c r="K16" s="24">
        <v>11830</v>
      </c>
      <c r="L16" s="24">
        <v>9330</v>
      </c>
      <c r="M16" s="24"/>
      <c r="N16" s="45">
        <f t="shared" si="0"/>
        <v>2500</v>
      </c>
      <c r="O16" s="26"/>
    </row>
    <row r="17" spans="1:15" s="19" customFormat="1" ht="16.5" customHeight="1" x14ac:dyDescent="0.25">
      <c r="A17" s="20">
        <f t="shared" si="1"/>
        <v>14</v>
      </c>
      <c r="B17" s="21">
        <v>14</v>
      </c>
      <c r="C17" s="22">
        <v>46199</v>
      </c>
      <c r="D17" s="21" t="s">
        <v>646</v>
      </c>
      <c r="E17" s="21" t="s">
        <v>25</v>
      </c>
      <c r="F17" s="21" t="s">
        <v>44</v>
      </c>
      <c r="G17" s="21" t="s">
        <v>647</v>
      </c>
      <c r="H17" s="21"/>
      <c r="I17" s="21"/>
      <c r="J17" s="23" t="s">
        <v>648</v>
      </c>
      <c r="K17" s="24">
        <v>12000</v>
      </c>
      <c r="L17" s="24">
        <v>8670</v>
      </c>
      <c r="M17" s="24"/>
      <c r="N17" s="45">
        <f t="shared" si="0"/>
        <v>3330</v>
      </c>
      <c r="O17" s="26"/>
    </row>
    <row r="18" spans="1:15" s="19" customFormat="1" ht="16.5" customHeight="1" x14ac:dyDescent="0.25">
      <c r="A18" s="20">
        <f t="shared" si="1"/>
        <v>15</v>
      </c>
      <c r="B18" s="21">
        <v>15</v>
      </c>
      <c r="C18" s="22">
        <v>46199</v>
      </c>
      <c r="D18" s="21" t="s">
        <v>646</v>
      </c>
      <c r="E18" s="21" t="s">
        <v>25</v>
      </c>
      <c r="F18" s="21" t="s">
        <v>44</v>
      </c>
      <c r="G18" s="21" t="s">
        <v>657</v>
      </c>
      <c r="H18" s="21"/>
      <c r="I18" s="21"/>
      <c r="J18" s="23" t="s">
        <v>648</v>
      </c>
      <c r="K18" s="24">
        <v>12890</v>
      </c>
      <c r="L18" s="24">
        <v>8930</v>
      </c>
      <c r="M18" s="24"/>
      <c r="N18" s="45">
        <f t="shared" si="0"/>
        <v>3960</v>
      </c>
      <c r="O18" s="26"/>
    </row>
    <row r="19" spans="1:15" s="19" customFormat="1" ht="16.5" customHeight="1" x14ac:dyDescent="0.25">
      <c r="A19" s="20">
        <f t="shared" si="1"/>
        <v>16</v>
      </c>
      <c r="B19" s="21">
        <v>16</v>
      </c>
      <c r="C19" s="22">
        <v>46199</v>
      </c>
      <c r="D19" s="21" t="s">
        <v>646</v>
      </c>
      <c r="E19" s="21" t="s">
        <v>25</v>
      </c>
      <c r="F19" s="21" t="s">
        <v>447</v>
      </c>
      <c r="G19" s="21" t="s">
        <v>658</v>
      </c>
      <c r="H19" s="21"/>
      <c r="I19" s="21"/>
      <c r="J19" s="23" t="s">
        <v>648</v>
      </c>
      <c r="K19" s="24">
        <v>10890</v>
      </c>
      <c r="L19" s="24">
        <v>8130</v>
      </c>
      <c r="M19" s="24"/>
      <c r="N19" s="45">
        <f t="shared" si="0"/>
        <v>2760</v>
      </c>
      <c r="O19" s="26"/>
    </row>
    <row r="20" spans="1:15" s="19" customFormat="1" ht="16.5" customHeight="1" x14ac:dyDescent="0.25">
      <c r="A20" s="20">
        <f t="shared" si="1"/>
        <v>17</v>
      </c>
      <c r="B20" s="21">
        <v>17</v>
      </c>
      <c r="C20" s="22">
        <v>46199</v>
      </c>
      <c r="D20" s="21" t="s">
        <v>646</v>
      </c>
      <c r="E20" s="21" t="s">
        <v>25</v>
      </c>
      <c r="F20" s="21" t="s">
        <v>447</v>
      </c>
      <c r="G20" s="21" t="s">
        <v>659</v>
      </c>
      <c r="H20" s="21"/>
      <c r="I20" s="21"/>
      <c r="J20" s="23" t="s">
        <v>648</v>
      </c>
      <c r="K20" s="24">
        <v>10660</v>
      </c>
      <c r="L20" s="24">
        <v>7890</v>
      </c>
      <c r="M20" s="24"/>
      <c r="N20" s="45">
        <f t="shared" si="0"/>
        <v>2770</v>
      </c>
      <c r="O20" s="26"/>
    </row>
    <row r="21" spans="1:15" s="19" customFormat="1" ht="16.5" customHeight="1" x14ac:dyDescent="0.25">
      <c r="A21" s="20">
        <f t="shared" si="1"/>
        <v>18</v>
      </c>
      <c r="B21" s="21">
        <v>18</v>
      </c>
      <c r="C21" s="22">
        <v>46199</v>
      </c>
      <c r="D21" s="21" t="s">
        <v>646</v>
      </c>
      <c r="E21" s="21" t="s">
        <v>25</v>
      </c>
      <c r="F21" s="21" t="s">
        <v>44</v>
      </c>
      <c r="G21" s="21" t="s">
        <v>650</v>
      </c>
      <c r="H21" s="21"/>
      <c r="I21" s="21"/>
      <c r="J21" s="23" t="s">
        <v>648</v>
      </c>
      <c r="K21" s="24">
        <v>12440</v>
      </c>
      <c r="L21" s="24">
        <v>8050</v>
      </c>
      <c r="M21" s="24"/>
      <c r="N21" s="45">
        <f t="shared" si="0"/>
        <v>4390</v>
      </c>
      <c r="O21" s="26"/>
    </row>
    <row r="22" spans="1:15" s="19" customFormat="1" ht="16.5" customHeight="1" x14ac:dyDescent="0.25">
      <c r="A22" s="20">
        <f t="shared" si="1"/>
        <v>19</v>
      </c>
      <c r="B22" s="21">
        <v>19</v>
      </c>
      <c r="C22" s="22">
        <v>46199</v>
      </c>
      <c r="D22" s="21" t="s">
        <v>646</v>
      </c>
      <c r="E22" s="21" t="s">
        <v>25</v>
      </c>
      <c r="F22" s="21" t="s">
        <v>44</v>
      </c>
      <c r="G22" s="21" t="s">
        <v>660</v>
      </c>
      <c r="H22" s="21"/>
      <c r="I22" s="21"/>
      <c r="J22" s="23" t="s">
        <v>648</v>
      </c>
      <c r="K22" s="24">
        <v>10400</v>
      </c>
      <c r="L22" s="24">
        <v>7840</v>
      </c>
      <c r="M22" s="24"/>
      <c r="N22" s="45">
        <f t="shared" si="0"/>
        <v>2560</v>
      </c>
      <c r="O22" s="26"/>
    </row>
    <row r="23" spans="1:15" s="19" customFormat="1" ht="16.5" customHeight="1" x14ac:dyDescent="0.25">
      <c r="A23" s="20">
        <f t="shared" si="1"/>
        <v>20</v>
      </c>
      <c r="B23" s="21">
        <v>20</v>
      </c>
      <c r="C23" s="22">
        <v>46199</v>
      </c>
      <c r="D23" s="21" t="s">
        <v>646</v>
      </c>
      <c r="E23" s="21" t="s">
        <v>25</v>
      </c>
      <c r="F23" s="21" t="s">
        <v>44</v>
      </c>
      <c r="G23" s="21" t="s">
        <v>661</v>
      </c>
      <c r="H23" s="21"/>
      <c r="I23" s="21"/>
      <c r="J23" s="23" t="s">
        <v>648</v>
      </c>
      <c r="K23" s="24">
        <v>10860</v>
      </c>
      <c r="L23" s="24">
        <v>8730</v>
      </c>
      <c r="M23" s="24"/>
      <c r="N23" s="45">
        <f t="shared" si="0"/>
        <v>2130</v>
      </c>
      <c r="O23" s="26"/>
    </row>
    <row r="24" spans="1:15" s="19" customFormat="1" ht="16.5" customHeight="1" x14ac:dyDescent="0.25">
      <c r="A24" s="20">
        <f t="shared" si="1"/>
        <v>21</v>
      </c>
      <c r="B24" s="21">
        <v>21</v>
      </c>
      <c r="C24" s="22">
        <v>46199</v>
      </c>
      <c r="D24" s="21" t="s">
        <v>646</v>
      </c>
      <c r="E24" s="21" t="s">
        <v>25</v>
      </c>
      <c r="F24" s="21" t="s">
        <v>44</v>
      </c>
      <c r="G24" s="21" t="s">
        <v>662</v>
      </c>
      <c r="H24" s="21"/>
      <c r="I24" s="21"/>
      <c r="J24" s="23" t="s">
        <v>648</v>
      </c>
      <c r="K24" s="24">
        <v>22500</v>
      </c>
      <c r="L24" s="24">
        <v>15100</v>
      </c>
      <c r="M24" s="24"/>
      <c r="N24" s="45">
        <f t="shared" si="0"/>
        <v>7400</v>
      </c>
      <c r="O24" s="26"/>
    </row>
    <row r="25" spans="1:15" s="19" customFormat="1" ht="16.5" customHeight="1" x14ac:dyDescent="0.25">
      <c r="A25" s="20">
        <f t="shared" si="1"/>
        <v>22</v>
      </c>
      <c r="B25" s="21">
        <v>22</v>
      </c>
      <c r="C25" s="22">
        <v>46199</v>
      </c>
      <c r="D25" s="21" t="s">
        <v>646</v>
      </c>
      <c r="E25" s="21" t="s">
        <v>25</v>
      </c>
      <c r="F25" s="21" t="s">
        <v>44</v>
      </c>
      <c r="G25" s="21" t="s">
        <v>654</v>
      </c>
      <c r="H25" s="21"/>
      <c r="I25" s="21"/>
      <c r="J25" s="23" t="s">
        <v>648</v>
      </c>
      <c r="K25" s="24">
        <v>11390</v>
      </c>
      <c r="L25" s="24">
        <v>9320</v>
      </c>
      <c r="M25" s="24"/>
      <c r="N25" s="45">
        <f>K25-L25-M25</f>
        <v>2070</v>
      </c>
      <c r="O25" s="26"/>
    </row>
    <row r="26" spans="1:15" s="19" customFormat="1" ht="16.5" customHeight="1" x14ac:dyDescent="0.25">
      <c r="A26" s="20">
        <f t="shared" si="1"/>
        <v>23</v>
      </c>
      <c r="B26" s="21">
        <v>23</v>
      </c>
      <c r="C26" s="22">
        <v>46199</v>
      </c>
      <c r="D26" s="209" t="s">
        <v>646</v>
      </c>
      <c r="E26" s="209" t="s">
        <v>25</v>
      </c>
      <c r="F26" s="209" t="s">
        <v>44</v>
      </c>
      <c r="G26" s="209" t="s">
        <v>663</v>
      </c>
      <c r="H26" s="209"/>
      <c r="I26" s="209"/>
      <c r="J26" s="210" t="s">
        <v>648</v>
      </c>
      <c r="K26" s="154">
        <v>10650</v>
      </c>
      <c r="L26" s="154">
        <v>8150</v>
      </c>
      <c r="M26" s="154"/>
      <c r="N26" s="45">
        <f>K26-L26-M26</f>
        <v>2500</v>
      </c>
      <c r="O26" s="26"/>
    </row>
    <row r="27" spans="1:15" s="19" customFormat="1" ht="16.5" customHeight="1" x14ac:dyDescent="0.25">
      <c r="A27" s="29">
        <f t="shared" si="1"/>
        <v>24</v>
      </c>
      <c r="B27" s="31">
        <v>24</v>
      </c>
      <c r="C27" s="30">
        <v>46199</v>
      </c>
      <c r="D27" s="205" t="s">
        <v>646</v>
      </c>
      <c r="E27" s="205" t="s">
        <v>25</v>
      </c>
      <c r="F27" s="205" t="s">
        <v>44</v>
      </c>
      <c r="G27" s="205" t="s">
        <v>664</v>
      </c>
      <c r="H27" s="205"/>
      <c r="I27" s="205"/>
      <c r="J27" s="206" t="s">
        <v>648</v>
      </c>
      <c r="K27" s="157">
        <v>10240</v>
      </c>
      <c r="L27" s="157">
        <v>8220</v>
      </c>
      <c r="M27" s="157"/>
      <c r="N27" s="48">
        <f t="shared" ref="N27:N34" si="2">K27-L27-M27</f>
        <v>2020</v>
      </c>
      <c r="O27" s="35"/>
    </row>
    <row r="28" spans="1:15" s="19" customFormat="1" ht="16.5" customHeight="1" x14ac:dyDescent="0.25">
      <c r="A28" s="12">
        <f t="shared" si="1"/>
        <v>25</v>
      </c>
      <c r="B28" s="13">
        <v>1</v>
      </c>
      <c r="C28" s="14">
        <v>46200</v>
      </c>
      <c r="D28" s="200" t="s">
        <v>646</v>
      </c>
      <c r="E28" s="200" t="s">
        <v>25</v>
      </c>
      <c r="F28" s="200" t="s">
        <v>44</v>
      </c>
      <c r="G28" s="200" t="s">
        <v>650</v>
      </c>
      <c r="H28" s="200"/>
      <c r="I28" s="200"/>
      <c r="J28" s="201" t="s">
        <v>648</v>
      </c>
      <c r="K28" s="152">
        <v>11400</v>
      </c>
      <c r="L28" s="152">
        <v>8040</v>
      </c>
      <c r="M28" s="152"/>
      <c r="N28" s="43">
        <f t="shared" si="2"/>
        <v>3360</v>
      </c>
      <c r="O28" s="18"/>
    </row>
    <row r="29" spans="1:15" s="19" customFormat="1" ht="16.5" customHeight="1" x14ac:dyDescent="0.25">
      <c r="A29" s="20">
        <f t="shared" si="1"/>
        <v>26</v>
      </c>
      <c r="B29" s="21">
        <v>2</v>
      </c>
      <c r="C29" s="22">
        <v>46200</v>
      </c>
      <c r="D29" s="209" t="s">
        <v>646</v>
      </c>
      <c r="E29" s="209" t="s">
        <v>25</v>
      </c>
      <c r="F29" s="209" t="s">
        <v>44</v>
      </c>
      <c r="G29" s="209" t="s">
        <v>665</v>
      </c>
      <c r="H29" s="209"/>
      <c r="I29" s="209"/>
      <c r="J29" s="210" t="s">
        <v>648</v>
      </c>
      <c r="K29" s="154">
        <v>11810</v>
      </c>
      <c r="L29" s="154">
        <v>8290</v>
      </c>
      <c r="M29" s="154"/>
      <c r="N29" s="45">
        <f t="shared" si="2"/>
        <v>3520</v>
      </c>
      <c r="O29" s="26"/>
    </row>
    <row r="30" spans="1:15" s="19" customFormat="1" ht="16.5" customHeight="1" x14ac:dyDescent="0.25">
      <c r="A30" s="20">
        <f t="shared" si="1"/>
        <v>27</v>
      </c>
      <c r="B30" s="21">
        <v>3</v>
      </c>
      <c r="C30" s="22">
        <v>46200</v>
      </c>
      <c r="D30" s="209" t="s">
        <v>646</v>
      </c>
      <c r="E30" s="209" t="s">
        <v>25</v>
      </c>
      <c r="F30" s="209" t="s">
        <v>447</v>
      </c>
      <c r="G30" s="209" t="s">
        <v>666</v>
      </c>
      <c r="H30" s="209"/>
      <c r="I30" s="209"/>
      <c r="J30" s="210" t="s">
        <v>648</v>
      </c>
      <c r="K30" s="154">
        <v>13500</v>
      </c>
      <c r="L30" s="154">
        <v>10950</v>
      </c>
      <c r="M30" s="154"/>
      <c r="N30" s="45">
        <f t="shared" si="2"/>
        <v>2550</v>
      </c>
      <c r="O30" s="26"/>
    </row>
    <row r="31" spans="1:15" s="19" customFormat="1" ht="16.5" customHeight="1" x14ac:dyDescent="0.25">
      <c r="A31" s="20">
        <f t="shared" si="1"/>
        <v>28</v>
      </c>
      <c r="B31" s="21">
        <v>4</v>
      </c>
      <c r="C31" s="22">
        <v>46200</v>
      </c>
      <c r="D31" s="209" t="s">
        <v>646</v>
      </c>
      <c r="E31" s="209" t="s">
        <v>25</v>
      </c>
      <c r="F31" s="209" t="s">
        <v>44</v>
      </c>
      <c r="G31" s="209" t="s">
        <v>667</v>
      </c>
      <c r="H31" s="209"/>
      <c r="I31" s="209"/>
      <c r="J31" s="210" t="s">
        <v>648</v>
      </c>
      <c r="K31" s="154">
        <v>11600</v>
      </c>
      <c r="L31" s="154">
        <v>8550</v>
      </c>
      <c r="M31" s="154"/>
      <c r="N31" s="45">
        <f t="shared" si="2"/>
        <v>3050</v>
      </c>
      <c r="O31" s="26"/>
    </row>
    <row r="32" spans="1:15" s="19" customFormat="1" ht="16.5" customHeight="1" x14ac:dyDescent="0.25">
      <c r="A32" s="20">
        <f t="shared" si="1"/>
        <v>29</v>
      </c>
      <c r="B32" s="21">
        <v>5</v>
      </c>
      <c r="C32" s="22">
        <v>46200</v>
      </c>
      <c r="D32" s="209" t="s">
        <v>646</v>
      </c>
      <c r="E32" s="209" t="s">
        <v>25</v>
      </c>
      <c r="F32" s="209" t="s">
        <v>44</v>
      </c>
      <c r="G32" s="209" t="s">
        <v>668</v>
      </c>
      <c r="H32" s="209"/>
      <c r="I32" s="209"/>
      <c r="J32" s="210" t="s">
        <v>669</v>
      </c>
      <c r="K32" s="154">
        <v>17610</v>
      </c>
      <c r="L32" s="154">
        <v>9340</v>
      </c>
      <c r="M32" s="154"/>
      <c r="N32" s="45">
        <f t="shared" si="2"/>
        <v>8270</v>
      </c>
      <c r="O32" s="26"/>
    </row>
    <row r="33" spans="1:15" s="19" customFormat="1" ht="16.5" customHeight="1" x14ac:dyDescent="0.25">
      <c r="A33" s="20">
        <f t="shared" si="1"/>
        <v>30</v>
      </c>
      <c r="B33" s="21">
        <v>6</v>
      </c>
      <c r="C33" s="22">
        <v>46200</v>
      </c>
      <c r="D33" s="209" t="s">
        <v>646</v>
      </c>
      <c r="E33" s="209" t="s">
        <v>25</v>
      </c>
      <c r="F33" s="209" t="s">
        <v>44</v>
      </c>
      <c r="G33" s="209" t="s">
        <v>670</v>
      </c>
      <c r="H33" s="209"/>
      <c r="I33" s="209"/>
      <c r="J33" s="210" t="s">
        <v>671</v>
      </c>
      <c r="K33" s="154">
        <v>11230</v>
      </c>
      <c r="L33" s="154">
        <v>8820</v>
      </c>
      <c r="M33" s="154"/>
      <c r="N33" s="45">
        <f t="shared" si="2"/>
        <v>2410</v>
      </c>
      <c r="O33" s="26"/>
    </row>
    <row r="34" spans="1:15" s="19" customFormat="1" ht="16.5" customHeight="1" x14ac:dyDescent="0.25">
      <c r="A34" s="20">
        <f t="shared" si="1"/>
        <v>31</v>
      </c>
      <c r="B34" s="21">
        <v>7</v>
      </c>
      <c r="C34" s="22">
        <v>46200</v>
      </c>
      <c r="D34" s="209" t="s">
        <v>646</v>
      </c>
      <c r="E34" s="209" t="s">
        <v>25</v>
      </c>
      <c r="F34" s="209" t="s">
        <v>44</v>
      </c>
      <c r="G34" s="209" t="s">
        <v>654</v>
      </c>
      <c r="H34" s="209"/>
      <c r="I34" s="209"/>
      <c r="J34" s="210" t="s">
        <v>648</v>
      </c>
      <c r="K34" s="154">
        <v>10900</v>
      </c>
      <c r="L34" s="154">
        <v>9290</v>
      </c>
      <c r="M34" s="154"/>
      <c r="N34" s="45">
        <f t="shared" si="2"/>
        <v>1610</v>
      </c>
      <c r="O34" s="26"/>
    </row>
    <row r="35" spans="1:15" s="19" customFormat="1" ht="16.5" customHeight="1" x14ac:dyDescent="0.25">
      <c r="A35" s="20">
        <f t="shared" si="1"/>
        <v>32</v>
      </c>
      <c r="B35" s="21"/>
      <c r="C35" s="22"/>
      <c r="D35" s="21"/>
      <c r="E35" s="21"/>
      <c r="F35" s="21"/>
      <c r="G35" s="21"/>
      <c r="H35" s="21"/>
      <c r="I35" s="21"/>
      <c r="J35" s="23"/>
      <c r="K35" s="24"/>
      <c r="L35" s="24"/>
      <c r="M35" s="24"/>
      <c r="N35" s="45">
        <f t="shared" si="0"/>
        <v>0</v>
      </c>
      <c r="O35" s="26"/>
    </row>
    <row r="36" spans="1:15" s="19" customFormat="1" ht="16.5" customHeight="1" x14ac:dyDescent="0.25">
      <c r="A36" s="29">
        <f t="shared" si="1"/>
        <v>33</v>
      </c>
      <c r="B36" s="31"/>
      <c r="C36" s="30"/>
      <c r="D36" s="31"/>
      <c r="E36" s="31"/>
      <c r="F36" s="31"/>
      <c r="G36" s="31"/>
      <c r="H36" s="31"/>
      <c r="I36" s="31"/>
      <c r="J36" s="32"/>
      <c r="K36" s="33"/>
      <c r="L36" s="33"/>
      <c r="M36" s="33"/>
      <c r="N36" s="48">
        <f t="shared" si="0"/>
        <v>0</v>
      </c>
      <c r="O36" s="35"/>
    </row>
    <row r="37" spans="1:15" ht="16.5" customHeight="1" x14ac:dyDescent="0.25">
      <c r="C37" s="50"/>
    </row>
  </sheetData>
  <mergeCells count="1">
    <mergeCell ref="A1:O1"/>
  </mergeCells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4593-F501-492C-9F1F-3EE24F03F6D5}">
  <sheetPr>
    <pageSetUpPr fitToPage="1"/>
  </sheetPr>
  <dimension ref="A1:T80"/>
  <sheetViews>
    <sheetView zoomScaleNormal="100" workbookViewId="0">
      <pane ySplit="3" topLeftCell="A52" activePane="bottomLeft" state="frozen"/>
      <selection activeCell="F15" sqref="F15"/>
      <selection pane="bottomLeft" activeCell="L65" sqref="L65"/>
    </sheetView>
  </sheetViews>
  <sheetFormatPr defaultColWidth="9.140625" defaultRowHeight="16.5" customHeight="1" x14ac:dyDescent="0.25"/>
  <cols>
    <col min="1" max="2" width="6.42578125" style="27" customWidth="1"/>
    <col min="3" max="3" width="18.140625" style="37" bestFit="1" customWidth="1"/>
    <col min="4" max="4" width="17.7109375" style="27" bestFit="1" customWidth="1"/>
    <col min="5" max="5" width="13.5703125" style="27" bestFit="1" customWidth="1"/>
    <col min="6" max="6" width="17.42578125" style="27" bestFit="1" customWidth="1"/>
    <col min="7" max="7" width="24.5703125" style="27" bestFit="1" customWidth="1"/>
    <col min="8" max="8" width="18" style="27" bestFit="1" customWidth="1"/>
    <col min="9" max="9" width="9.7109375" style="27" bestFit="1" customWidth="1"/>
    <col min="10" max="10" width="13" style="27" bestFit="1" customWidth="1"/>
    <col min="11" max="11" width="8.140625" style="38" bestFit="1" customWidth="1"/>
    <col min="12" max="12" width="19.42578125" style="38" customWidth="1"/>
    <col min="13" max="13" width="14.7109375" style="38" customWidth="1"/>
    <col min="14" max="14" width="17.140625" style="38" bestFit="1" customWidth="1"/>
    <col min="15" max="15" width="32.85546875" style="27" bestFit="1" customWidth="1"/>
    <col min="16" max="16384" width="9.140625" style="27"/>
  </cols>
  <sheetData>
    <row r="1" spans="1:20" s="2" customFormat="1" ht="36.75" customHeight="1" x14ac:dyDescent="0.5">
      <c r="A1" s="563" t="s">
        <v>679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1"/>
      <c r="Q1" s="1"/>
      <c r="R1" s="1"/>
      <c r="S1" s="1"/>
      <c r="T1" s="1"/>
    </row>
    <row r="2" spans="1:20" s="3" customFormat="1" ht="56.25" customHeight="1" x14ac:dyDescent="0.25">
      <c r="C2" s="4"/>
      <c r="M2" s="5">
        <f>SUBTOTAL(9,M4:M600)</f>
        <v>3040</v>
      </c>
      <c r="N2" s="6">
        <f>SUBTOTAL(9,N4:N600)</f>
        <v>257820</v>
      </c>
    </row>
    <row r="3" spans="1:20" s="11" customFormat="1" ht="30.75" customHeight="1" thickBot="1" x14ac:dyDescent="0.35">
      <c r="A3" s="330" t="s">
        <v>87</v>
      </c>
      <c r="B3" s="331" t="s">
        <v>86</v>
      </c>
      <c r="C3" s="331" t="s">
        <v>0</v>
      </c>
      <c r="D3" s="332" t="s">
        <v>1</v>
      </c>
      <c r="E3" s="332" t="s">
        <v>2</v>
      </c>
      <c r="F3" s="332" t="s">
        <v>3</v>
      </c>
      <c r="G3" s="332" t="s">
        <v>4</v>
      </c>
      <c r="H3" s="332" t="s">
        <v>5</v>
      </c>
      <c r="I3" s="332" t="s">
        <v>6</v>
      </c>
      <c r="J3" s="331" t="s">
        <v>7</v>
      </c>
      <c r="K3" s="332" t="s">
        <v>8</v>
      </c>
      <c r="L3" s="332" t="s">
        <v>9</v>
      </c>
      <c r="M3" s="332" t="s">
        <v>10</v>
      </c>
      <c r="N3" s="333" t="s">
        <v>11</v>
      </c>
      <c r="O3" s="334" t="s">
        <v>12</v>
      </c>
    </row>
    <row r="4" spans="1:20" s="19" customFormat="1" ht="16.5" customHeight="1" x14ac:dyDescent="0.25">
      <c r="A4" s="316">
        <f t="shared" ref="A4:A59" si="0">ROW()-3</f>
        <v>1</v>
      </c>
      <c r="B4" s="21">
        <v>1</v>
      </c>
      <c r="C4" s="22">
        <v>46031</v>
      </c>
      <c r="D4" s="21" t="s">
        <v>188</v>
      </c>
      <c r="E4" s="21" t="s">
        <v>25</v>
      </c>
      <c r="F4" s="21" t="s">
        <v>44</v>
      </c>
      <c r="G4" s="21" t="s">
        <v>27</v>
      </c>
      <c r="H4" s="21" t="s">
        <v>28</v>
      </c>
      <c r="I4" s="21"/>
      <c r="J4" s="23" t="s">
        <v>30</v>
      </c>
      <c r="K4" s="24">
        <v>5320</v>
      </c>
      <c r="L4" s="24">
        <v>4160</v>
      </c>
      <c r="M4" s="24"/>
      <c r="N4" s="25">
        <v>1160</v>
      </c>
      <c r="O4" s="322" t="s">
        <v>233</v>
      </c>
    </row>
    <row r="5" spans="1:20" s="19" customFormat="1" ht="16.5" customHeight="1" x14ac:dyDescent="0.25">
      <c r="A5" s="316">
        <f t="shared" si="0"/>
        <v>2</v>
      </c>
      <c r="B5" s="21">
        <v>2</v>
      </c>
      <c r="C5" s="22">
        <v>46031</v>
      </c>
      <c r="D5" s="21" t="s">
        <v>233</v>
      </c>
      <c r="E5" s="21" t="s">
        <v>25</v>
      </c>
      <c r="F5" s="21" t="s">
        <v>44</v>
      </c>
      <c r="G5" s="21" t="s">
        <v>110</v>
      </c>
      <c r="H5" s="21"/>
      <c r="I5" s="21"/>
      <c r="J5" s="23" t="s">
        <v>30</v>
      </c>
      <c r="K5" s="24">
        <v>17580</v>
      </c>
      <c r="L5" s="24">
        <v>9010</v>
      </c>
      <c r="M5" s="24"/>
      <c r="N5" s="25">
        <v>8570</v>
      </c>
      <c r="O5" s="322" t="s">
        <v>233</v>
      </c>
    </row>
    <row r="6" spans="1:20" s="19" customFormat="1" ht="16.5" customHeight="1" x14ac:dyDescent="0.25">
      <c r="A6" s="316">
        <f t="shared" si="0"/>
        <v>3</v>
      </c>
      <c r="B6" s="21">
        <v>3</v>
      </c>
      <c r="C6" s="22">
        <v>46031</v>
      </c>
      <c r="D6" s="21" t="s">
        <v>188</v>
      </c>
      <c r="E6" s="21" t="s">
        <v>25</v>
      </c>
      <c r="F6" s="21" t="s">
        <v>44</v>
      </c>
      <c r="G6" s="21" t="s">
        <v>111</v>
      </c>
      <c r="H6" s="21"/>
      <c r="I6" s="21"/>
      <c r="J6" s="23" t="s">
        <v>30</v>
      </c>
      <c r="K6" s="24">
        <v>13810</v>
      </c>
      <c r="L6" s="24">
        <v>8560</v>
      </c>
      <c r="M6" s="24"/>
      <c r="N6" s="25">
        <v>5250</v>
      </c>
      <c r="O6" s="322" t="s">
        <v>233</v>
      </c>
    </row>
    <row r="7" spans="1:20" s="19" customFormat="1" ht="16.5" customHeight="1" x14ac:dyDescent="0.25">
      <c r="A7" s="316">
        <f t="shared" si="0"/>
        <v>4</v>
      </c>
      <c r="B7" s="21">
        <v>4</v>
      </c>
      <c r="C7" s="22">
        <v>46031</v>
      </c>
      <c r="D7" s="21" t="s">
        <v>188</v>
      </c>
      <c r="E7" s="21" t="s">
        <v>25</v>
      </c>
      <c r="F7" s="21" t="s">
        <v>44</v>
      </c>
      <c r="G7" s="21" t="s">
        <v>112</v>
      </c>
      <c r="H7" s="21"/>
      <c r="I7" s="21"/>
      <c r="J7" s="23" t="s">
        <v>30</v>
      </c>
      <c r="K7" s="24">
        <v>14730</v>
      </c>
      <c r="L7" s="24">
        <v>8310</v>
      </c>
      <c r="M7" s="24"/>
      <c r="N7" s="25">
        <v>6420</v>
      </c>
      <c r="O7" s="322" t="s">
        <v>233</v>
      </c>
    </row>
    <row r="8" spans="1:20" s="19" customFormat="1" ht="16.5" customHeight="1" x14ac:dyDescent="0.25">
      <c r="A8" s="316">
        <f t="shared" si="0"/>
        <v>5</v>
      </c>
      <c r="B8" s="21">
        <v>5</v>
      </c>
      <c r="C8" s="22">
        <v>46031</v>
      </c>
      <c r="D8" s="21" t="s">
        <v>188</v>
      </c>
      <c r="E8" s="21" t="s">
        <v>25</v>
      </c>
      <c r="F8" s="21" t="s">
        <v>44</v>
      </c>
      <c r="G8" s="21" t="s">
        <v>113</v>
      </c>
      <c r="H8" s="21"/>
      <c r="I8" s="21"/>
      <c r="J8" s="23" t="s">
        <v>30</v>
      </c>
      <c r="K8" s="24">
        <v>16550</v>
      </c>
      <c r="L8" s="24">
        <v>9020</v>
      </c>
      <c r="M8" s="24"/>
      <c r="N8" s="25">
        <v>7530</v>
      </c>
      <c r="O8" s="322" t="s">
        <v>233</v>
      </c>
    </row>
    <row r="9" spans="1:20" s="19" customFormat="1" ht="16.5" customHeight="1" x14ac:dyDescent="0.25">
      <c r="A9" s="316">
        <f t="shared" si="0"/>
        <v>6</v>
      </c>
      <c r="B9" s="21">
        <v>6</v>
      </c>
      <c r="C9" s="22">
        <v>46031</v>
      </c>
      <c r="D9" s="21" t="s">
        <v>188</v>
      </c>
      <c r="E9" s="21" t="s">
        <v>25</v>
      </c>
      <c r="F9" s="21" t="s">
        <v>44</v>
      </c>
      <c r="G9" s="21" t="s">
        <v>114</v>
      </c>
      <c r="H9" s="21" t="s">
        <v>115</v>
      </c>
      <c r="I9" s="21" t="s">
        <v>116</v>
      </c>
      <c r="J9" s="23" t="s">
        <v>30</v>
      </c>
      <c r="K9" s="24">
        <v>13110</v>
      </c>
      <c r="L9" s="24">
        <v>7820</v>
      </c>
      <c r="M9" s="24"/>
      <c r="N9" s="25">
        <v>5290</v>
      </c>
      <c r="O9" s="322" t="s">
        <v>233</v>
      </c>
    </row>
    <row r="10" spans="1:20" s="19" customFormat="1" ht="16.5" customHeight="1" x14ac:dyDescent="0.25">
      <c r="A10" s="316">
        <f t="shared" si="0"/>
        <v>7</v>
      </c>
      <c r="B10" s="21">
        <v>7</v>
      </c>
      <c r="C10" s="22">
        <v>46031</v>
      </c>
      <c r="D10" s="21" t="s">
        <v>188</v>
      </c>
      <c r="E10" s="21" t="s">
        <v>25</v>
      </c>
      <c r="F10" s="21" t="s">
        <v>44</v>
      </c>
      <c r="G10" s="21" t="s">
        <v>62</v>
      </c>
      <c r="H10" s="21" t="s">
        <v>28</v>
      </c>
      <c r="I10" s="21"/>
      <c r="J10" s="23" t="s">
        <v>30</v>
      </c>
      <c r="K10" s="24">
        <v>13350</v>
      </c>
      <c r="L10" s="24">
        <v>7910</v>
      </c>
      <c r="M10" s="24"/>
      <c r="N10" s="25">
        <v>5440</v>
      </c>
      <c r="O10" s="322" t="s">
        <v>233</v>
      </c>
    </row>
    <row r="11" spans="1:20" s="19" customFormat="1" ht="16.5" customHeight="1" x14ac:dyDescent="0.25">
      <c r="A11" s="316">
        <f t="shared" si="0"/>
        <v>8</v>
      </c>
      <c r="B11" s="21">
        <v>8</v>
      </c>
      <c r="C11" s="22">
        <v>46031</v>
      </c>
      <c r="D11" s="21" t="s">
        <v>188</v>
      </c>
      <c r="E11" s="21" t="s">
        <v>25</v>
      </c>
      <c r="F11" s="21" t="s">
        <v>44</v>
      </c>
      <c r="G11" s="21" t="s">
        <v>117</v>
      </c>
      <c r="H11" s="21"/>
      <c r="I11" s="21"/>
      <c r="J11" s="23" t="s">
        <v>30</v>
      </c>
      <c r="K11" s="24">
        <v>12730</v>
      </c>
      <c r="L11" s="24">
        <v>7830</v>
      </c>
      <c r="M11" s="24"/>
      <c r="N11" s="25">
        <v>4900</v>
      </c>
      <c r="O11" s="322" t="s">
        <v>233</v>
      </c>
    </row>
    <row r="12" spans="1:20" s="19" customFormat="1" ht="16.5" customHeight="1" x14ac:dyDescent="0.25">
      <c r="A12" s="317">
        <f t="shared" si="0"/>
        <v>9</v>
      </c>
      <c r="B12" s="31">
        <v>9</v>
      </c>
      <c r="C12" s="30">
        <v>46031</v>
      </c>
      <c r="D12" s="31" t="s">
        <v>188</v>
      </c>
      <c r="E12" s="31" t="s">
        <v>25</v>
      </c>
      <c r="F12" s="31" t="s">
        <v>44</v>
      </c>
      <c r="G12" s="31" t="s">
        <v>118</v>
      </c>
      <c r="H12" s="31"/>
      <c r="I12" s="31"/>
      <c r="J12" s="32" t="s">
        <v>30</v>
      </c>
      <c r="K12" s="33">
        <v>12060</v>
      </c>
      <c r="L12" s="33">
        <v>7960</v>
      </c>
      <c r="M12" s="33"/>
      <c r="N12" s="34">
        <v>4100</v>
      </c>
      <c r="O12" s="323" t="s">
        <v>233</v>
      </c>
    </row>
    <row r="13" spans="1:20" s="19" customFormat="1" ht="16.5" customHeight="1" x14ac:dyDescent="0.25">
      <c r="A13" s="318">
        <f t="shared" si="0"/>
        <v>10</v>
      </c>
      <c r="B13" s="13">
        <v>1</v>
      </c>
      <c r="C13" s="14">
        <v>46036</v>
      </c>
      <c r="D13" s="13" t="s">
        <v>188</v>
      </c>
      <c r="E13" s="13" t="s">
        <v>25</v>
      </c>
      <c r="F13" s="13" t="s">
        <v>44</v>
      </c>
      <c r="G13" s="13" t="s">
        <v>123</v>
      </c>
      <c r="H13" s="13" t="s">
        <v>124</v>
      </c>
      <c r="I13" s="13" t="s">
        <v>125</v>
      </c>
      <c r="J13" s="15" t="s">
        <v>30</v>
      </c>
      <c r="K13" s="16">
        <v>12790</v>
      </c>
      <c r="L13" s="16">
        <v>8860</v>
      </c>
      <c r="M13" s="16"/>
      <c r="N13" s="17">
        <v>3930</v>
      </c>
      <c r="O13" s="324" t="s">
        <v>236</v>
      </c>
    </row>
    <row r="14" spans="1:20" s="19" customFormat="1" ht="16.5" customHeight="1" x14ac:dyDescent="0.25">
      <c r="A14" s="316">
        <f t="shared" si="0"/>
        <v>11</v>
      </c>
      <c r="B14" s="21">
        <v>2</v>
      </c>
      <c r="C14" s="22">
        <v>46036</v>
      </c>
      <c r="D14" s="21" t="s">
        <v>188</v>
      </c>
      <c r="E14" s="21" t="s">
        <v>25</v>
      </c>
      <c r="F14" s="21" t="s">
        <v>44</v>
      </c>
      <c r="G14" s="21" t="s">
        <v>114</v>
      </c>
      <c r="H14" s="21" t="s">
        <v>115</v>
      </c>
      <c r="I14" s="21" t="s">
        <v>116</v>
      </c>
      <c r="J14" s="23" t="s">
        <v>30</v>
      </c>
      <c r="K14" s="24">
        <v>10180</v>
      </c>
      <c r="L14" s="24">
        <v>7820</v>
      </c>
      <c r="M14" s="24"/>
      <c r="N14" s="25">
        <v>2360</v>
      </c>
      <c r="O14" s="322" t="s">
        <v>233</v>
      </c>
    </row>
    <row r="15" spans="1:20" s="19" customFormat="1" ht="16.5" customHeight="1" x14ac:dyDescent="0.25">
      <c r="A15" s="316">
        <f t="shared" si="0"/>
        <v>12</v>
      </c>
      <c r="B15" s="21">
        <v>3</v>
      </c>
      <c r="C15" s="22">
        <v>46036</v>
      </c>
      <c r="D15" s="21" t="s">
        <v>188</v>
      </c>
      <c r="E15" s="21" t="s">
        <v>25</v>
      </c>
      <c r="F15" s="21" t="s">
        <v>44</v>
      </c>
      <c r="G15" s="21" t="s">
        <v>126</v>
      </c>
      <c r="H15" s="21" t="s">
        <v>127</v>
      </c>
      <c r="I15" s="21" t="s">
        <v>128</v>
      </c>
      <c r="J15" s="23" t="s">
        <v>30</v>
      </c>
      <c r="K15" s="24">
        <v>11300</v>
      </c>
      <c r="L15" s="24">
        <v>8510</v>
      </c>
      <c r="M15" s="24">
        <v>500</v>
      </c>
      <c r="N15" s="25">
        <v>2290</v>
      </c>
      <c r="O15" s="322" t="s">
        <v>234</v>
      </c>
    </row>
    <row r="16" spans="1:20" s="19" customFormat="1" ht="16.5" customHeight="1" x14ac:dyDescent="0.25">
      <c r="A16" s="317">
        <f t="shared" si="0"/>
        <v>13</v>
      </c>
      <c r="B16" s="31">
        <v>4</v>
      </c>
      <c r="C16" s="30">
        <v>46036</v>
      </c>
      <c r="D16" s="31" t="s">
        <v>188</v>
      </c>
      <c r="E16" s="31" t="s">
        <v>25</v>
      </c>
      <c r="F16" s="31" t="s">
        <v>44</v>
      </c>
      <c r="G16" s="31" t="s">
        <v>129</v>
      </c>
      <c r="H16" s="31" t="s">
        <v>130</v>
      </c>
      <c r="I16" s="31" t="s">
        <v>131</v>
      </c>
      <c r="J16" s="32" t="s">
        <v>30</v>
      </c>
      <c r="K16" s="33">
        <v>11840</v>
      </c>
      <c r="L16" s="33">
        <v>8810</v>
      </c>
      <c r="M16" s="33">
        <v>1500</v>
      </c>
      <c r="N16" s="34">
        <v>1530</v>
      </c>
      <c r="O16" s="323" t="s">
        <v>235</v>
      </c>
    </row>
    <row r="17" spans="1:15" s="19" customFormat="1" ht="16.5" customHeight="1" x14ac:dyDescent="0.25">
      <c r="A17" s="517">
        <f t="shared" ref="A17:A23" si="1">ROW()-3</f>
        <v>14</v>
      </c>
      <c r="B17" s="185">
        <v>1</v>
      </c>
      <c r="C17" s="366">
        <v>46066</v>
      </c>
      <c r="D17" s="185" t="s">
        <v>637</v>
      </c>
      <c r="E17" s="185" t="s">
        <v>25</v>
      </c>
      <c r="F17" s="185" t="s">
        <v>67</v>
      </c>
      <c r="G17" s="185" t="s">
        <v>68</v>
      </c>
      <c r="H17" s="185"/>
      <c r="I17" s="185" t="s">
        <v>70</v>
      </c>
      <c r="J17" s="367" t="s">
        <v>30</v>
      </c>
      <c r="K17" s="186">
        <v>28940</v>
      </c>
      <c r="L17" s="186">
        <v>20090</v>
      </c>
      <c r="M17" s="186"/>
      <c r="N17" s="518">
        <v>8850</v>
      </c>
      <c r="O17" s="519" t="s">
        <v>635</v>
      </c>
    </row>
    <row r="18" spans="1:15" s="19" customFormat="1" ht="16.5" customHeight="1" x14ac:dyDescent="0.25">
      <c r="A18" s="517">
        <f t="shared" si="1"/>
        <v>15</v>
      </c>
      <c r="B18" s="185">
        <v>2</v>
      </c>
      <c r="C18" s="366">
        <v>46066</v>
      </c>
      <c r="D18" s="185" t="s">
        <v>637</v>
      </c>
      <c r="E18" s="185" t="s">
        <v>59</v>
      </c>
      <c r="F18" s="185" t="s">
        <v>14</v>
      </c>
      <c r="G18" s="185" t="s">
        <v>40</v>
      </c>
      <c r="H18" s="185" t="s">
        <v>41</v>
      </c>
      <c r="I18" s="185" t="s">
        <v>24</v>
      </c>
      <c r="J18" s="367" t="s">
        <v>30</v>
      </c>
      <c r="K18" s="186">
        <v>15720</v>
      </c>
      <c r="L18" s="186">
        <v>14140</v>
      </c>
      <c r="M18" s="186"/>
      <c r="N18" s="518">
        <v>1580</v>
      </c>
      <c r="O18" s="519" t="s">
        <v>635</v>
      </c>
    </row>
    <row r="19" spans="1:15" s="19" customFormat="1" ht="16.5" customHeight="1" x14ac:dyDescent="0.25">
      <c r="A19" s="517">
        <f t="shared" si="1"/>
        <v>16</v>
      </c>
      <c r="B19" s="183" t="s">
        <v>88</v>
      </c>
      <c r="C19" s="366">
        <v>46066</v>
      </c>
      <c r="D19" s="185" t="s">
        <v>636</v>
      </c>
      <c r="E19" s="185" t="s">
        <v>25</v>
      </c>
      <c r="F19" s="185" t="s">
        <v>67</v>
      </c>
      <c r="G19" s="185" t="s">
        <v>68</v>
      </c>
      <c r="H19" s="185"/>
      <c r="I19" s="185" t="s">
        <v>70</v>
      </c>
      <c r="J19" s="367" t="s">
        <v>30</v>
      </c>
      <c r="K19" s="186">
        <v>29410</v>
      </c>
      <c r="L19" s="186">
        <v>20080</v>
      </c>
      <c r="M19" s="186"/>
      <c r="N19" s="518">
        <f>9330-2070</f>
        <v>7260</v>
      </c>
      <c r="O19" s="519" t="s">
        <v>639</v>
      </c>
    </row>
    <row r="20" spans="1:15" s="19" customFormat="1" ht="16.5" customHeight="1" x14ac:dyDescent="0.25">
      <c r="A20" s="316">
        <f>ROW()-3</f>
        <v>17</v>
      </c>
      <c r="B20" s="183" t="s">
        <v>89</v>
      </c>
      <c r="C20" s="366">
        <v>46066</v>
      </c>
      <c r="D20" s="185" t="s">
        <v>636</v>
      </c>
      <c r="E20" s="185" t="s">
        <v>25</v>
      </c>
      <c r="F20" s="21" t="s">
        <v>567</v>
      </c>
      <c r="G20" s="21"/>
      <c r="H20" s="21"/>
      <c r="I20" s="21"/>
      <c r="J20" s="23" t="s">
        <v>312</v>
      </c>
      <c r="K20" s="24"/>
      <c r="L20" s="24"/>
      <c r="M20" s="24"/>
      <c r="N20" s="155">
        <f>1520+550</f>
        <v>2070</v>
      </c>
      <c r="O20" s="519" t="s">
        <v>640</v>
      </c>
    </row>
    <row r="21" spans="1:15" s="19" customFormat="1" ht="16.5" customHeight="1" x14ac:dyDescent="0.25">
      <c r="A21" s="517">
        <f t="shared" si="1"/>
        <v>18</v>
      </c>
      <c r="B21" s="185">
        <v>4</v>
      </c>
      <c r="C21" s="366">
        <v>46066</v>
      </c>
      <c r="D21" s="185" t="s">
        <v>636</v>
      </c>
      <c r="E21" s="185" t="s">
        <v>163</v>
      </c>
      <c r="F21" s="185" t="s">
        <v>14</v>
      </c>
      <c r="G21" s="185" t="s">
        <v>40</v>
      </c>
      <c r="H21" s="185" t="s">
        <v>41</v>
      </c>
      <c r="I21" s="185" t="s">
        <v>24</v>
      </c>
      <c r="J21" s="367" t="s">
        <v>30</v>
      </c>
      <c r="K21" s="186">
        <v>18380</v>
      </c>
      <c r="L21" s="186">
        <v>14140</v>
      </c>
      <c r="M21" s="186"/>
      <c r="N21" s="518">
        <v>4240</v>
      </c>
      <c r="O21" s="519" t="s">
        <v>635</v>
      </c>
    </row>
    <row r="22" spans="1:15" s="19" customFormat="1" ht="16.5" customHeight="1" x14ac:dyDescent="0.25">
      <c r="A22" s="517">
        <f t="shared" si="1"/>
        <v>19</v>
      </c>
      <c r="B22" s="185">
        <v>1</v>
      </c>
      <c r="C22" s="366">
        <v>46076</v>
      </c>
      <c r="D22" s="185" t="s">
        <v>636</v>
      </c>
      <c r="E22" s="185" t="s">
        <v>25</v>
      </c>
      <c r="F22" s="185" t="s">
        <v>164</v>
      </c>
      <c r="G22" s="185" t="s">
        <v>165</v>
      </c>
      <c r="H22" s="185" t="s">
        <v>41</v>
      </c>
      <c r="I22" s="185" t="s">
        <v>24</v>
      </c>
      <c r="J22" s="367" t="s">
        <v>166</v>
      </c>
      <c r="K22" s="186">
        <v>2890</v>
      </c>
      <c r="L22" s="186">
        <v>2160</v>
      </c>
      <c r="M22" s="186"/>
      <c r="N22" s="518">
        <v>730</v>
      </c>
      <c r="O22" s="519" t="s">
        <v>635</v>
      </c>
    </row>
    <row r="23" spans="1:15" s="19" customFormat="1" ht="16.5" customHeight="1" x14ac:dyDescent="0.25">
      <c r="A23" s="520">
        <f t="shared" si="1"/>
        <v>20</v>
      </c>
      <c r="B23" s="369">
        <v>1</v>
      </c>
      <c r="C23" s="370">
        <v>46077</v>
      </c>
      <c r="D23" s="369" t="s">
        <v>637</v>
      </c>
      <c r="E23" s="369" t="s">
        <v>25</v>
      </c>
      <c r="F23" s="369" t="s">
        <v>26</v>
      </c>
      <c r="G23" s="369" t="s">
        <v>27</v>
      </c>
      <c r="H23" s="369" t="s">
        <v>28</v>
      </c>
      <c r="I23" s="369" t="s">
        <v>63</v>
      </c>
      <c r="J23" s="371" t="s">
        <v>166</v>
      </c>
      <c r="K23" s="372">
        <v>5030</v>
      </c>
      <c r="L23" s="372">
        <v>4180</v>
      </c>
      <c r="M23" s="372"/>
      <c r="N23" s="521">
        <v>850</v>
      </c>
      <c r="O23" s="522" t="s">
        <v>635</v>
      </c>
    </row>
    <row r="24" spans="1:15" s="19" customFormat="1" ht="16.5" customHeight="1" x14ac:dyDescent="0.25">
      <c r="A24" s="318">
        <f t="shared" si="0"/>
        <v>21</v>
      </c>
      <c r="B24" s="13">
        <v>1</v>
      </c>
      <c r="C24" s="14">
        <v>46077</v>
      </c>
      <c r="D24" s="13" t="s">
        <v>167</v>
      </c>
      <c r="E24" s="13" t="s">
        <v>168</v>
      </c>
      <c r="F24" s="13" t="s">
        <v>18</v>
      </c>
      <c r="G24" s="13" t="s">
        <v>169</v>
      </c>
      <c r="H24" s="13"/>
      <c r="I24" s="13"/>
      <c r="J24" s="15" t="s">
        <v>71</v>
      </c>
      <c r="K24" s="16">
        <v>30420</v>
      </c>
      <c r="L24" s="16">
        <v>18210</v>
      </c>
      <c r="M24" s="16"/>
      <c r="N24" s="17">
        <v>12210</v>
      </c>
      <c r="O24" s="324" t="s">
        <v>170</v>
      </c>
    </row>
    <row r="25" spans="1:15" s="19" customFormat="1" ht="16.5" customHeight="1" x14ac:dyDescent="0.25">
      <c r="A25" s="316">
        <f t="shared" si="0"/>
        <v>22</v>
      </c>
      <c r="B25" s="13">
        <v>2</v>
      </c>
      <c r="C25" s="14">
        <v>46077</v>
      </c>
      <c r="D25" s="13" t="s">
        <v>167</v>
      </c>
      <c r="E25" s="13" t="s">
        <v>168</v>
      </c>
      <c r="F25" s="13" t="s">
        <v>14</v>
      </c>
      <c r="G25" s="13" t="s">
        <v>171</v>
      </c>
      <c r="H25" s="13"/>
      <c r="I25" s="13"/>
      <c r="J25" s="15" t="s">
        <v>33</v>
      </c>
      <c r="K25" s="16">
        <v>22540</v>
      </c>
      <c r="L25" s="16">
        <v>13670</v>
      </c>
      <c r="M25" s="16"/>
      <c r="N25" s="17">
        <v>8870</v>
      </c>
      <c r="O25" s="324" t="s">
        <v>170</v>
      </c>
    </row>
    <row r="26" spans="1:15" s="19" customFormat="1" ht="16.5" customHeight="1" x14ac:dyDescent="0.25">
      <c r="A26" s="317">
        <f t="shared" si="0"/>
        <v>23</v>
      </c>
      <c r="B26" s="31">
        <v>1</v>
      </c>
      <c r="C26" s="30">
        <v>46078</v>
      </c>
      <c r="D26" s="31" t="s">
        <v>167</v>
      </c>
      <c r="E26" s="31" t="s">
        <v>163</v>
      </c>
      <c r="F26" s="31" t="s">
        <v>14</v>
      </c>
      <c r="G26" s="31" t="s">
        <v>40</v>
      </c>
      <c r="H26" s="31" t="s">
        <v>41</v>
      </c>
      <c r="I26" s="31" t="s">
        <v>24</v>
      </c>
      <c r="J26" s="32" t="s">
        <v>33</v>
      </c>
      <c r="K26" s="33">
        <v>17960</v>
      </c>
      <c r="L26" s="33">
        <v>14150</v>
      </c>
      <c r="M26" s="33"/>
      <c r="N26" s="34">
        <v>3810</v>
      </c>
      <c r="O26" s="323" t="s">
        <v>172</v>
      </c>
    </row>
    <row r="27" spans="1:15" s="19" customFormat="1" ht="27" x14ac:dyDescent="0.25">
      <c r="A27" s="319">
        <f t="shared" si="0"/>
        <v>24</v>
      </c>
      <c r="B27" s="198" t="s">
        <v>90</v>
      </c>
      <c r="C27" s="199">
        <v>46086</v>
      </c>
      <c r="D27" s="200" t="s">
        <v>177</v>
      </c>
      <c r="E27" s="200" t="s">
        <v>25</v>
      </c>
      <c r="F27" s="200" t="s">
        <v>26</v>
      </c>
      <c r="G27" s="200" t="s">
        <v>27</v>
      </c>
      <c r="H27" s="200" t="s">
        <v>28</v>
      </c>
      <c r="I27" s="200" t="s">
        <v>29</v>
      </c>
      <c r="J27" s="201" t="s">
        <v>30</v>
      </c>
      <c r="K27" s="152">
        <v>4940</v>
      </c>
      <c r="L27" s="152">
        <v>4210</v>
      </c>
      <c r="M27" s="152"/>
      <c r="N27" s="153">
        <v>730</v>
      </c>
      <c r="O27" s="325" t="s">
        <v>196</v>
      </c>
    </row>
    <row r="28" spans="1:15" s="19" customFormat="1" ht="27" x14ac:dyDescent="0.25">
      <c r="A28" s="320">
        <f t="shared" si="0"/>
        <v>25</v>
      </c>
      <c r="B28" s="203" t="s">
        <v>93</v>
      </c>
      <c r="C28" s="204">
        <v>46086</v>
      </c>
      <c r="D28" s="205" t="s">
        <v>177</v>
      </c>
      <c r="E28" s="205" t="s">
        <v>25</v>
      </c>
      <c r="F28" s="205" t="s">
        <v>26</v>
      </c>
      <c r="G28" s="205" t="s">
        <v>27</v>
      </c>
      <c r="H28" s="205" t="s">
        <v>28</v>
      </c>
      <c r="I28" s="205" t="s">
        <v>29</v>
      </c>
      <c r="J28" s="206" t="s">
        <v>31</v>
      </c>
      <c r="K28" s="157">
        <v>12320</v>
      </c>
      <c r="L28" s="157">
        <v>10940</v>
      </c>
      <c r="M28" s="157">
        <v>1040</v>
      </c>
      <c r="N28" s="162">
        <v>340</v>
      </c>
      <c r="O28" s="326" t="s">
        <v>197</v>
      </c>
    </row>
    <row r="29" spans="1:15" s="19" customFormat="1" ht="13.5" x14ac:dyDescent="0.25">
      <c r="A29" s="321">
        <f t="shared" ref="A29:A50" si="2">ROW()-3</f>
        <v>26</v>
      </c>
      <c r="B29" s="286">
        <v>1</v>
      </c>
      <c r="C29" s="287">
        <v>46086</v>
      </c>
      <c r="D29" s="288" t="s">
        <v>636</v>
      </c>
      <c r="E29" s="288" t="s">
        <v>163</v>
      </c>
      <c r="F29" s="288" t="s">
        <v>14</v>
      </c>
      <c r="G29" s="288" t="s">
        <v>173</v>
      </c>
      <c r="H29" s="288" t="s">
        <v>174</v>
      </c>
      <c r="I29" s="288" t="s">
        <v>175</v>
      </c>
      <c r="J29" s="289" t="s">
        <v>176</v>
      </c>
      <c r="K29" s="290">
        <v>15340</v>
      </c>
      <c r="L29" s="290">
        <v>12780</v>
      </c>
      <c r="M29" s="290"/>
      <c r="N29" s="291">
        <v>2560</v>
      </c>
      <c r="O29" s="328" t="s">
        <v>635</v>
      </c>
    </row>
    <row r="30" spans="1:15" s="19" customFormat="1" ht="13.5" x14ac:dyDescent="0.25">
      <c r="A30" s="321">
        <f t="shared" si="2"/>
        <v>27</v>
      </c>
      <c r="B30" s="286">
        <v>2</v>
      </c>
      <c r="C30" s="287">
        <v>46086</v>
      </c>
      <c r="D30" s="288" t="s">
        <v>636</v>
      </c>
      <c r="E30" s="288" t="s">
        <v>163</v>
      </c>
      <c r="F30" s="288" t="s">
        <v>14</v>
      </c>
      <c r="G30" s="288" t="s">
        <v>173</v>
      </c>
      <c r="H30" s="288" t="s">
        <v>174</v>
      </c>
      <c r="I30" s="288" t="s">
        <v>175</v>
      </c>
      <c r="J30" s="289" t="s">
        <v>176</v>
      </c>
      <c r="K30" s="290">
        <v>15330</v>
      </c>
      <c r="L30" s="290">
        <v>12820</v>
      </c>
      <c r="M30" s="290"/>
      <c r="N30" s="291">
        <v>2510</v>
      </c>
      <c r="O30" s="328" t="s">
        <v>635</v>
      </c>
    </row>
    <row r="31" spans="1:15" s="19" customFormat="1" ht="13.5" x14ac:dyDescent="0.25">
      <c r="A31" s="321">
        <f t="shared" si="2"/>
        <v>28</v>
      </c>
      <c r="B31" s="286">
        <v>1</v>
      </c>
      <c r="C31" s="287">
        <v>46087</v>
      </c>
      <c r="D31" s="288" t="s">
        <v>636</v>
      </c>
      <c r="E31" s="288" t="s">
        <v>13</v>
      </c>
      <c r="F31" s="288" t="s">
        <v>14</v>
      </c>
      <c r="G31" s="288" t="s">
        <v>173</v>
      </c>
      <c r="H31" s="288" t="s">
        <v>174</v>
      </c>
      <c r="I31" s="288" t="s">
        <v>175</v>
      </c>
      <c r="J31" s="289" t="s">
        <v>33</v>
      </c>
      <c r="K31" s="290">
        <v>15270</v>
      </c>
      <c r="L31" s="290">
        <v>12910</v>
      </c>
      <c r="M31" s="290"/>
      <c r="N31" s="291">
        <v>2360</v>
      </c>
      <c r="O31" s="328" t="s">
        <v>635</v>
      </c>
    </row>
    <row r="32" spans="1:15" s="19" customFormat="1" ht="13.5" x14ac:dyDescent="0.25">
      <c r="A32" s="321">
        <f t="shared" si="2"/>
        <v>29</v>
      </c>
      <c r="B32" s="286">
        <v>2</v>
      </c>
      <c r="C32" s="287">
        <v>46087</v>
      </c>
      <c r="D32" s="288" t="s">
        <v>636</v>
      </c>
      <c r="E32" s="288" t="s">
        <v>13</v>
      </c>
      <c r="F32" s="288" t="s">
        <v>14</v>
      </c>
      <c r="G32" s="288" t="s">
        <v>178</v>
      </c>
      <c r="H32" s="288" t="s">
        <v>13</v>
      </c>
      <c r="I32" s="288" t="s">
        <v>19</v>
      </c>
      <c r="J32" s="289" t="s">
        <v>33</v>
      </c>
      <c r="K32" s="290">
        <v>25900</v>
      </c>
      <c r="L32" s="290">
        <v>22040</v>
      </c>
      <c r="M32" s="290"/>
      <c r="N32" s="291">
        <v>3860</v>
      </c>
      <c r="O32" s="328" t="s">
        <v>635</v>
      </c>
    </row>
    <row r="33" spans="1:15" s="19" customFormat="1" ht="13.5" x14ac:dyDescent="0.25">
      <c r="A33" s="321">
        <f t="shared" si="2"/>
        <v>30</v>
      </c>
      <c r="B33" s="286">
        <v>1</v>
      </c>
      <c r="C33" s="287">
        <v>46088</v>
      </c>
      <c r="D33" s="288" t="s">
        <v>636</v>
      </c>
      <c r="E33" s="288" t="s">
        <v>13</v>
      </c>
      <c r="F33" s="288" t="s">
        <v>14</v>
      </c>
      <c r="G33" s="288" t="s">
        <v>178</v>
      </c>
      <c r="H33" s="288" t="s">
        <v>13</v>
      </c>
      <c r="I33" s="288" t="s">
        <v>19</v>
      </c>
      <c r="J33" s="289" t="s">
        <v>179</v>
      </c>
      <c r="K33" s="290">
        <v>40030</v>
      </c>
      <c r="L33" s="290">
        <v>22000</v>
      </c>
      <c r="M33" s="290"/>
      <c r="N33" s="291">
        <v>18030</v>
      </c>
      <c r="O33" s="328" t="s">
        <v>635</v>
      </c>
    </row>
    <row r="34" spans="1:15" s="19" customFormat="1" ht="13.5" x14ac:dyDescent="0.25">
      <c r="A34" s="321">
        <f t="shared" si="2"/>
        <v>31</v>
      </c>
      <c r="B34" s="286">
        <v>1</v>
      </c>
      <c r="C34" s="287">
        <v>46090</v>
      </c>
      <c r="D34" s="288" t="s">
        <v>636</v>
      </c>
      <c r="E34" s="288" t="s">
        <v>13</v>
      </c>
      <c r="F34" s="288" t="s">
        <v>14</v>
      </c>
      <c r="G34" s="288" t="s">
        <v>178</v>
      </c>
      <c r="H34" s="288" t="s">
        <v>13</v>
      </c>
      <c r="I34" s="288" t="s">
        <v>19</v>
      </c>
      <c r="J34" s="289" t="s">
        <v>179</v>
      </c>
      <c r="K34" s="290">
        <v>28520</v>
      </c>
      <c r="L34" s="290">
        <v>25280</v>
      </c>
      <c r="M34" s="290"/>
      <c r="N34" s="291">
        <v>3240</v>
      </c>
      <c r="O34" s="328" t="s">
        <v>635</v>
      </c>
    </row>
    <row r="35" spans="1:15" s="19" customFormat="1" ht="13.5" x14ac:dyDescent="0.25">
      <c r="A35" s="321">
        <f t="shared" si="2"/>
        <v>32</v>
      </c>
      <c r="B35" s="286">
        <v>2</v>
      </c>
      <c r="C35" s="287">
        <v>46090</v>
      </c>
      <c r="D35" s="288" t="s">
        <v>636</v>
      </c>
      <c r="E35" s="288" t="s">
        <v>13</v>
      </c>
      <c r="F35" s="288" t="s">
        <v>14</v>
      </c>
      <c r="G35" s="288" t="s">
        <v>178</v>
      </c>
      <c r="H35" s="288" t="s">
        <v>13</v>
      </c>
      <c r="I35" s="288" t="s">
        <v>19</v>
      </c>
      <c r="J35" s="289" t="s">
        <v>33</v>
      </c>
      <c r="K35" s="290">
        <v>25280</v>
      </c>
      <c r="L35" s="290">
        <v>22110</v>
      </c>
      <c r="M35" s="290"/>
      <c r="N35" s="291">
        <v>3170</v>
      </c>
      <c r="O35" s="328" t="s">
        <v>635</v>
      </c>
    </row>
    <row r="36" spans="1:15" s="19" customFormat="1" ht="13.5" x14ac:dyDescent="0.25">
      <c r="A36" s="321">
        <f t="shared" si="2"/>
        <v>33</v>
      </c>
      <c r="B36" s="286">
        <v>3</v>
      </c>
      <c r="C36" s="287">
        <v>46090</v>
      </c>
      <c r="D36" s="288" t="s">
        <v>636</v>
      </c>
      <c r="E36" s="288" t="s">
        <v>163</v>
      </c>
      <c r="F36" s="288" t="s">
        <v>14</v>
      </c>
      <c r="G36" s="288" t="s">
        <v>15</v>
      </c>
      <c r="H36" s="288" t="s">
        <v>16</v>
      </c>
      <c r="I36" s="288" t="s">
        <v>17</v>
      </c>
      <c r="J36" s="289" t="s">
        <v>33</v>
      </c>
      <c r="K36" s="290">
        <v>18260</v>
      </c>
      <c r="L36" s="290">
        <v>13780</v>
      </c>
      <c r="M36" s="290"/>
      <c r="N36" s="291">
        <v>4480</v>
      </c>
      <c r="O36" s="328" t="s">
        <v>635</v>
      </c>
    </row>
    <row r="37" spans="1:15" s="19" customFormat="1" ht="13.5" x14ac:dyDescent="0.25">
      <c r="A37" s="321">
        <f t="shared" si="2"/>
        <v>34</v>
      </c>
      <c r="B37" s="286">
        <v>1</v>
      </c>
      <c r="C37" s="287">
        <v>46091</v>
      </c>
      <c r="D37" s="288" t="s">
        <v>636</v>
      </c>
      <c r="E37" s="288" t="s">
        <v>13</v>
      </c>
      <c r="F37" s="288" t="s">
        <v>14</v>
      </c>
      <c r="G37" s="288" t="s">
        <v>178</v>
      </c>
      <c r="H37" s="288" t="s">
        <v>13</v>
      </c>
      <c r="I37" s="288" t="s">
        <v>19</v>
      </c>
      <c r="J37" s="289" t="s">
        <v>33</v>
      </c>
      <c r="K37" s="290">
        <v>27730</v>
      </c>
      <c r="L37" s="290">
        <v>21940</v>
      </c>
      <c r="M37" s="290"/>
      <c r="N37" s="291">
        <v>5790</v>
      </c>
      <c r="O37" s="328" t="s">
        <v>635</v>
      </c>
    </row>
    <row r="38" spans="1:15" s="19" customFormat="1" ht="13.5" x14ac:dyDescent="0.25">
      <c r="A38" s="321">
        <f t="shared" si="2"/>
        <v>35</v>
      </c>
      <c r="B38" s="286">
        <v>1</v>
      </c>
      <c r="C38" s="287">
        <v>46092</v>
      </c>
      <c r="D38" s="288" t="s">
        <v>636</v>
      </c>
      <c r="E38" s="288" t="s">
        <v>13</v>
      </c>
      <c r="F38" s="288" t="s">
        <v>14</v>
      </c>
      <c r="G38" s="288" t="s">
        <v>180</v>
      </c>
      <c r="H38" s="288" t="s">
        <v>13</v>
      </c>
      <c r="I38" s="288" t="s">
        <v>19</v>
      </c>
      <c r="J38" s="289" t="s">
        <v>33</v>
      </c>
      <c r="K38" s="290">
        <v>28430</v>
      </c>
      <c r="L38" s="290">
        <v>21810</v>
      </c>
      <c r="M38" s="290"/>
      <c r="N38" s="291">
        <v>6620</v>
      </c>
      <c r="O38" s="328" t="s">
        <v>635</v>
      </c>
    </row>
    <row r="39" spans="1:15" s="19" customFormat="1" ht="13.5" x14ac:dyDescent="0.25">
      <c r="A39" s="321">
        <f t="shared" si="2"/>
        <v>36</v>
      </c>
      <c r="B39" s="286">
        <v>1</v>
      </c>
      <c r="C39" s="287">
        <v>46093</v>
      </c>
      <c r="D39" s="288" t="s">
        <v>636</v>
      </c>
      <c r="E39" s="288" t="s">
        <v>13</v>
      </c>
      <c r="F39" s="288" t="s">
        <v>14</v>
      </c>
      <c r="G39" s="288" t="s">
        <v>178</v>
      </c>
      <c r="H39" s="288" t="s">
        <v>13</v>
      </c>
      <c r="I39" s="288" t="s">
        <v>19</v>
      </c>
      <c r="J39" s="289" t="s">
        <v>33</v>
      </c>
      <c r="K39" s="290">
        <v>27970</v>
      </c>
      <c r="L39" s="290">
        <v>22050</v>
      </c>
      <c r="M39" s="290"/>
      <c r="N39" s="291">
        <v>5920</v>
      </c>
      <c r="O39" s="328" t="s">
        <v>635</v>
      </c>
    </row>
    <row r="40" spans="1:15" s="19" customFormat="1" ht="13.5" x14ac:dyDescent="0.25">
      <c r="A40" s="321">
        <f t="shared" si="2"/>
        <v>37</v>
      </c>
      <c r="B40" s="286">
        <v>1</v>
      </c>
      <c r="C40" s="287">
        <v>46094</v>
      </c>
      <c r="D40" s="288" t="s">
        <v>636</v>
      </c>
      <c r="E40" s="288" t="s">
        <v>13</v>
      </c>
      <c r="F40" s="288" t="s">
        <v>14</v>
      </c>
      <c r="G40" s="288" t="s">
        <v>178</v>
      </c>
      <c r="H40" s="288" t="s">
        <v>13</v>
      </c>
      <c r="I40" s="288" t="s">
        <v>19</v>
      </c>
      <c r="J40" s="289" t="s">
        <v>33</v>
      </c>
      <c r="K40" s="290">
        <v>27660</v>
      </c>
      <c r="L40" s="290">
        <v>22020</v>
      </c>
      <c r="M40" s="290"/>
      <c r="N40" s="291">
        <v>5640</v>
      </c>
      <c r="O40" s="328" t="s">
        <v>635</v>
      </c>
    </row>
    <row r="41" spans="1:15" s="19" customFormat="1" ht="13.5" x14ac:dyDescent="0.25">
      <c r="A41" s="321">
        <f t="shared" si="2"/>
        <v>38</v>
      </c>
      <c r="B41" s="286" t="s">
        <v>92</v>
      </c>
      <c r="C41" s="287">
        <v>46094</v>
      </c>
      <c r="D41" s="288" t="s">
        <v>636</v>
      </c>
      <c r="E41" s="288" t="s">
        <v>25</v>
      </c>
      <c r="F41" s="288" t="s">
        <v>14</v>
      </c>
      <c r="G41" s="288" t="s">
        <v>15</v>
      </c>
      <c r="H41" s="288" t="s">
        <v>16</v>
      </c>
      <c r="I41" s="288" t="s">
        <v>17</v>
      </c>
      <c r="J41" s="289" t="s">
        <v>54</v>
      </c>
      <c r="K41" s="290">
        <v>18080</v>
      </c>
      <c r="L41" s="290">
        <v>13690</v>
      </c>
      <c r="M41" s="290"/>
      <c r="N41" s="291">
        <f>4390-4250</f>
        <v>140</v>
      </c>
      <c r="O41" s="328" t="s">
        <v>635</v>
      </c>
    </row>
    <row r="42" spans="1:15" s="19" customFormat="1" ht="13.5" x14ac:dyDescent="0.25">
      <c r="A42" s="526">
        <f>ROW()-3</f>
        <v>39</v>
      </c>
      <c r="B42" s="286" t="s">
        <v>269</v>
      </c>
      <c r="C42" s="287">
        <v>46094</v>
      </c>
      <c r="D42" s="288" t="s">
        <v>636</v>
      </c>
      <c r="E42" s="288" t="s">
        <v>25</v>
      </c>
      <c r="F42" s="209" t="s">
        <v>567</v>
      </c>
      <c r="G42" s="209"/>
      <c r="H42" s="209"/>
      <c r="I42" s="209"/>
      <c r="J42" s="529" t="s">
        <v>674</v>
      </c>
      <c r="K42" s="154"/>
      <c r="L42" s="154"/>
      <c r="M42" s="154"/>
      <c r="N42" s="155">
        <v>4250</v>
      </c>
      <c r="O42" s="329" t="s">
        <v>638</v>
      </c>
    </row>
    <row r="43" spans="1:15" s="19" customFormat="1" ht="13.5" x14ac:dyDescent="0.25">
      <c r="A43" s="321">
        <f t="shared" si="2"/>
        <v>40</v>
      </c>
      <c r="B43" s="286">
        <v>3</v>
      </c>
      <c r="C43" s="287">
        <v>46094</v>
      </c>
      <c r="D43" s="288" t="s">
        <v>636</v>
      </c>
      <c r="E43" s="288" t="s">
        <v>13</v>
      </c>
      <c r="F43" s="288" t="s">
        <v>14</v>
      </c>
      <c r="G43" s="288" t="s">
        <v>178</v>
      </c>
      <c r="H43" s="288" t="s">
        <v>13</v>
      </c>
      <c r="I43" s="288" t="s">
        <v>19</v>
      </c>
      <c r="J43" s="289" t="s">
        <v>33</v>
      </c>
      <c r="K43" s="290">
        <v>28380</v>
      </c>
      <c r="L43" s="290">
        <v>21920</v>
      </c>
      <c r="M43" s="290"/>
      <c r="N43" s="291">
        <v>6460</v>
      </c>
      <c r="O43" s="328" t="s">
        <v>635</v>
      </c>
    </row>
    <row r="44" spans="1:15" s="19" customFormat="1" ht="13.5" x14ac:dyDescent="0.25">
      <c r="A44" s="321">
        <f t="shared" si="2"/>
        <v>41</v>
      </c>
      <c r="B44" s="286">
        <v>1</v>
      </c>
      <c r="C44" s="287">
        <v>46097</v>
      </c>
      <c r="D44" s="288" t="s">
        <v>636</v>
      </c>
      <c r="E44" s="288" t="s">
        <v>163</v>
      </c>
      <c r="F44" s="288" t="s">
        <v>14</v>
      </c>
      <c r="G44" s="288" t="s">
        <v>15</v>
      </c>
      <c r="H44" s="288" t="s">
        <v>16</v>
      </c>
      <c r="I44" s="288" t="s">
        <v>17</v>
      </c>
      <c r="J44" s="289" t="s">
        <v>33</v>
      </c>
      <c r="K44" s="290">
        <v>17730</v>
      </c>
      <c r="L44" s="290">
        <v>14000</v>
      </c>
      <c r="M44" s="290"/>
      <c r="N44" s="291">
        <v>3730</v>
      </c>
      <c r="O44" s="328" t="s">
        <v>635</v>
      </c>
    </row>
    <row r="45" spans="1:15" s="19" customFormat="1" ht="13.5" x14ac:dyDescent="0.25">
      <c r="A45" s="321">
        <f t="shared" si="2"/>
        <v>42</v>
      </c>
      <c r="B45" s="286">
        <v>2</v>
      </c>
      <c r="C45" s="287">
        <v>46097</v>
      </c>
      <c r="D45" s="288" t="s">
        <v>636</v>
      </c>
      <c r="E45" s="288" t="s">
        <v>25</v>
      </c>
      <c r="F45" s="288" t="s">
        <v>14</v>
      </c>
      <c r="G45" s="288" t="s">
        <v>15</v>
      </c>
      <c r="H45" s="288" t="s">
        <v>16</v>
      </c>
      <c r="I45" s="288" t="s">
        <v>17</v>
      </c>
      <c r="J45" s="289" t="s">
        <v>152</v>
      </c>
      <c r="K45" s="290">
        <v>13990</v>
      </c>
      <c r="L45" s="290">
        <v>13770</v>
      </c>
      <c r="M45" s="290"/>
      <c r="N45" s="291">
        <v>220</v>
      </c>
      <c r="O45" s="328" t="s">
        <v>635</v>
      </c>
    </row>
    <row r="46" spans="1:15" s="19" customFormat="1" ht="13.5" x14ac:dyDescent="0.25">
      <c r="A46" s="321">
        <f t="shared" si="2"/>
        <v>43</v>
      </c>
      <c r="B46" s="286">
        <v>1</v>
      </c>
      <c r="C46" s="287">
        <v>46098</v>
      </c>
      <c r="D46" s="288" t="s">
        <v>636</v>
      </c>
      <c r="E46" s="288" t="s">
        <v>13</v>
      </c>
      <c r="F46" s="288" t="s">
        <v>18</v>
      </c>
      <c r="G46" s="288" t="s">
        <v>181</v>
      </c>
      <c r="H46" s="288" t="s">
        <v>52</v>
      </c>
      <c r="I46" s="288"/>
      <c r="J46" s="289" t="s">
        <v>182</v>
      </c>
      <c r="K46" s="290">
        <v>33460</v>
      </c>
      <c r="L46" s="290">
        <v>18940</v>
      </c>
      <c r="M46" s="290"/>
      <c r="N46" s="291">
        <v>14520</v>
      </c>
      <c r="O46" s="328" t="s">
        <v>635</v>
      </c>
    </row>
    <row r="47" spans="1:15" s="19" customFormat="1" ht="13.5" x14ac:dyDescent="0.25">
      <c r="A47" s="321">
        <f t="shared" si="2"/>
        <v>44</v>
      </c>
      <c r="B47" s="286">
        <v>1</v>
      </c>
      <c r="C47" s="287">
        <v>46099</v>
      </c>
      <c r="D47" s="288" t="s">
        <v>636</v>
      </c>
      <c r="E47" s="288" t="s">
        <v>163</v>
      </c>
      <c r="F47" s="288" t="s">
        <v>14</v>
      </c>
      <c r="G47" s="288" t="s">
        <v>15</v>
      </c>
      <c r="H47" s="288" t="s">
        <v>16</v>
      </c>
      <c r="I47" s="288" t="s">
        <v>56</v>
      </c>
      <c r="J47" s="289" t="s">
        <v>33</v>
      </c>
      <c r="K47" s="290">
        <v>18530</v>
      </c>
      <c r="L47" s="290">
        <v>13810</v>
      </c>
      <c r="M47" s="290"/>
      <c r="N47" s="291">
        <v>4720</v>
      </c>
      <c r="O47" s="328" t="s">
        <v>635</v>
      </c>
    </row>
    <row r="48" spans="1:15" s="19" customFormat="1" ht="27" x14ac:dyDescent="0.25">
      <c r="A48" s="321">
        <f t="shared" si="2"/>
        <v>45</v>
      </c>
      <c r="B48" s="286">
        <v>2</v>
      </c>
      <c r="C48" s="287">
        <v>46099</v>
      </c>
      <c r="D48" s="288" t="s">
        <v>636</v>
      </c>
      <c r="E48" s="288" t="s">
        <v>163</v>
      </c>
      <c r="F48" s="288" t="s">
        <v>14</v>
      </c>
      <c r="G48" s="288" t="s">
        <v>15</v>
      </c>
      <c r="H48" s="288" t="s">
        <v>16</v>
      </c>
      <c r="I48" s="288" t="s">
        <v>56</v>
      </c>
      <c r="J48" s="289" t="s">
        <v>183</v>
      </c>
      <c r="K48" s="290">
        <v>19340</v>
      </c>
      <c r="L48" s="290">
        <v>13740</v>
      </c>
      <c r="M48" s="290"/>
      <c r="N48" s="291">
        <v>5600</v>
      </c>
      <c r="O48" s="328" t="s">
        <v>635</v>
      </c>
    </row>
    <row r="49" spans="1:15" s="19" customFormat="1" ht="13.5" x14ac:dyDescent="0.25">
      <c r="A49" s="321">
        <f t="shared" si="2"/>
        <v>46</v>
      </c>
      <c r="B49" s="286">
        <v>1</v>
      </c>
      <c r="C49" s="287">
        <v>46101</v>
      </c>
      <c r="D49" s="288" t="s">
        <v>636</v>
      </c>
      <c r="E49" s="288" t="s">
        <v>13</v>
      </c>
      <c r="F49" s="288" t="s">
        <v>18</v>
      </c>
      <c r="G49" s="288" t="s">
        <v>60</v>
      </c>
      <c r="H49" s="288" t="s">
        <v>13</v>
      </c>
      <c r="I49" s="288" t="s">
        <v>19</v>
      </c>
      <c r="J49" s="289" t="s">
        <v>182</v>
      </c>
      <c r="K49" s="290">
        <v>29180</v>
      </c>
      <c r="L49" s="290">
        <v>18580</v>
      </c>
      <c r="M49" s="290"/>
      <c r="N49" s="291">
        <v>10600</v>
      </c>
      <c r="O49" s="328" t="s">
        <v>635</v>
      </c>
    </row>
    <row r="50" spans="1:15" s="19" customFormat="1" ht="13.5" x14ac:dyDescent="0.25">
      <c r="A50" s="523">
        <f t="shared" si="2"/>
        <v>47</v>
      </c>
      <c r="B50" s="524">
        <v>1</v>
      </c>
      <c r="C50" s="409">
        <v>46104</v>
      </c>
      <c r="D50" s="410" t="s">
        <v>636</v>
      </c>
      <c r="E50" s="410" t="s">
        <v>13</v>
      </c>
      <c r="F50" s="410" t="s">
        <v>18</v>
      </c>
      <c r="G50" s="410" t="s">
        <v>181</v>
      </c>
      <c r="H50" s="410" t="s">
        <v>52</v>
      </c>
      <c r="I50" s="410" t="s">
        <v>19</v>
      </c>
      <c r="J50" s="411" t="s">
        <v>182</v>
      </c>
      <c r="K50" s="412">
        <v>30040</v>
      </c>
      <c r="L50" s="412">
        <v>18980</v>
      </c>
      <c r="M50" s="412"/>
      <c r="N50" s="413">
        <v>11060</v>
      </c>
      <c r="O50" s="525" t="s">
        <v>635</v>
      </c>
    </row>
    <row r="51" spans="1:15" s="19" customFormat="1" ht="16.5" customHeight="1" x14ac:dyDescent="0.25">
      <c r="A51" s="319">
        <f t="shared" si="0"/>
        <v>48</v>
      </c>
      <c r="B51" s="198" t="s">
        <v>90</v>
      </c>
      <c r="C51" s="199">
        <v>46141</v>
      </c>
      <c r="D51" s="200" t="s">
        <v>177</v>
      </c>
      <c r="E51" s="200" t="s">
        <v>25</v>
      </c>
      <c r="F51" s="200" t="s">
        <v>44</v>
      </c>
      <c r="G51" s="200" t="s">
        <v>247</v>
      </c>
      <c r="H51" s="200"/>
      <c r="I51" s="200"/>
      <c r="J51" s="201" t="s">
        <v>314</v>
      </c>
      <c r="K51" s="152">
        <v>7930</v>
      </c>
      <c r="L51" s="152">
        <v>4430</v>
      </c>
      <c r="M51" s="152"/>
      <c r="N51" s="153">
        <v>2720</v>
      </c>
      <c r="O51" s="327" t="s">
        <v>316</v>
      </c>
    </row>
    <row r="52" spans="1:15" s="19" customFormat="1" ht="16.5" customHeight="1" x14ac:dyDescent="0.25">
      <c r="A52" s="321">
        <v>21</v>
      </c>
      <c r="B52" s="286" t="s">
        <v>93</v>
      </c>
      <c r="C52" s="287">
        <v>46141</v>
      </c>
      <c r="D52" s="288" t="s">
        <v>177</v>
      </c>
      <c r="E52" s="288" t="s">
        <v>25</v>
      </c>
      <c r="F52" s="288" t="s">
        <v>44</v>
      </c>
      <c r="G52" s="288" t="s">
        <v>247</v>
      </c>
      <c r="H52" s="288"/>
      <c r="I52" s="288"/>
      <c r="J52" s="289" t="s">
        <v>315</v>
      </c>
      <c r="K52" s="290"/>
      <c r="L52" s="290"/>
      <c r="M52" s="290"/>
      <c r="N52" s="291">
        <f>K51-L51-N51</f>
        <v>780</v>
      </c>
      <c r="O52" s="328" t="s">
        <v>255</v>
      </c>
    </row>
    <row r="53" spans="1:15" s="19" customFormat="1" ht="16.5" customHeight="1" x14ac:dyDescent="0.25">
      <c r="A53" s="320">
        <f t="shared" si="0"/>
        <v>50</v>
      </c>
      <c r="B53" s="203">
        <v>2</v>
      </c>
      <c r="C53" s="204">
        <v>46141</v>
      </c>
      <c r="D53" s="205" t="s">
        <v>177</v>
      </c>
      <c r="E53" s="205" t="s">
        <v>25</v>
      </c>
      <c r="F53" s="205" t="s">
        <v>164</v>
      </c>
      <c r="G53" s="205" t="s">
        <v>248</v>
      </c>
      <c r="H53" s="205"/>
      <c r="I53" s="205"/>
      <c r="J53" s="206" t="s">
        <v>31</v>
      </c>
      <c r="K53" s="157">
        <v>2440</v>
      </c>
      <c r="L53" s="157">
        <v>2320</v>
      </c>
      <c r="M53" s="157"/>
      <c r="N53" s="162">
        <v>120</v>
      </c>
      <c r="O53" s="326" t="s">
        <v>255</v>
      </c>
    </row>
    <row r="54" spans="1:15" s="19" customFormat="1" ht="16.5" customHeight="1" x14ac:dyDescent="0.25">
      <c r="A54" s="318">
        <f t="shared" si="0"/>
        <v>51</v>
      </c>
      <c r="B54" s="51">
        <v>1</v>
      </c>
      <c r="C54" s="14">
        <v>46150</v>
      </c>
      <c r="D54" s="13" t="s">
        <v>307</v>
      </c>
      <c r="E54" s="200" t="s">
        <v>25</v>
      </c>
      <c r="F54" s="13" t="s">
        <v>44</v>
      </c>
      <c r="G54" s="13" t="s">
        <v>110</v>
      </c>
      <c r="H54" s="13" t="s">
        <v>297</v>
      </c>
      <c r="I54" s="13" t="s">
        <v>298</v>
      </c>
      <c r="J54" s="15" t="s">
        <v>53</v>
      </c>
      <c r="K54" s="16">
        <v>15340</v>
      </c>
      <c r="L54" s="16">
        <v>8880</v>
      </c>
      <c r="M54" s="16"/>
      <c r="N54" s="153">
        <v>6460</v>
      </c>
      <c r="O54" s="327" t="s">
        <v>308</v>
      </c>
    </row>
    <row r="55" spans="1:15" s="19" customFormat="1" ht="27" x14ac:dyDescent="0.25">
      <c r="A55" s="316">
        <f t="shared" si="0"/>
        <v>52</v>
      </c>
      <c r="B55" s="52">
        <v>2</v>
      </c>
      <c r="C55" s="22">
        <v>46150</v>
      </c>
      <c r="D55" s="21" t="s">
        <v>306</v>
      </c>
      <c r="E55" s="209" t="s">
        <v>25</v>
      </c>
      <c r="F55" s="21" t="s">
        <v>44</v>
      </c>
      <c r="G55" s="21" t="s">
        <v>299</v>
      </c>
      <c r="H55" s="21" t="s">
        <v>300</v>
      </c>
      <c r="I55" s="21" t="s">
        <v>301</v>
      </c>
      <c r="J55" s="23" t="s">
        <v>53</v>
      </c>
      <c r="K55" s="24">
        <v>13640</v>
      </c>
      <c r="L55" s="24">
        <v>8440</v>
      </c>
      <c r="M55" s="24"/>
      <c r="N55" s="155">
        <v>5200</v>
      </c>
      <c r="O55" s="329" t="s">
        <v>309</v>
      </c>
    </row>
    <row r="56" spans="1:15" s="19" customFormat="1" ht="27" x14ac:dyDescent="0.25">
      <c r="A56" s="316">
        <f t="shared" si="0"/>
        <v>53</v>
      </c>
      <c r="B56" s="52">
        <v>3</v>
      </c>
      <c r="C56" s="22">
        <v>46150</v>
      </c>
      <c r="D56" s="21" t="s">
        <v>306</v>
      </c>
      <c r="E56" s="209" t="s">
        <v>25</v>
      </c>
      <c r="F56" s="21" t="s">
        <v>44</v>
      </c>
      <c r="G56" s="21" t="s">
        <v>75</v>
      </c>
      <c r="H56" s="21" t="s">
        <v>76</v>
      </c>
      <c r="I56" s="21" t="s">
        <v>77</v>
      </c>
      <c r="J56" s="23" t="s">
        <v>53</v>
      </c>
      <c r="K56" s="24">
        <v>14310</v>
      </c>
      <c r="L56" s="24">
        <v>9360</v>
      </c>
      <c r="M56" s="24"/>
      <c r="N56" s="155">
        <v>4950</v>
      </c>
      <c r="O56" s="329" t="s">
        <v>309</v>
      </c>
    </row>
    <row r="57" spans="1:15" s="19" customFormat="1" ht="16.5" customHeight="1" x14ac:dyDescent="0.25">
      <c r="A57" s="316">
        <f t="shared" si="0"/>
        <v>54</v>
      </c>
      <c r="B57" s="52">
        <v>4</v>
      </c>
      <c r="C57" s="22">
        <v>46150</v>
      </c>
      <c r="D57" s="21" t="s">
        <v>306</v>
      </c>
      <c r="E57" s="209" t="s">
        <v>25</v>
      </c>
      <c r="F57" s="21" t="s">
        <v>44</v>
      </c>
      <c r="G57" s="21" t="s">
        <v>302</v>
      </c>
      <c r="H57" s="21" t="s">
        <v>303</v>
      </c>
      <c r="I57" s="21" t="s">
        <v>304</v>
      </c>
      <c r="J57" s="23" t="s">
        <v>30</v>
      </c>
      <c r="K57" s="24">
        <v>10510</v>
      </c>
      <c r="L57" s="24">
        <v>8710</v>
      </c>
      <c r="M57" s="24"/>
      <c r="N57" s="155">
        <v>1800</v>
      </c>
      <c r="O57" s="329" t="s">
        <v>310</v>
      </c>
    </row>
    <row r="58" spans="1:15" s="19" customFormat="1" ht="16.5" customHeight="1" x14ac:dyDescent="0.25">
      <c r="A58" s="316">
        <f t="shared" si="0"/>
        <v>55</v>
      </c>
      <c r="B58" s="52"/>
      <c r="C58" s="22"/>
      <c r="D58" s="21"/>
      <c r="E58" s="209"/>
      <c r="F58" s="21"/>
      <c r="G58" s="21"/>
      <c r="H58" s="21"/>
      <c r="I58" s="21"/>
      <c r="J58" s="23"/>
      <c r="K58" s="24"/>
      <c r="L58" s="24"/>
      <c r="M58" s="24"/>
      <c r="N58" s="155"/>
      <c r="O58" s="329"/>
    </row>
    <row r="59" spans="1:15" s="19" customFormat="1" ht="24" customHeight="1" x14ac:dyDescent="0.25">
      <c r="A59" s="335">
        <f t="shared" si="0"/>
        <v>56</v>
      </c>
      <c r="B59" s="146"/>
      <c r="C59" s="147"/>
      <c r="D59" s="146"/>
      <c r="E59" s="146"/>
      <c r="F59" s="146"/>
      <c r="G59" s="146"/>
      <c r="H59" s="146"/>
      <c r="I59" s="146"/>
      <c r="J59" s="148"/>
      <c r="K59" s="149"/>
      <c r="L59" s="149"/>
      <c r="M59" s="149"/>
      <c r="N59" s="336">
        <f t="shared" ref="N59" si="3">K59-L59-M59</f>
        <v>0</v>
      </c>
      <c r="O59" s="337"/>
    </row>
    <row r="60" spans="1:15" ht="16.5" customHeight="1" x14ac:dyDescent="0.25">
      <c r="C60" s="50"/>
    </row>
    <row r="61" spans="1:15" ht="16.5" customHeight="1" x14ac:dyDescent="0.25">
      <c r="C61" s="450" t="s">
        <v>601</v>
      </c>
      <c r="M61" s="578" t="s">
        <v>680</v>
      </c>
    </row>
    <row r="63" spans="1:15" ht="15" x14ac:dyDescent="0.25">
      <c r="C63" s="461" t="s">
        <v>609</v>
      </c>
      <c r="D63" s="461" t="s">
        <v>1</v>
      </c>
      <c r="E63"/>
      <c r="F63"/>
      <c r="G63"/>
      <c r="H63"/>
      <c r="I63"/>
      <c r="J63"/>
    </row>
    <row r="64" spans="1:15" ht="15" x14ac:dyDescent="0.25">
      <c r="C64" s="461" t="s">
        <v>7</v>
      </c>
      <c r="D64" t="s">
        <v>306</v>
      </c>
      <c r="E64" t="s">
        <v>188</v>
      </c>
      <c r="F64" t="s">
        <v>636</v>
      </c>
      <c r="G64" t="s">
        <v>167</v>
      </c>
      <c r="H64" t="s">
        <v>177</v>
      </c>
      <c r="I64" t="s">
        <v>588</v>
      </c>
      <c r="J64"/>
    </row>
    <row r="65" spans="3:10" ht="15" x14ac:dyDescent="0.25">
      <c r="C65" s="446" t="s">
        <v>179</v>
      </c>
      <c r="D65" s="449"/>
      <c r="E65" s="449"/>
      <c r="F65" s="449">
        <v>21270</v>
      </c>
      <c r="G65" s="449"/>
      <c r="H65" s="449"/>
      <c r="I65" s="449">
        <v>21270</v>
      </c>
      <c r="J65"/>
    </row>
    <row r="66" spans="3:10" ht="15" x14ac:dyDescent="0.25">
      <c r="C66" s="446" t="s">
        <v>176</v>
      </c>
      <c r="D66" s="449"/>
      <c r="E66" s="449"/>
      <c r="F66" s="449">
        <v>5070</v>
      </c>
      <c r="G66" s="449"/>
      <c r="H66" s="449"/>
      <c r="I66" s="449">
        <v>5070</v>
      </c>
      <c r="J66"/>
    </row>
    <row r="67" spans="3:10" ht="15" x14ac:dyDescent="0.25">
      <c r="C67" s="446" t="s">
        <v>33</v>
      </c>
      <c r="D67" s="449"/>
      <c r="E67" s="449"/>
      <c r="F67" s="449">
        <v>52750</v>
      </c>
      <c r="G67" s="449">
        <v>12680</v>
      </c>
      <c r="H67" s="449"/>
      <c r="I67" s="449">
        <v>65430</v>
      </c>
      <c r="J67"/>
    </row>
    <row r="68" spans="3:10" ht="15" x14ac:dyDescent="0.25">
      <c r="C68" s="446" t="s">
        <v>183</v>
      </c>
      <c r="D68" s="449"/>
      <c r="E68" s="449"/>
      <c r="F68" s="449">
        <v>5600</v>
      </c>
      <c r="G68" s="449"/>
      <c r="H68" s="449"/>
      <c r="I68" s="449">
        <v>5600</v>
      </c>
      <c r="J68"/>
    </row>
    <row r="69" spans="3:10" ht="15" x14ac:dyDescent="0.25">
      <c r="C69" s="446" t="s">
        <v>71</v>
      </c>
      <c r="D69" s="449"/>
      <c r="E69" s="449"/>
      <c r="F69" s="449"/>
      <c r="G69" s="449">
        <v>12210</v>
      </c>
      <c r="H69" s="449"/>
      <c r="I69" s="449">
        <v>12210</v>
      </c>
      <c r="J69"/>
    </row>
    <row r="70" spans="3:10" ht="15" x14ac:dyDescent="0.25">
      <c r="C70" s="446" t="s">
        <v>182</v>
      </c>
      <c r="D70" s="449"/>
      <c r="E70" s="449"/>
      <c r="F70" s="449">
        <v>36180</v>
      </c>
      <c r="G70" s="449"/>
      <c r="H70" s="449"/>
      <c r="I70" s="449">
        <v>36180</v>
      </c>
      <c r="J70"/>
    </row>
    <row r="71" spans="3:10" ht="15" x14ac:dyDescent="0.25">
      <c r="C71" s="446" t="s">
        <v>152</v>
      </c>
      <c r="D71" s="449"/>
      <c r="E71" s="449"/>
      <c r="F71" s="449">
        <v>220</v>
      </c>
      <c r="G71" s="449"/>
      <c r="H71" s="449"/>
      <c r="I71" s="449">
        <v>220</v>
      </c>
      <c r="J71"/>
    </row>
    <row r="72" spans="3:10" ht="15" x14ac:dyDescent="0.25">
      <c r="C72" s="446" t="s">
        <v>53</v>
      </c>
      <c r="D72" s="449">
        <v>16610</v>
      </c>
      <c r="E72" s="449"/>
      <c r="F72" s="449"/>
      <c r="G72" s="449"/>
      <c r="H72" s="449"/>
      <c r="I72" s="449">
        <v>16610</v>
      </c>
      <c r="J72"/>
    </row>
    <row r="73" spans="3:10" ht="15" x14ac:dyDescent="0.25">
      <c r="C73" s="446" t="s">
        <v>30</v>
      </c>
      <c r="D73" s="449">
        <v>1800</v>
      </c>
      <c r="E73" s="449">
        <v>58770</v>
      </c>
      <c r="F73" s="449">
        <v>21930</v>
      </c>
      <c r="G73" s="449"/>
      <c r="H73" s="449">
        <v>730</v>
      </c>
      <c r="I73" s="449">
        <v>83230</v>
      </c>
      <c r="J73"/>
    </row>
    <row r="74" spans="3:10" ht="15" x14ac:dyDescent="0.25">
      <c r="C74" s="446" t="s">
        <v>31</v>
      </c>
      <c r="D74" s="449"/>
      <c r="E74" s="449"/>
      <c r="F74" s="449"/>
      <c r="G74" s="449"/>
      <c r="H74" s="449">
        <v>1240</v>
      </c>
      <c r="I74" s="449">
        <v>1240</v>
      </c>
      <c r="J74"/>
    </row>
    <row r="75" spans="3:10" ht="15" x14ac:dyDescent="0.25">
      <c r="C75" s="446" t="s">
        <v>54</v>
      </c>
      <c r="D75" s="449"/>
      <c r="E75" s="449"/>
      <c r="F75" s="449">
        <v>140</v>
      </c>
      <c r="G75" s="449"/>
      <c r="H75" s="449"/>
      <c r="I75" s="449">
        <v>140</v>
      </c>
      <c r="J75"/>
    </row>
    <row r="76" spans="3:10" ht="15" x14ac:dyDescent="0.25">
      <c r="C76" s="446" t="s">
        <v>166</v>
      </c>
      <c r="D76" s="449"/>
      <c r="E76" s="449"/>
      <c r="F76" s="449">
        <v>1580</v>
      </c>
      <c r="G76" s="449"/>
      <c r="H76" s="449"/>
      <c r="I76" s="449">
        <v>1580</v>
      </c>
      <c r="J76"/>
    </row>
    <row r="77" spans="3:10" ht="15" x14ac:dyDescent="0.25">
      <c r="C77" s="446" t="s">
        <v>186</v>
      </c>
      <c r="D77" s="449"/>
      <c r="E77" s="449"/>
      <c r="F77" s="449"/>
      <c r="G77" s="449"/>
      <c r="H77" s="449">
        <v>2720</v>
      </c>
      <c r="I77" s="449">
        <v>2720</v>
      </c>
      <c r="J77"/>
    </row>
    <row r="78" spans="3:10" ht="15" x14ac:dyDescent="0.25">
      <c r="C78" s="446" t="s">
        <v>58</v>
      </c>
      <c r="D78" s="449"/>
      <c r="E78" s="449"/>
      <c r="F78" s="449">
        <v>2070</v>
      </c>
      <c r="G78" s="449"/>
      <c r="H78" s="449"/>
      <c r="I78" s="449">
        <v>2070</v>
      </c>
      <c r="J78"/>
    </row>
    <row r="79" spans="3:10" ht="15" x14ac:dyDescent="0.25">
      <c r="C79" s="446" t="s">
        <v>20</v>
      </c>
      <c r="D79" s="449"/>
      <c r="E79" s="449"/>
      <c r="F79" s="449">
        <v>4250</v>
      </c>
      <c r="G79" s="449"/>
      <c r="H79" s="449"/>
      <c r="I79" s="449">
        <v>4250</v>
      </c>
      <c r="J79"/>
    </row>
    <row r="80" spans="3:10" ht="15" x14ac:dyDescent="0.25">
      <c r="C80" s="446" t="s">
        <v>588</v>
      </c>
      <c r="D80" s="449">
        <v>18410</v>
      </c>
      <c r="E80" s="449">
        <v>58770</v>
      </c>
      <c r="F80" s="449">
        <v>151060</v>
      </c>
      <c r="G80" s="449">
        <v>24890</v>
      </c>
      <c r="H80" s="449">
        <v>4690</v>
      </c>
      <c r="I80" s="449">
        <v>257820</v>
      </c>
    </row>
  </sheetData>
  <mergeCells count="1">
    <mergeCell ref="A1:O1"/>
  </mergeCells>
  <phoneticPr fontId="5" type="noConversion"/>
  <printOptions horizontalCentered="1"/>
  <pageMargins left="0.11811023622047245" right="0.11811023622047245" top="0.74803149606299213" bottom="0.74803149606299213" header="0.31496062992125984" footer="0.31496062992125984"/>
  <pageSetup paperSize="8" scale="92" orientation="landscape" r:id="rId2"/>
  <drawing r:id="rId3"/>
  <legacyDrawing r:id="rId4"/>
  <tableParts count="1">
    <tablePart r:id="rId5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6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B13D-4B3E-4CA0-BFEC-FE711CA55EC9}">
  <sheetPr>
    <tabColor rgb="FFFFFF00"/>
    <pageSetUpPr fitToPage="1"/>
  </sheetPr>
  <dimension ref="A1:AG45"/>
  <sheetViews>
    <sheetView zoomScaleNormal="100" workbookViewId="0">
      <pane ySplit="3" topLeftCell="A4" activePane="bottomLeft" state="frozen"/>
      <selection activeCell="F15" sqref="F15"/>
      <selection pane="bottomLeft" activeCell="J29" sqref="J29"/>
    </sheetView>
  </sheetViews>
  <sheetFormatPr defaultColWidth="9.140625" defaultRowHeight="16.5" x14ac:dyDescent="0.25"/>
  <cols>
    <col min="1" max="2" width="7" style="83" customWidth="1"/>
    <col min="3" max="3" width="18.42578125" style="83" bestFit="1" customWidth="1"/>
    <col min="4" max="4" width="17.28515625" style="83" bestFit="1" customWidth="1"/>
    <col min="5" max="5" width="12.7109375" style="83" bestFit="1" customWidth="1"/>
    <col min="6" max="6" width="8.140625" style="83" bestFit="1" customWidth="1"/>
    <col min="7" max="7" width="8.7109375" style="83" bestFit="1" customWidth="1"/>
    <col min="8" max="8" width="14.5703125" style="83" bestFit="1" customWidth="1"/>
    <col min="9" max="9" width="8.140625" style="83" bestFit="1" customWidth="1"/>
    <col min="10" max="10" width="11.42578125" style="83" bestFit="1" customWidth="1"/>
    <col min="11" max="11" width="11.5703125" style="83" customWidth="1"/>
    <col min="12" max="12" width="8.7109375" style="83" bestFit="1" customWidth="1"/>
    <col min="13" max="13" width="8" style="83" bestFit="1" customWidth="1"/>
    <col min="14" max="14" width="14.7109375" style="83" bestFit="1" customWidth="1"/>
    <col min="15" max="15" width="41.140625" style="83" bestFit="1" customWidth="1"/>
    <col min="16" max="16" width="12.5703125" style="83" bestFit="1" customWidth="1"/>
    <col min="17" max="16384" width="9.140625" style="83"/>
  </cols>
  <sheetData>
    <row r="1" spans="1:33" ht="41.1" customHeight="1" x14ac:dyDescent="0.25">
      <c r="A1" s="565" t="s">
        <v>208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</row>
    <row r="2" spans="1:33" ht="15.75" customHeight="1" thickBot="1" x14ac:dyDescent="0.3">
      <c r="A2" s="84"/>
      <c r="B2" s="84"/>
      <c r="C2" s="84"/>
      <c r="D2" s="85"/>
      <c r="E2" s="85"/>
      <c r="F2" s="85"/>
      <c r="G2" s="85"/>
      <c r="H2" s="85"/>
      <c r="I2" s="85"/>
      <c r="J2" s="86"/>
      <c r="K2" s="86"/>
      <c r="L2" s="86"/>
      <c r="M2" s="86"/>
      <c r="N2" s="100">
        <f>SUBTOTAL(9,N4:N22)</f>
        <v>19188</v>
      </c>
    </row>
    <row r="3" spans="1:33" ht="27" customHeight="1" thickBot="1" x14ac:dyDescent="0.3">
      <c r="A3" s="94" t="s">
        <v>566</v>
      </c>
      <c r="B3" s="427" t="s">
        <v>565</v>
      </c>
      <c r="C3" s="427" t="s">
        <v>596</v>
      </c>
      <c r="D3" s="95" t="s">
        <v>201</v>
      </c>
      <c r="E3" s="96" t="s">
        <v>96</v>
      </c>
      <c r="F3" s="95" t="s">
        <v>4</v>
      </c>
      <c r="G3" s="95" t="s">
        <v>189</v>
      </c>
      <c r="H3" s="95" t="s">
        <v>190</v>
      </c>
      <c r="I3" s="95" t="s">
        <v>202</v>
      </c>
      <c r="J3" s="97" t="s">
        <v>203</v>
      </c>
      <c r="K3" s="97" t="s">
        <v>204</v>
      </c>
      <c r="L3" s="97" t="s">
        <v>205</v>
      </c>
      <c r="M3" s="97" t="s">
        <v>305</v>
      </c>
      <c r="N3" s="98" t="s">
        <v>206</v>
      </c>
      <c r="O3" s="99" t="s">
        <v>97</v>
      </c>
      <c r="P3" s="85"/>
    </row>
    <row r="4" spans="1:33" s="87" customFormat="1" x14ac:dyDescent="0.25">
      <c r="A4" s="423">
        <f t="shared" ref="A4:A18" si="0">ROW()-4</f>
        <v>0</v>
      </c>
      <c r="B4" s="429">
        <v>1</v>
      </c>
      <c r="C4" s="429" t="s">
        <v>599</v>
      </c>
      <c r="D4" s="277">
        <v>46164</v>
      </c>
      <c r="E4" s="239" t="s">
        <v>13</v>
      </c>
      <c r="F4" s="74" t="s">
        <v>40</v>
      </c>
      <c r="G4" s="74" t="s">
        <v>41</v>
      </c>
      <c r="H4" s="74" t="s">
        <v>24</v>
      </c>
      <c r="I4" s="74" t="s">
        <v>192</v>
      </c>
      <c r="J4" s="76" t="s">
        <v>263</v>
      </c>
      <c r="K4" s="77">
        <v>19430</v>
      </c>
      <c r="L4" s="77">
        <v>14210</v>
      </c>
      <c r="M4" s="278"/>
      <c r="N4" s="279">
        <f>K4-L4</f>
        <v>5220</v>
      </c>
      <c r="O4" s="435" t="s">
        <v>410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</row>
    <row r="5" spans="1:33" s="87" customFormat="1" x14ac:dyDescent="0.25">
      <c r="A5" s="423">
        <f t="shared" si="0"/>
        <v>1</v>
      </c>
      <c r="B5" s="430" t="s">
        <v>90</v>
      </c>
      <c r="C5" s="430" t="s">
        <v>420</v>
      </c>
      <c r="D5" s="101">
        <v>46168</v>
      </c>
      <c r="E5" s="102" t="s">
        <v>225</v>
      </c>
      <c r="F5" s="103" t="s">
        <v>418</v>
      </c>
      <c r="G5" s="103" t="s">
        <v>420</v>
      </c>
      <c r="H5" s="103"/>
      <c r="I5" s="103" t="s">
        <v>421</v>
      </c>
      <c r="J5" s="103" t="s">
        <v>422</v>
      </c>
      <c r="K5" s="104">
        <v>3420</v>
      </c>
      <c r="L5" s="104">
        <v>2350</v>
      </c>
      <c r="M5" s="104"/>
      <c r="N5" s="105">
        <f>K5-L5</f>
        <v>1070</v>
      </c>
      <c r="O5" s="433" t="s">
        <v>420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</row>
    <row r="6" spans="1:33" s="87" customFormat="1" x14ac:dyDescent="0.25">
      <c r="A6" s="423">
        <f t="shared" si="0"/>
        <v>2</v>
      </c>
      <c r="B6" s="432" t="s">
        <v>93</v>
      </c>
      <c r="C6" s="432" t="s">
        <v>420</v>
      </c>
      <c r="D6" s="106">
        <v>46168</v>
      </c>
      <c r="E6" s="107" t="s">
        <v>98</v>
      </c>
      <c r="F6" s="108" t="s">
        <v>418</v>
      </c>
      <c r="G6" s="108" t="s">
        <v>420</v>
      </c>
      <c r="H6" s="108"/>
      <c r="I6" s="108" t="s">
        <v>421</v>
      </c>
      <c r="J6" s="108" t="s">
        <v>424</v>
      </c>
      <c r="K6" s="109">
        <v>2350</v>
      </c>
      <c r="L6" s="109">
        <v>2290</v>
      </c>
      <c r="M6" s="109"/>
      <c r="N6" s="110">
        <f>K6-L6</f>
        <v>60</v>
      </c>
      <c r="O6" s="436" t="s">
        <v>420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</row>
    <row r="7" spans="1:33" s="87" customFormat="1" x14ac:dyDescent="0.25">
      <c r="A7" s="423">
        <f t="shared" si="0"/>
        <v>3</v>
      </c>
      <c r="B7" s="431" t="s">
        <v>244</v>
      </c>
      <c r="C7" s="431" t="s">
        <v>420</v>
      </c>
      <c r="D7" s="272">
        <v>46168</v>
      </c>
      <c r="E7" s="273" t="s">
        <v>98</v>
      </c>
      <c r="F7" s="274" t="s">
        <v>418</v>
      </c>
      <c r="G7" s="274" t="s">
        <v>420</v>
      </c>
      <c r="H7" s="274"/>
      <c r="I7" s="274" t="s">
        <v>421</v>
      </c>
      <c r="J7" s="274" t="s">
        <v>257</v>
      </c>
      <c r="K7" s="275">
        <v>2290</v>
      </c>
      <c r="L7" s="275">
        <v>2060</v>
      </c>
      <c r="M7" s="275"/>
      <c r="N7" s="276">
        <f>K7-L7</f>
        <v>230</v>
      </c>
      <c r="O7" s="434" t="s">
        <v>420</v>
      </c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</row>
    <row r="8" spans="1:33" s="87" customFormat="1" x14ac:dyDescent="0.25">
      <c r="A8" s="423">
        <f t="shared" si="0"/>
        <v>4</v>
      </c>
      <c r="B8" s="430" t="s">
        <v>90</v>
      </c>
      <c r="C8" s="430" t="s">
        <v>600</v>
      </c>
      <c r="D8" s="101">
        <v>46181</v>
      </c>
      <c r="E8" s="102" t="s">
        <v>98</v>
      </c>
      <c r="F8" s="103" t="s">
        <v>523</v>
      </c>
      <c r="G8" s="103" t="s">
        <v>525</v>
      </c>
      <c r="H8" s="103"/>
      <c r="I8" s="103" t="s">
        <v>224</v>
      </c>
      <c r="J8" s="103" t="s">
        <v>527</v>
      </c>
      <c r="K8" s="104">
        <v>15310</v>
      </c>
      <c r="L8" s="104">
        <v>13980</v>
      </c>
      <c r="M8" s="104">
        <v>24</v>
      </c>
      <c r="N8" s="105">
        <f>K8-L8-M8</f>
        <v>1306</v>
      </c>
      <c r="O8" s="433" t="s">
        <v>531</v>
      </c>
      <c r="P8" s="452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</row>
    <row r="9" spans="1:33" s="87" customFormat="1" x14ac:dyDescent="0.25">
      <c r="A9" s="423">
        <f t="shared" si="0"/>
        <v>5</v>
      </c>
      <c r="B9" s="431" t="s">
        <v>93</v>
      </c>
      <c r="C9" s="431" t="s">
        <v>600</v>
      </c>
      <c r="D9" s="272">
        <v>46181</v>
      </c>
      <c r="E9" s="273" t="s">
        <v>98</v>
      </c>
      <c r="F9" s="274" t="s">
        <v>523</v>
      </c>
      <c r="G9" s="274" t="s">
        <v>525</v>
      </c>
      <c r="H9" s="274"/>
      <c r="I9" s="274" t="s">
        <v>192</v>
      </c>
      <c r="J9" s="274" t="s">
        <v>529</v>
      </c>
      <c r="K9" s="275">
        <v>13980</v>
      </c>
      <c r="L9" s="275">
        <v>12580</v>
      </c>
      <c r="M9" s="275">
        <v>8</v>
      </c>
      <c r="N9" s="276">
        <f>K9-L9-M9</f>
        <v>1392</v>
      </c>
      <c r="O9" s="434" t="s">
        <v>533</v>
      </c>
      <c r="P9" s="452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</row>
    <row r="10" spans="1:33" s="87" customFormat="1" x14ac:dyDescent="0.25">
      <c r="A10" s="423">
        <f t="shared" si="0"/>
        <v>6</v>
      </c>
      <c r="B10" s="430" t="s">
        <v>90</v>
      </c>
      <c r="C10" s="430" t="s">
        <v>599</v>
      </c>
      <c r="D10" s="101">
        <v>46184</v>
      </c>
      <c r="E10" s="102" t="s">
        <v>225</v>
      </c>
      <c r="F10" s="103" t="s">
        <v>560</v>
      </c>
      <c r="G10" s="103" t="s">
        <v>193</v>
      </c>
      <c r="H10" s="103" t="s">
        <v>519</v>
      </c>
      <c r="I10" s="103" t="s">
        <v>192</v>
      </c>
      <c r="J10" s="103" t="s">
        <v>561</v>
      </c>
      <c r="K10" s="104">
        <v>17410</v>
      </c>
      <c r="L10" s="104">
        <v>13550</v>
      </c>
      <c r="M10" s="104"/>
      <c r="N10" s="105">
        <f>K10-L10-M10-390</f>
        <v>3470</v>
      </c>
      <c r="O10" s="433" t="s">
        <v>569</v>
      </c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</row>
    <row r="11" spans="1:33" s="87" customFormat="1" x14ac:dyDescent="0.25">
      <c r="A11" s="423">
        <f>ROW()-4</f>
        <v>7</v>
      </c>
      <c r="B11" s="431" t="s">
        <v>93</v>
      </c>
      <c r="C11" s="431" t="s">
        <v>599</v>
      </c>
      <c r="D11" s="272">
        <v>46184</v>
      </c>
      <c r="E11" s="273" t="s">
        <v>225</v>
      </c>
      <c r="F11" s="274"/>
      <c r="G11" s="274"/>
      <c r="H11" s="274"/>
      <c r="I11" s="274" t="s">
        <v>567</v>
      </c>
      <c r="J11" s="274" t="s">
        <v>99</v>
      </c>
      <c r="K11" s="275">
        <v>12570</v>
      </c>
      <c r="L11" s="275">
        <v>11680</v>
      </c>
      <c r="M11" s="275">
        <v>500</v>
      </c>
      <c r="N11" s="276">
        <f>K11-L11-M11</f>
        <v>390</v>
      </c>
      <c r="O11" s="434" t="s">
        <v>571</v>
      </c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</row>
    <row r="12" spans="1:33" s="87" customFormat="1" x14ac:dyDescent="0.25">
      <c r="A12" s="423">
        <f t="shared" si="0"/>
        <v>8</v>
      </c>
      <c r="B12" s="505" t="s">
        <v>90</v>
      </c>
      <c r="C12" s="505" t="s">
        <v>599</v>
      </c>
      <c r="D12" s="506">
        <v>46193</v>
      </c>
      <c r="E12" s="507" t="s">
        <v>25</v>
      </c>
      <c r="F12" s="508" t="s">
        <v>15</v>
      </c>
      <c r="G12" s="508" t="s">
        <v>216</v>
      </c>
      <c r="H12" s="508" t="s">
        <v>17</v>
      </c>
      <c r="I12" s="508" t="s">
        <v>192</v>
      </c>
      <c r="J12" s="508" t="s">
        <v>30</v>
      </c>
      <c r="K12" s="104">
        <v>16710</v>
      </c>
      <c r="L12" s="104">
        <v>13580</v>
      </c>
      <c r="M12" s="104"/>
      <c r="N12" s="105">
        <v>90</v>
      </c>
      <c r="O12" s="509" t="s">
        <v>672</v>
      </c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</row>
    <row r="13" spans="1:33" s="87" customFormat="1" x14ac:dyDescent="0.25">
      <c r="A13" s="423">
        <f t="shared" si="0"/>
        <v>9</v>
      </c>
      <c r="B13" s="505" t="s">
        <v>93</v>
      </c>
      <c r="C13" s="505" t="s">
        <v>599</v>
      </c>
      <c r="D13" s="506">
        <v>46193</v>
      </c>
      <c r="E13" s="507" t="s">
        <v>25</v>
      </c>
      <c r="F13" s="508" t="s">
        <v>567</v>
      </c>
      <c r="G13" s="508"/>
      <c r="H13" s="508" t="s">
        <v>625</v>
      </c>
      <c r="I13" s="508"/>
      <c r="J13" s="508" t="s">
        <v>624</v>
      </c>
      <c r="K13" s="104"/>
      <c r="L13" s="104"/>
      <c r="M13" s="104"/>
      <c r="N13" s="105">
        <v>770</v>
      </c>
      <c r="O13" s="509" t="s">
        <v>673</v>
      </c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</row>
    <row r="14" spans="1:33" s="87" customFormat="1" x14ac:dyDescent="0.25">
      <c r="A14" s="423">
        <f t="shared" si="0"/>
        <v>10</v>
      </c>
      <c r="B14" s="505" t="s">
        <v>94</v>
      </c>
      <c r="C14" s="505" t="s">
        <v>599</v>
      </c>
      <c r="D14" s="506">
        <v>46193</v>
      </c>
      <c r="E14" s="507" t="s">
        <v>25</v>
      </c>
      <c r="F14" s="508" t="s">
        <v>567</v>
      </c>
      <c r="G14" s="508"/>
      <c r="H14" s="508" t="s">
        <v>625</v>
      </c>
      <c r="I14" s="508"/>
      <c r="J14" s="508" t="s">
        <v>58</v>
      </c>
      <c r="K14" s="104"/>
      <c r="L14" s="104"/>
      <c r="M14" s="104"/>
      <c r="N14" s="105">
        <v>170</v>
      </c>
      <c r="O14" s="509" t="s">
        <v>673</v>
      </c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3" s="87" customFormat="1" x14ac:dyDescent="0.25">
      <c r="A15" s="423">
        <f t="shared" si="0"/>
        <v>11</v>
      </c>
      <c r="B15" s="505" t="s">
        <v>321</v>
      </c>
      <c r="C15" s="505" t="s">
        <v>599</v>
      </c>
      <c r="D15" s="506">
        <v>46193</v>
      </c>
      <c r="E15" s="507" t="s">
        <v>25</v>
      </c>
      <c r="F15" s="508" t="s">
        <v>567</v>
      </c>
      <c r="G15" s="508"/>
      <c r="H15" s="508" t="s">
        <v>625</v>
      </c>
      <c r="I15" s="508"/>
      <c r="J15" s="533" t="s">
        <v>674</v>
      </c>
      <c r="K15" s="104"/>
      <c r="L15" s="104"/>
      <c r="M15" s="104"/>
      <c r="N15" s="105">
        <v>1850</v>
      </c>
      <c r="O15" s="509" t="s">
        <v>673</v>
      </c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3" s="87" customFormat="1" x14ac:dyDescent="0.25">
      <c r="A16" s="424">
        <f t="shared" si="0"/>
        <v>12</v>
      </c>
      <c r="B16" s="531" t="s">
        <v>623</v>
      </c>
      <c r="C16" s="531" t="s">
        <v>599</v>
      </c>
      <c r="D16" s="532">
        <v>46193</v>
      </c>
      <c r="E16" s="513" t="s">
        <v>25</v>
      </c>
      <c r="F16" s="514" t="s">
        <v>567</v>
      </c>
      <c r="G16" s="514"/>
      <c r="H16" s="514" t="s">
        <v>625</v>
      </c>
      <c r="I16" s="514"/>
      <c r="J16" s="514" t="s">
        <v>57</v>
      </c>
      <c r="K16" s="275"/>
      <c r="L16" s="275"/>
      <c r="M16" s="275"/>
      <c r="N16" s="276">
        <v>250</v>
      </c>
      <c r="O16" s="515" t="s">
        <v>673</v>
      </c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</row>
    <row r="17" spans="1:33" s="87" customFormat="1" x14ac:dyDescent="0.25">
      <c r="A17" s="361">
        <f t="shared" si="0"/>
        <v>13</v>
      </c>
      <c r="B17" s="505" t="s">
        <v>90</v>
      </c>
      <c r="C17" s="505" t="s">
        <v>599</v>
      </c>
      <c r="D17" s="506">
        <v>46210</v>
      </c>
      <c r="E17" s="506" t="s">
        <v>13</v>
      </c>
      <c r="F17" s="508" t="s">
        <v>15</v>
      </c>
      <c r="G17" s="508" t="s">
        <v>41</v>
      </c>
      <c r="H17" s="508" t="s">
        <v>24</v>
      </c>
      <c r="I17" s="507" t="s">
        <v>14</v>
      </c>
      <c r="J17" s="508" t="s">
        <v>37</v>
      </c>
      <c r="K17" s="534">
        <v>16380</v>
      </c>
      <c r="L17" s="104">
        <v>13600</v>
      </c>
      <c r="M17" s="104"/>
      <c r="N17" s="105">
        <f>K17-L17</f>
        <v>2780</v>
      </c>
      <c r="O17" s="509" t="s">
        <v>677</v>
      </c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</row>
    <row r="18" spans="1:33" s="87" customFormat="1" x14ac:dyDescent="0.25">
      <c r="A18" s="423">
        <f t="shared" si="0"/>
        <v>14</v>
      </c>
      <c r="B18" s="505" t="s">
        <v>93</v>
      </c>
      <c r="C18" s="505" t="s">
        <v>599</v>
      </c>
      <c r="D18" s="510">
        <v>46210</v>
      </c>
      <c r="E18" s="510" t="s">
        <v>25</v>
      </c>
      <c r="F18" s="512" t="s">
        <v>15</v>
      </c>
      <c r="G18" s="512" t="s">
        <v>41</v>
      </c>
      <c r="H18" s="508" t="s">
        <v>24</v>
      </c>
      <c r="I18" s="511" t="s">
        <v>14</v>
      </c>
      <c r="J18" s="512" t="s">
        <v>58</v>
      </c>
      <c r="K18" s="535">
        <v>13770</v>
      </c>
      <c r="L18" s="109">
        <v>13630</v>
      </c>
      <c r="M18" s="109"/>
      <c r="N18" s="110">
        <f>K18-L18</f>
        <v>140</v>
      </c>
      <c r="O18" s="509" t="s">
        <v>678</v>
      </c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</row>
    <row r="19" spans="1:33" s="87" customFormat="1" x14ac:dyDescent="0.25">
      <c r="A19" s="361"/>
      <c r="B19" s="430"/>
      <c r="C19" s="430"/>
      <c r="D19" s="106"/>
      <c r="E19" s="107"/>
      <c r="F19" s="108"/>
      <c r="G19" s="108"/>
      <c r="H19" s="103"/>
      <c r="I19" s="108"/>
      <c r="J19" s="108"/>
      <c r="K19" s="109"/>
      <c r="L19" s="109"/>
      <c r="M19" s="109"/>
      <c r="N19" s="110"/>
      <c r="O19" s="436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</row>
    <row r="20" spans="1:33" s="87" customFormat="1" x14ac:dyDescent="0.25">
      <c r="A20" s="361"/>
      <c r="B20" s="430"/>
      <c r="C20" s="430"/>
      <c r="D20" s="106"/>
      <c r="E20" s="107"/>
      <c r="F20" s="108"/>
      <c r="G20" s="108"/>
      <c r="H20" s="103"/>
      <c r="I20" s="108"/>
      <c r="J20" s="108"/>
      <c r="K20" s="109"/>
      <c r="L20" s="109"/>
      <c r="M20" s="109"/>
      <c r="N20" s="110"/>
      <c r="O20" s="436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</row>
    <row r="21" spans="1:33" s="87" customFormat="1" ht="17.25" thickBot="1" x14ac:dyDescent="0.3">
      <c r="A21" s="112"/>
      <c r="B21" s="428"/>
      <c r="C21" s="428"/>
      <c r="D21" s="106"/>
      <c r="E21" s="107"/>
      <c r="F21" s="108"/>
      <c r="G21" s="108"/>
      <c r="H21" s="108"/>
      <c r="I21" s="108"/>
      <c r="J21" s="108"/>
      <c r="K21" s="109"/>
      <c r="L21" s="109"/>
      <c r="M21" s="109"/>
      <c r="N21" s="110"/>
      <c r="O21" s="436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</row>
    <row r="22" spans="1:33" s="87" customFormat="1" ht="20.100000000000001" customHeight="1" thickBot="1" x14ac:dyDescent="0.3">
      <c r="A22" s="566" t="s">
        <v>209</v>
      </c>
      <c r="B22" s="567"/>
      <c r="C22" s="567"/>
      <c r="D22" s="568"/>
      <c r="E22" s="568"/>
      <c r="F22" s="568"/>
      <c r="G22" s="568"/>
      <c r="H22" s="568"/>
      <c r="I22" s="568"/>
      <c r="J22" s="568"/>
      <c r="K22" s="568"/>
      <c r="L22" s="568"/>
      <c r="M22" s="245"/>
      <c r="N22" s="111"/>
      <c r="O22" s="451">
        <f>SUM(N4:N21)</f>
        <v>19188</v>
      </c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</row>
    <row r="24" spans="1:33" x14ac:dyDescent="0.25">
      <c r="A24" s="53" t="s">
        <v>207</v>
      </c>
    </row>
    <row r="25" spans="1:33" ht="19.5" x14ac:dyDescent="0.25">
      <c r="F25" s="88"/>
      <c r="G25" s="89"/>
      <c r="H25" s="85"/>
      <c r="I25" s="54"/>
      <c r="N25" s="90"/>
    </row>
    <row r="26" spans="1:33" ht="30" customHeight="1" x14ac:dyDescent="0.25">
      <c r="C26" s="450" t="s">
        <v>602</v>
      </c>
      <c r="F26" s="88"/>
      <c r="G26" s="89"/>
      <c r="H26" s="85"/>
      <c r="I26" s="54"/>
      <c r="N26" s="90"/>
    </row>
    <row r="27" spans="1:33" ht="17.25" x14ac:dyDescent="0.25">
      <c r="F27" s="91"/>
      <c r="G27" s="92"/>
      <c r="H27" s="93"/>
      <c r="I27" s="91"/>
    </row>
    <row r="28" spans="1:33" ht="21.6" customHeight="1" x14ac:dyDescent="0.25">
      <c r="C28" s="503" t="s">
        <v>626</v>
      </c>
      <c r="D28" s="503" t="s">
        <v>1</v>
      </c>
      <c r="E28" s="502"/>
      <c r="F28" s="502"/>
      <c r="G28" s="502"/>
      <c r="H28"/>
      <c r="I28"/>
      <c r="J28"/>
      <c r="K28"/>
      <c r="L28"/>
    </row>
    <row r="29" spans="1:33" ht="21.6" customHeight="1" x14ac:dyDescent="0.25">
      <c r="C29" s="503" t="s">
        <v>7</v>
      </c>
      <c r="D29" s="502" t="s">
        <v>598</v>
      </c>
      <c r="E29" s="502" t="s">
        <v>597</v>
      </c>
      <c r="F29" s="502" t="s">
        <v>419</v>
      </c>
      <c r="G29" s="502" t="s">
        <v>588</v>
      </c>
      <c r="H29"/>
      <c r="I29"/>
      <c r="J29"/>
      <c r="K29"/>
      <c r="L29"/>
    </row>
    <row r="30" spans="1:33" x14ac:dyDescent="0.25">
      <c r="C30" s="446" t="s">
        <v>526</v>
      </c>
      <c r="D30" s="449"/>
      <c r="E30" s="449">
        <v>1306</v>
      </c>
      <c r="F30" s="449"/>
      <c r="G30" s="449">
        <v>1306</v>
      </c>
      <c r="H30"/>
      <c r="I30"/>
      <c r="J30"/>
      <c r="K30"/>
      <c r="L30"/>
    </row>
    <row r="31" spans="1:33" x14ac:dyDescent="0.25">
      <c r="C31" s="446" t="s">
        <v>58</v>
      </c>
      <c r="D31" s="449">
        <v>700</v>
      </c>
      <c r="E31" s="449"/>
      <c r="F31" s="449"/>
      <c r="G31" s="449">
        <v>700</v>
      </c>
      <c r="H31"/>
      <c r="I31"/>
      <c r="J31"/>
      <c r="K31"/>
      <c r="L31"/>
    </row>
    <row r="32" spans="1:33" x14ac:dyDescent="0.25">
      <c r="C32" s="446" t="s">
        <v>43</v>
      </c>
      <c r="D32" s="449"/>
      <c r="E32" s="449"/>
      <c r="F32" s="449">
        <v>230</v>
      </c>
      <c r="G32" s="449">
        <v>230</v>
      </c>
      <c r="H32"/>
      <c r="I32"/>
      <c r="J32"/>
      <c r="K32"/>
      <c r="L32"/>
    </row>
    <row r="33" spans="3:12" x14ac:dyDescent="0.25">
      <c r="C33" s="446" t="s">
        <v>37</v>
      </c>
      <c r="D33" s="449">
        <v>8000</v>
      </c>
      <c r="E33" s="449"/>
      <c r="F33" s="449"/>
      <c r="G33" s="449">
        <v>8000</v>
      </c>
      <c r="H33"/>
      <c r="I33"/>
      <c r="J33"/>
      <c r="K33"/>
      <c r="L33"/>
    </row>
    <row r="34" spans="3:12" x14ac:dyDescent="0.25">
      <c r="C34" s="446" t="s">
        <v>135</v>
      </c>
      <c r="D34" s="449">
        <v>3470</v>
      </c>
      <c r="E34" s="449"/>
      <c r="F34" s="449"/>
      <c r="G34" s="449">
        <v>3470</v>
      </c>
      <c r="H34"/>
      <c r="I34"/>
      <c r="J34"/>
      <c r="K34"/>
      <c r="L34"/>
    </row>
    <row r="35" spans="3:12" x14ac:dyDescent="0.25">
      <c r="C35" s="446" t="s">
        <v>624</v>
      </c>
      <c r="D35" s="449">
        <v>770</v>
      </c>
      <c r="E35" s="449"/>
      <c r="F35" s="449"/>
      <c r="G35" s="449">
        <v>770</v>
      </c>
      <c r="H35"/>
      <c r="I35"/>
      <c r="J35"/>
      <c r="K35"/>
      <c r="L35"/>
    </row>
    <row r="36" spans="3:12" x14ac:dyDescent="0.25">
      <c r="C36" s="446" t="s">
        <v>57</v>
      </c>
      <c r="D36" s="449">
        <v>250</v>
      </c>
      <c r="E36" s="449"/>
      <c r="F36" s="449">
        <v>1070</v>
      </c>
      <c r="G36" s="449">
        <v>1320</v>
      </c>
      <c r="H36"/>
      <c r="I36"/>
      <c r="J36"/>
      <c r="K36"/>
      <c r="L36"/>
    </row>
    <row r="37" spans="3:12" x14ac:dyDescent="0.25">
      <c r="C37" s="446" t="s">
        <v>423</v>
      </c>
      <c r="D37" s="449"/>
      <c r="E37" s="449"/>
      <c r="F37" s="449">
        <v>60</v>
      </c>
      <c r="G37" s="449">
        <v>60</v>
      </c>
      <c r="H37"/>
      <c r="I37"/>
      <c r="J37"/>
      <c r="K37"/>
      <c r="L37"/>
    </row>
    <row r="38" spans="3:12" x14ac:dyDescent="0.25">
      <c r="C38" s="446" t="s">
        <v>30</v>
      </c>
      <c r="D38" s="449">
        <v>90</v>
      </c>
      <c r="E38" s="449"/>
      <c r="F38" s="449"/>
      <c r="G38" s="449">
        <v>90</v>
      </c>
      <c r="H38"/>
      <c r="I38"/>
      <c r="J38"/>
      <c r="K38"/>
      <c r="L38"/>
    </row>
    <row r="39" spans="3:12" x14ac:dyDescent="0.25">
      <c r="C39" s="446" t="s">
        <v>528</v>
      </c>
      <c r="D39" s="449"/>
      <c r="E39" s="449">
        <v>1392</v>
      </c>
      <c r="F39" s="449"/>
      <c r="G39" s="449">
        <v>1392</v>
      </c>
      <c r="H39"/>
      <c r="I39"/>
      <c r="J39"/>
      <c r="K39"/>
      <c r="L39"/>
    </row>
    <row r="40" spans="3:12" x14ac:dyDescent="0.25">
      <c r="C40" s="446" t="s">
        <v>20</v>
      </c>
      <c r="D40" s="449">
        <v>1850</v>
      </c>
      <c r="E40" s="449"/>
      <c r="F40" s="449"/>
      <c r="G40" s="449">
        <v>1850</v>
      </c>
      <c r="H40"/>
      <c r="I40"/>
      <c r="J40"/>
      <c r="K40"/>
      <c r="L40"/>
    </row>
    <row r="41" spans="3:12" x14ac:dyDescent="0.25">
      <c r="C41" s="502" t="s">
        <v>588</v>
      </c>
      <c r="D41" s="449">
        <v>15130</v>
      </c>
      <c r="E41" s="449">
        <v>2698</v>
      </c>
      <c r="F41" s="449">
        <v>1360</v>
      </c>
      <c r="G41" s="449">
        <v>19188</v>
      </c>
      <c r="H41"/>
      <c r="I41"/>
      <c r="J41"/>
      <c r="K41"/>
      <c r="L41"/>
    </row>
    <row r="42" spans="3:12" x14ac:dyDescent="0.25">
      <c r="C42"/>
      <c r="D42"/>
      <c r="E42"/>
      <c r="F42"/>
      <c r="G42"/>
      <c r="H42"/>
      <c r="I42"/>
      <c r="J42"/>
      <c r="K42"/>
      <c r="L42"/>
    </row>
    <row r="43" spans="3:12" ht="21.6" customHeight="1" x14ac:dyDescent="0.25">
      <c r="C43"/>
      <c r="D43"/>
      <c r="E43"/>
      <c r="F43"/>
      <c r="G43"/>
      <c r="H43"/>
      <c r="I43"/>
      <c r="J43"/>
      <c r="K43"/>
      <c r="L43"/>
    </row>
    <row r="44" spans="3:12" x14ac:dyDescent="0.25">
      <c r="C44"/>
      <c r="D44"/>
      <c r="E44"/>
      <c r="F44"/>
      <c r="G44"/>
      <c r="H44"/>
      <c r="I44"/>
      <c r="J44"/>
      <c r="K44"/>
      <c r="L44"/>
    </row>
    <row r="45" spans="3:12" x14ac:dyDescent="0.25">
      <c r="C45"/>
      <c r="D45"/>
      <c r="E45"/>
      <c r="F45"/>
      <c r="G45"/>
      <c r="H45"/>
      <c r="I45"/>
      <c r="J45"/>
      <c r="K45"/>
      <c r="L45"/>
    </row>
  </sheetData>
  <mergeCells count="2">
    <mergeCell ref="A1:O1"/>
    <mergeCell ref="A22:L22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F54A-81B0-452D-8DC4-A08E425E6918}">
  <sheetPr>
    <tabColor theme="0" tint="-0.34998626667073579"/>
  </sheetPr>
  <dimension ref="A1:T29"/>
  <sheetViews>
    <sheetView zoomScaleNormal="100" workbookViewId="0">
      <pane ySplit="3" topLeftCell="A4" activePane="bottomLeft" state="frozen"/>
      <selection sqref="A1:XFD1048576"/>
      <selection pane="bottomLeft" activeCell="H25" sqref="H25"/>
    </sheetView>
  </sheetViews>
  <sheetFormatPr defaultColWidth="9.140625" defaultRowHeight="16.5" customHeight="1" x14ac:dyDescent="0.25"/>
  <cols>
    <col min="1" max="2" width="6.42578125" style="27" customWidth="1"/>
    <col min="3" max="3" width="16.7109375" style="37" customWidth="1"/>
    <col min="4" max="4" width="23.7109375" style="27" customWidth="1"/>
    <col min="5" max="9" width="16.7109375" style="27" customWidth="1"/>
    <col min="10" max="10" width="22.85546875" style="27" customWidth="1"/>
    <col min="11" max="13" width="16.7109375" style="38" customWidth="1"/>
    <col min="14" max="14" width="16.140625" style="38" customWidth="1"/>
    <col min="15" max="15" width="28.7109375" style="27" customWidth="1"/>
    <col min="16" max="16384" width="9.140625" style="27"/>
  </cols>
  <sheetData>
    <row r="1" spans="1:20" s="2" customFormat="1" ht="36.75" customHeight="1" x14ac:dyDescent="0.5">
      <c r="A1" s="563" t="s">
        <v>582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1"/>
      <c r="Q1" s="1"/>
      <c r="R1" s="1"/>
      <c r="S1" s="1"/>
      <c r="T1" s="1"/>
    </row>
    <row r="2" spans="1:20" s="3" customFormat="1" ht="14.25" thickBot="1" x14ac:dyDescent="0.3">
      <c r="C2" s="4"/>
      <c r="M2" s="5">
        <f>SUBTOTAL(9,M4:M578)</f>
        <v>0</v>
      </c>
      <c r="N2" s="6">
        <f>SUBTOTAL(9,N4:N578)</f>
        <v>118420</v>
      </c>
    </row>
    <row r="3" spans="1:20" s="11" customFormat="1" ht="30.75" customHeight="1" thickBot="1" x14ac:dyDescent="0.35">
      <c r="A3" s="39" t="s">
        <v>87</v>
      </c>
      <c r="B3" s="40" t="s">
        <v>86</v>
      </c>
      <c r="C3" s="40" t="s">
        <v>0</v>
      </c>
      <c r="D3" s="41" t="s">
        <v>1</v>
      </c>
      <c r="E3" s="41" t="s">
        <v>2</v>
      </c>
      <c r="F3" s="41" t="s">
        <v>3</v>
      </c>
      <c r="G3" s="41" t="s">
        <v>4</v>
      </c>
      <c r="H3" s="41" t="s">
        <v>5</v>
      </c>
      <c r="I3" s="41" t="s">
        <v>6</v>
      </c>
      <c r="J3" s="40" t="s">
        <v>7</v>
      </c>
      <c r="K3" s="41" t="s">
        <v>8</v>
      </c>
      <c r="L3" s="41" t="s">
        <v>9</v>
      </c>
      <c r="M3" s="41" t="s">
        <v>10</v>
      </c>
      <c r="N3" s="40" t="s">
        <v>11</v>
      </c>
      <c r="O3" s="42" t="s">
        <v>12</v>
      </c>
    </row>
    <row r="4" spans="1:20" s="19" customFormat="1" ht="16.5" customHeight="1" x14ac:dyDescent="0.25">
      <c r="A4" s="12">
        <f>ROW()-3</f>
        <v>1</v>
      </c>
      <c r="B4" s="13">
        <v>1</v>
      </c>
      <c r="C4" s="14">
        <v>46175</v>
      </c>
      <c r="D4" s="13" t="s">
        <v>449</v>
      </c>
      <c r="E4" s="13" t="s">
        <v>25</v>
      </c>
      <c r="F4" s="13" t="s">
        <v>447</v>
      </c>
      <c r="G4" s="13" t="s">
        <v>448</v>
      </c>
      <c r="H4" s="13" t="s">
        <v>476</v>
      </c>
      <c r="I4" s="13" t="s">
        <v>477</v>
      </c>
      <c r="J4" s="15" t="s">
        <v>53</v>
      </c>
      <c r="K4" s="16">
        <v>15400</v>
      </c>
      <c r="L4" s="16">
        <v>9900</v>
      </c>
      <c r="M4" s="16"/>
      <c r="N4" s="45">
        <f t="shared" ref="N4:N28" si="0">K4-L4-M4</f>
        <v>5500</v>
      </c>
      <c r="O4" s="18" t="s">
        <v>456</v>
      </c>
    </row>
    <row r="5" spans="1:20" s="19" customFormat="1" ht="13.5" x14ac:dyDescent="0.25">
      <c r="A5" s="20">
        <f t="shared" ref="A5:A28" si="1">ROW()-3</f>
        <v>2</v>
      </c>
      <c r="B5" s="21">
        <v>2</v>
      </c>
      <c r="C5" s="22">
        <v>46175</v>
      </c>
      <c r="D5" s="21" t="s">
        <v>449</v>
      </c>
      <c r="E5" s="21" t="s">
        <v>25</v>
      </c>
      <c r="F5" s="21" t="s">
        <v>447</v>
      </c>
      <c r="G5" s="21" t="s">
        <v>450</v>
      </c>
      <c r="H5" s="21" t="s">
        <v>479</v>
      </c>
      <c r="I5" s="21" t="s">
        <v>481</v>
      </c>
      <c r="J5" s="23" t="s">
        <v>53</v>
      </c>
      <c r="K5" s="24">
        <v>14580</v>
      </c>
      <c r="L5" s="24">
        <v>9800</v>
      </c>
      <c r="M5" s="24"/>
      <c r="N5" s="45">
        <f t="shared" si="0"/>
        <v>4780</v>
      </c>
      <c r="O5" s="28" t="s">
        <v>457</v>
      </c>
    </row>
    <row r="6" spans="1:20" s="19" customFormat="1" ht="16.5" customHeight="1" x14ac:dyDescent="0.25">
      <c r="A6" s="20">
        <f t="shared" si="1"/>
        <v>3</v>
      </c>
      <c r="B6" s="21">
        <v>3</v>
      </c>
      <c r="C6" s="22">
        <v>46175</v>
      </c>
      <c r="D6" s="21" t="s">
        <v>449</v>
      </c>
      <c r="E6" s="21" t="s">
        <v>25</v>
      </c>
      <c r="F6" s="21" t="s">
        <v>447</v>
      </c>
      <c r="G6" s="21" t="s">
        <v>451</v>
      </c>
      <c r="H6" s="21" t="s">
        <v>483</v>
      </c>
      <c r="I6" s="21" t="s">
        <v>482</v>
      </c>
      <c r="J6" s="23" t="s">
        <v>53</v>
      </c>
      <c r="K6" s="24">
        <v>14470</v>
      </c>
      <c r="L6" s="24">
        <v>9230</v>
      </c>
      <c r="M6" s="24"/>
      <c r="N6" s="45">
        <f t="shared" si="0"/>
        <v>5240</v>
      </c>
      <c r="O6" s="26" t="s">
        <v>458</v>
      </c>
    </row>
    <row r="7" spans="1:20" s="19" customFormat="1" ht="16.5" customHeight="1" x14ac:dyDescent="0.25">
      <c r="A7" s="20">
        <f t="shared" si="1"/>
        <v>4</v>
      </c>
      <c r="B7" s="21">
        <v>4</v>
      </c>
      <c r="C7" s="22">
        <v>46175</v>
      </c>
      <c r="D7" s="21" t="s">
        <v>449</v>
      </c>
      <c r="E7" s="21" t="s">
        <v>25</v>
      </c>
      <c r="F7" s="21" t="s">
        <v>44</v>
      </c>
      <c r="G7" s="21" t="s">
        <v>452</v>
      </c>
      <c r="H7" s="21" t="s">
        <v>485</v>
      </c>
      <c r="I7" s="21" t="s">
        <v>489</v>
      </c>
      <c r="J7" s="23" t="s">
        <v>53</v>
      </c>
      <c r="K7" s="24">
        <v>12100</v>
      </c>
      <c r="L7" s="24">
        <v>8120</v>
      </c>
      <c r="M7" s="24"/>
      <c r="N7" s="45">
        <f t="shared" si="0"/>
        <v>3980</v>
      </c>
      <c r="O7" s="26" t="s">
        <v>454</v>
      </c>
    </row>
    <row r="8" spans="1:20" s="19" customFormat="1" ht="16.5" customHeight="1" x14ac:dyDescent="0.25">
      <c r="A8" s="29">
        <f t="shared" si="1"/>
        <v>5</v>
      </c>
      <c r="B8" s="31">
        <v>5</v>
      </c>
      <c r="C8" s="30">
        <v>46175</v>
      </c>
      <c r="D8" s="31" t="s">
        <v>449</v>
      </c>
      <c r="E8" s="31" t="s">
        <v>25</v>
      </c>
      <c r="F8" s="31" t="s">
        <v>447</v>
      </c>
      <c r="G8" s="31" t="s">
        <v>453</v>
      </c>
      <c r="H8" s="31" t="s">
        <v>486</v>
      </c>
      <c r="I8" s="31" t="s">
        <v>487</v>
      </c>
      <c r="J8" s="32" t="s">
        <v>53</v>
      </c>
      <c r="K8" s="33">
        <v>15170</v>
      </c>
      <c r="L8" s="33">
        <v>9950</v>
      </c>
      <c r="M8" s="33"/>
      <c r="N8" s="48">
        <f t="shared" si="0"/>
        <v>5220</v>
      </c>
      <c r="O8" s="35" t="s">
        <v>455</v>
      </c>
    </row>
    <row r="9" spans="1:20" s="19" customFormat="1" ht="16.5" customHeight="1" x14ac:dyDescent="0.25">
      <c r="A9" s="12">
        <f t="shared" si="1"/>
        <v>6</v>
      </c>
      <c r="B9" s="13">
        <v>1</v>
      </c>
      <c r="C9" s="14">
        <v>46177</v>
      </c>
      <c r="D9" s="13" t="s">
        <v>449</v>
      </c>
      <c r="E9" s="13" t="s">
        <v>25</v>
      </c>
      <c r="F9" s="13" t="s">
        <v>447</v>
      </c>
      <c r="G9" s="13" t="s">
        <v>464</v>
      </c>
      <c r="H9" s="13" t="s">
        <v>493</v>
      </c>
      <c r="I9" s="13" t="s">
        <v>490</v>
      </c>
      <c r="J9" s="15" t="s">
        <v>53</v>
      </c>
      <c r="K9" s="16">
        <v>18780</v>
      </c>
      <c r="L9" s="16">
        <v>13350</v>
      </c>
      <c r="M9" s="16"/>
      <c r="N9" s="43">
        <f t="shared" si="0"/>
        <v>5430</v>
      </c>
      <c r="O9" s="18" t="s">
        <v>491</v>
      </c>
    </row>
    <row r="10" spans="1:20" s="19" customFormat="1" ht="16.5" customHeight="1" x14ac:dyDescent="0.25">
      <c r="A10" s="20">
        <f t="shared" si="1"/>
        <v>7</v>
      </c>
      <c r="B10" s="21">
        <v>2</v>
      </c>
      <c r="C10" s="22">
        <v>46177</v>
      </c>
      <c r="D10" s="21" t="s">
        <v>449</v>
      </c>
      <c r="E10" s="21" t="s">
        <v>25</v>
      </c>
      <c r="F10" s="21" t="s">
        <v>447</v>
      </c>
      <c r="G10" s="21" t="s">
        <v>465</v>
      </c>
      <c r="H10" s="21" t="s">
        <v>494</v>
      </c>
      <c r="I10" s="21" t="s">
        <v>495</v>
      </c>
      <c r="J10" s="23" t="s">
        <v>53</v>
      </c>
      <c r="K10" s="24">
        <v>18050</v>
      </c>
      <c r="L10" s="24">
        <v>12210</v>
      </c>
      <c r="M10" s="24"/>
      <c r="N10" s="45">
        <f t="shared" si="0"/>
        <v>5840</v>
      </c>
      <c r="O10" s="26" t="s">
        <v>492</v>
      </c>
    </row>
    <row r="11" spans="1:20" s="19" customFormat="1" ht="16.5" customHeight="1" x14ac:dyDescent="0.25">
      <c r="A11" s="20">
        <f t="shared" si="1"/>
        <v>8</v>
      </c>
      <c r="B11" s="21">
        <v>3</v>
      </c>
      <c r="C11" s="22">
        <v>46177</v>
      </c>
      <c r="D11" s="21" t="s">
        <v>449</v>
      </c>
      <c r="E11" s="21" t="s">
        <v>25</v>
      </c>
      <c r="F11" s="21" t="s">
        <v>44</v>
      </c>
      <c r="G11" s="21" t="s">
        <v>466</v>
      </c>
      <c r="H11" s="21" t="s">
        <v>467</v>
      </c>
      <c r="I11" s="21" t="s">
        <v>468</v>
      </c>
      <c r="J11" s="23" t="s">
        <v>53</v>
      </c>
      <c r="K11" s="24">
        <v>12180</v>
      </c>
      <c r="L11" s="24">
        <v>9030</v>
      </c>
      <c r="M11" s="24"/>
      <c r="N11" s="45">
        <f t="shared" si="0"/>
        <v>3150</v>
      </c>
      <c r="O11" s="26" t="s">
        <v>471</v>
      </c>
    </row>
    <row r="12" spans="1:20" s="19" customFormat="1" ht="16.5" customHeight="1" x14ac:dyDescent="0.25">
      <c r="A12" s="29">
        <f t="shared" si="1"/>
        <v>9</v>
      </c>
      <c r="B12" s="31">
        <v>4</v>
      </c>
      <c r="C12" s="30">
        <v>46177</v>
      </c>
      <c r="D12" s="31" t="s">
        <v>449</v>
      </c>
      <c r="E12" s="31" t="s">
        <v>25</v>
      </c>
      <c r="F12" s="31" t="s">
        <v>44</v>
      </c>
      <c r="G12" s="31" t="s">
        <v>469</v>
      </c>
      <c r="H12" s="31" t="s">
        <v>497</v>
      </c>
      <c r="I12" s="31" t="s">
        <v>496</v>
      </c>
      <c r="J12" s="32" t="s">
        <v>53</v>
      </c>
      <c r="K12" s="33">
        <v>10270</v>
      </c>
      <c r="L12" s="33">
        <v>8570</v>
      </c>
      <c r="M12" s="33"/>
      <c r="N12" s="48">
        <f t="shared" si="0"/>
        <v>1700</v>
      </c>
      <c r="O12" s="35" t="s">
        <v>472</v>
      </c>
    </row>
    <row r="13" spans="1:20" s="19" customFormat="1" ht="16.5" customHeight="1" x14ac:dyDescent="0.25">
      <c r="A13" s="12">
        <f t="shared" si="1"/>
        <v>10</v>
      </c>
      <c r="B13" s="13">
        <v>1</v>
      </c>
      <c r="C13" s="14">
        <v>46178</v>
      </c>
      <c r="D13" s="13" t="s">
        <v>449</v>
      </c>
      <c r="E13" s="13" t="s">
        <v>25</v>
      </c>
      <c r="F13" s="13" t="s">
        <v>447</v>
      </c>
      <c r="G13" s="13" t="s">
        <v>498</v>
      </c>
      <c r="H13" s="13" t="s">
        <v>499</v>
      </c>
      <c r="I13" s="13" t="s">
        <v>500</v>
      </c>
      <c r="J13" s="15" t="s">
        <v>53</v>
      </c>
      <c r="K13" s="16">
        <v>18660</v>
      </c>
      <c r="L13" s="16">
        <v>11720</v>
      </c>
      <c r="M13" s="16"/>
      <c r="N13" s="43">
        <f t="shared" si="0"/>
        <v>6940</v>
      </c>
      <c r="O13" s="18" t="s">
        <v>510</v>
      </c>
    </row>
    <row r="14" spans="1:20" s="19" customFormat="1" ht="16.5" customHeight="1" x14ac:dyDescent="0.25">
      <c r="A14" s="20">
        <f t="shared" si="1"/>
        <v>11</v>
      </c>
      <c r="B14" s="21">
        <v>2</v>
      </c>
      <c r="C14" s="22">
        <v>46178</v>
      </c>
      <c r="D14" s="21" t="s">
        <v>449</v>
      </c>
      <c r="E14" s="21" t="s">
        <v>25</v>
      </c>
      <c r="F14" s="21" t="s">
        <v>447</v>
      </c>
      <c r="G14" s="21" t="s">
        <v>450</v>
      </c>
      <c r="H14" s="21" t="s">
        <v>478</v>
      </c>
      <c r="I14" s="21" t="s">
        <v>480</v>
      </c>
      <c r="J14" s="23" t="s">
        <v>53</v>
      </c>
      <c r="K14" s="24">
        <v>15210</v>
      </c>
      <c r="L14" s="24">
        <v>9770</v>
      </c>
      <c r="M14" s="24"/>
      <c r="N14" s="45">
        <f t="shared" si="0"/>
        <v>5440</v>
      </c>
      <c r="O14" s="26" t="s">
        <v>471</v>
      </c>
    </row>
    <row r="15" spans="1:20" s="19" customFormat="1" ht="16.5" customHeight="1" x14ac:dyDescent="0.25">
      <c r="A15" s="20">
        <f t="shared" si="1"/>
        <v>12</v>
      </c>
      <c r="B15" s="21">
        <v>3</v>
      </c>
      <c r="C15" s="22">
        <v>46178</v>
      </c>
      <c r="D15" s="21" t="s">
        <v>449</v>
      </c>
      <c r="E15" s="21" t="s">
        <v>25</v>
      </c>
      <c r="F15" s="21" t="s">
        <v>447</v>
      </c>
      <c r="G15" s="21" t="s">
        <v>501</v>
      </c>
      <c r="H15" s="21" t="s">
        <v>502</v>
      </c>
      <c r="I15" s="21" t="s">
        <v>503</v>
      </c>
      <c r="J15" s="23" t="s">
        <v>53</v>
      </c>
      <c r="K15" s="24">
        <v>15610</v>
      </c>
      <c r="L15" s="24">
        <v>9580</v>
      </c>
      <c r="M15" s="24"/>
      <c r="N15" s="45">
        <f t="shared" si="0"/>
        <v>6030</v>
      </c>
      <c r="O15" s="26" t="s">
        <v>510</v>
      </c>
    </row>
    <row r="16" spans="1:20" s="19" customFormat="1" ht="16.5" customHeight="1" x14ac:dyDescent="0.25">
      <c r="A16" s="20">
        <f t="shared" si="1"/>
        <v>13</v>
      </c>
      <c r="B16" s="21">
        <v>4</v>
      </c>
      <c r="C16" s="22">
        <v>46178</v>
      </c>
      <c r="D16" s="21" t="s">
        <v>449</v>
      </c>
      <c r="E16" s="21" t="s">
        <v>25</v>
      </c>
      <c r="F16" s="21" t="s">
        <v>447</v>
      </c>
      <c r="G16" s="21" t="s">
        <v>504</v>
      </c>
      <c r="H16" s="21" t="s">
        <v>505</v>
      </c>
      <c r="I16" s="21" t="s">
        <v>506</v>
      </c>
      <c r="J16" s="23" t="s">
        <v>53</v>
      </c>
      <c r="K16" s="24">
        <v>19870</v>
      </c>
      <c r="L16" s="24">
        <v>13510</v>
      </c>
      <c r="M16" s="24"/>
      <c r="N16" s="45">
        <f t="shared" si="0"/>
        <v>6360</v>
      </c>
      <c r="O16" s="26" t="s">
        <v>511</v>
      </c>
    </row>
    <row r="17" spans="1:15" s="19" customFormat="1" ht="16.5" customHeight="1" x14ac:dyDescent="0.25">
      <c r="A17" s="20">
        <f t="shared" si="1"/>
        <v>14</v>
      </c>
      <c r="B17" s="21">
        <v>5</v>
      </c>
      <c r="C17" s="22">
        <v>46178</v>
      </c>
      <c r="D17" s="21" t="s">
        <v>449</v>
      </c>
      <c r="E17" s="21" t="s">
        <v>25</v>
      </c>
      <c r="F17" s="21" t="s">
        <v>447</v>
      </c>
      <c r="G17" s="21" t="s">
        <v>507</v>
      </c>
      <c r="H17" s="21" t="s">
        <v>508</v>
      </c>
      <c r="I17" s="21" t="s">
        <v>509</v>
      </c>
      <c r="J17" s="23" t="s">
        <v>53</v>
      </c>
      <c r="K17" s="24">
        <v>15650</v>
      </c>
      <c r="L17" s="24">
        <v>10230</v>
      </c>
      <c r="M17" s="24"/>
      <c r="N17" s="45">
        <f t="shared" si="0"/>
        <v>5420</v>
      </c>
      <c r="O17" s="26" t="s">
        <v>512</v>
      </c>
    </row>
    <row r="18" spans="1:15" s="19" customFormat="1" ht="16.5" customHeight="1" x14ac:dyDescent="0.25">
      <c r="A18" s="20">
        <f t="shared" si="1"/>
        <v>15</v>
      </c>
      <c r="B18" s="21">
        <v>6</v>
      </c>
      <c r="C18" s="22">
        <v>46178</v>
      </c>
      <c r="D18" s="21" t="s">
        <v>449</v>
      </c>
      <c r="E18" s="21" t="s">
        <v>25</v>
      </c>
      <c r="F18" s="21" t="s">
        <v>44</v>
      </c>
      <c r="G18" s="21" t="s">
        <v>466</v>
      </c>
      <c r="H18" s="21" t="s">
        <v>467</v>
      </c>
      <c r="I18" s="21" t="s">
        <v>468</v>
      </c>
      <c r="J18" s="23" t="s">
        <v>53</v>
      </c>
      <c r="K18" s="24">
        <v>13540</v>
      </c>
      <c r="L18" s="24">
        <v>9010</v>
      </c>
      <c r="M18" s="24"/>
      <c r="N18" s="45">
        <f t="shared" si="0"/>
        <v>4530</v>
      </c>
      <c r="O18" s="26" t="s">
        <v>513</v>
      </c>
    </row>
    <row r="19" spans="1:15" s="19" customFormat="1" ht="16.5" customHeight="1" x14ac:dyDescent="0.25">
      <c r="A19" s="29">
        <f t="shared" si="1"/>
        <v>16</v>
      </c>
      <c r="B19" s="31">
        <v>7</v>
      </c>
      <c r="C19" s="30">
        <v>46178</v>
      </c>
      <c r="D19" s="31" t="s">
        <v>449</v>
      </c>
      <c r="E19" s="31" t="s">
        <v>25</v>
      </c>
      <c r="F19" s="31" t="s">
        <v>44</v>
      </c>
      <c r="G19" s="31" t="s">
        <v>452</v>
      </c>
      <c r="H19" s="31" t="s">
        <v>484</v>
      </c>
      <c r="I19" s="31" t="s">
        <v>488</v>
      </c>
      <c r="J19" s="32" t="s">
        <v>53</v>
      </c>
      <c r="K19" s="33">
        <v>11500</v>
      </c>
      <c r="L19" s="33">
        <v>8080</v>
      </c>
      <c r="M19" s="33"/>
      <c r="N19" s="48">
        <f t="shared" si="0"/>
        <v>3420</v>
      </c>
      <c r="O19" s="35" t="s">
        <v>454</v>
      </c>
    </row>
    <row r="20" spans="1:15" s="19" customFormat="1" ht="16.5" customHeight="1" x14ac:dyDescent="0.25">
      <c r="A20" s="12">
        <f t="shared" si="1"/>
        <v>17</v>
      </c>
      <c r="B20" s="13">
        <v>1</v>
      </c>
      <c r="C20" s="14">
        <v>46181</v>
      </c>
      <c r="D20" s="13" t="s">
        <v>449</v>
      </c>
      <c r="E20" s="13" t="s">
        <v>25</v>
      </c>
      <c r="F20" s="13" t="s">
        <v>447</v>
      </c>
      <c r="G20" s="13" t="s">
        <v>534</v>
      </c>
      <c r="H20" s="13" t="s">
        <v>535</v>
      </c>
      <c r="I20" s="13" t="s">
        <v>536</v>
      </c>
      <c r="J20" s="15" t="s">
        <v>53</v>
      </c>
      <c r="K20" s="16">
        <v>17950</v>
      </c>
      <c r="L20" s="16">
        <v>11040</v>
      </c>
      <c r="M20" s="16"/>
      <c r="N20" s="43">
        <f t="shared" si="0"/>
        <v>6910</v>
      </c>
      <c r="O20" s="18" t="s">
        <v>455</v>
      </c>
    </row>
    <row r="21" spans="1:15" s="19" customFormat="1" ht="16.5" customHeight="1" x14ac:dyDescent="0.25">
      <c r="A21" s="20">
        <f t="shared" si="1"/>
        <v>18</v>
      </c>
      <c r="B21" s="21">
        <v>2</v>
      </c>
      <c r="C21" s="22">
        <v>46181</v>
      </c>
      <c r="D21" s="21" t="s">
        <v>449</v>
      </c>
      <c r="E21" s="21" t="s">
        <v>25</v>
      </c>
      <c r="F21" s="21" t="s">
        <v>447</v>
      </c>
      <c r="G21" s="21" t="s">
        <v>537</v>
      </c>
      <c r="H21" s="21" t="s">
        <v>538</v>
      </c>
      <c r="I21" s="21" t="s">
        <v>539</v>
      </c>
      <c r="J21" s="23" t="s">
        <v>53</v>
      </c>
      <c r="K21" s="24">
        <v>15750</v>
      </c>
      <c r="L21" s="24">
        <v>10750</v>
      </c>
      <c r="M21" s="24"/>
      <c r="N21" s="45">
        <f t="shared" si="0"/>
        <v>5000</v>
      </c>
      <c r="O21" s="26" t="s">
        <v>513</v>
      </c>
    </row>
    <row r="22" spans="1:15" s="19" customFormat="1" ht="16.5" customHeight="1" x14ac:dyDescent="0.25">
      <c r="A22" s="20">
        <f t="shared" si="1"/>
        <v>19</v>
      </c>
      <c r="B22" s="21">
        <v>3</v>
      </c>
      <c r="C22" s="22">
        <v>46181</v>
      </c>
      <c r="D22" s="21" t="s">
        <v>449</v>
      </c>
      <c r="E22" s="21" t="s">
        <v>25</v>
      </c>
      <c r="F22" s="21" t="s">
        <v>447</v>
      </c>
      <c r="G22" s="21" t="s">
        <v>540</v>
      </c>
      <c r="H22" s="21" t="s">
        <v>541</v>
      </c>
      <c r="I22" s="21" t="s">
        <v>542</v>
      </c>
      <c r="J22" s="23" t="s">
        <v>53</v>
      </c>
      <c r="K22" s="24">
        <v>14910</v>
      </c>
      <c r="L22" s="24">
        <v>10350</v>
      </c>
      <c r="M22" s="24"/>
      <c r="N22" s="45">
        <f t="shared" si="0"/>
        <v>4560</v>
      </c>
      <c r="O22" s="26" t="s">
        <v>471</v>
      </c>
    </row>
    <row r="23" spans="1:15" s="19" customFormat="1" ht="16.5" customHeight="1" x14ac:dyDescent="0.25">
      <c r="A23" s="20">
        <f t="shared" si="1"/>
        <v>20</v>
      </c>
      <c r="B23" s="21">
        <v>4</v>
      </c>
      <c r="C23" s="22">
        <v>46181</v>
      </c>
      <c r="D23" s="21" t="s">
        <v>449</v>
      </c>
      <c r="E23" s="21" t="s">
        <v>25</v>
      </c>
      <c r="F23" s="21" t="s">
        <v>447</v>
      </c>
      <c r="G23" s="21" t="s">
        <v>543</v>
      </c>
      <c r="H23" s="21" t="s">
        <v>544</v>
      </c>
      <c r="I23" s="21" t="s">
        <v>545</v>
      </c>
      <c r="J23" s="23" t="s">
        <v>53</v>
      </c>
      <c r="K23" s="24">
        <v>17990</v>
      </c>
      <c r="L23" s="24">
        <v>12030</v>
      </c>
      <c r="M23" s="24"/>
      <c r="N23" s="45">
        <f t="shared" si="0"/>
        <v>5960</v>
      </c>
      <c r="O23" s="26" t="s">
        <v>511</v>
      </c>
    </row>
    <row r="24" spans="1:15" s="19" customFormat="1" ht="16.5" customHeight="1" x14ac:dyDescent="0.25">
      <c r="A24" s="20">
        <f t="shared" si="1"/>
        <v>21</v>
      </c>
      <c r="B24" s="21">
        <v>5</v>
      </c>
      <c r="C24" s="22">
        <v>46181</v>
      </c>
      <c r="D24" s="21" t="s">
        <v>449</v>
      </c>
      <c r="E24" s="21" t="s">
        <v>25</v>
      </c>
      <c r="F24" s="21" t="s">
        <v>55</v>
      </c>
      <c r="G24" s="21" t="s">
        <v>546</v>
      </c>
      <c r="H24" s="21" t="s">
        <v>547</v>
      </c>
      <c r="I24" s="21" t="s">
        <v>548</v>
      </c>
      <c r="J24" s="23" t="s">
        <v>53</v>
      </c>
      <c r="K24" s="24">
        <v>28210</v>
      </c>
      <c r="L24" s="24">
        <v>17890</v>
      </c>
      <c r="M24" s="24"/>
      <c r="N24" s="45">
        <f t="shared" si="0"/>
        <v>10320</v>
      </c>
      <c r="O24" s="26" t="s">
        <v>510</v>
      </c>
    </row>
    <row r="25" spans="1:15" s="19" customFormat="1" ht="16.5" customHeight="1" x14ac:dyDescent="0.25">
      <c r="A25" s="29">
        <f t="shared" si="1"/>
        <v>22</v>
      </c>
      <c r="B25" s="31">
        <v>6</v>
      </c>
      <c r="C25" s="30">
        <v>46181</v>
      </c>
      <c r="D25" s="31" t="s">
        <v>449</v>
      </c>
      <c r="E25" s="31" t="s">
        <v>25</v>
      </c>
      <c r="F25" s="31" t="s">
        <v>549</v>
      </c>
      <c r="G25" s="31" t="s">
        <v>550</v>
      </c>
      <c r="H25" s="31" t="s">
        <v>551</v>
      </c>
      <c r="I25" s="31" t="s">
        <v>552</v>
      </c>
      <c r="J25" s="32" t="s">
        <v>553</v>
      </c>
      <c r="K25" s="33">
        <v>12070</v>
      </c>
      <c r="L25" s="33">
        <v>10910</v>
      </c>
      <c r="M25" s="33"/>
      <c r="N25" s="48">
        <f>K25-L25-M25</f>
        <v>1160</v>
      </c>
      <c r="O25" s="35"/>
    </row>
    <row r="26" spans="1:15" s="19" customFormat="1" ht="16.5" customHeight="1" x14ac:dyDescent="0.25">
      <c r="A26" s="12">
        <f t="shared" si="1"/>
        <v>23</v>
      </c>
      <c r="B26" s="13">
        <v>1</v>
      </c>
      <c r="C26" s="14">
        <v>46184</v>
      </c>
      <c r="D26" s="288" t="s">
        <v>449</v>
      </c>
      <c r="E26" s="288" t="s">
        <v>25</v>
      </c>
      <c r="F26" s="288" t="s">
        <v>44</v>
      </c>
      <c r="G26" s="288" t="s">
        <v>62</v>
      </c>
      <c r="H26" s="288" t="s">
        <v>28</v>
      </c>
      <c r="I26" s="288" t="s">
        <v>63</v>
      </c>
      <c r="J26" s="289" t="s">
        <v>53</v>
      </c>
      <c r="K26" s="290">
        <v>13440</v>
      </c>
      <c r="L26" s="290">
        <v>7910</v>
      </c>
      <c r="M26" s="290"/>
      <c r="N26" s="43">
        <f>K26-L26-M26</f>
        <v>5530</v>
      </c>
      <c r="O26" s="18"/>
    </row>
    <row r="27" spans="1:15" s="19" customFormat="1" ht="16.5" customHeight="1" x14ac:dyDescent="0.25">
      <c r="A27" s="20">
        <f t="shared" si="1"/>
        <v>24</v>
      </c>
      <c r="B27" s="21"/>
      <c r="C27" s="22"/>
      <c r="D27" s="21"/>
      <c r="E27" s="21"/>
      <c r="F27" s="21"/>
      <c r="G27" s="21"/>
      <c r="H27" s="21"/>
      <c r="I27" s="21"/>
      <c r="J27" s="23"/>
      <c r="K27" s="24"/>
      <c r="L27" s="24"/>
      <c r="M27" s="24"/>
      <c r="N27" s="45">
        <f t="shared" si="0"/>
        <v>0</v>
      </c>
      <c r="O27" s="26"/>
    </row>
    <row r="28" spans="1:15" s="19" customFormat="1" ht="16.5" customHeight="1" x14ac:dyDescent="0.25">
      <c r="A28" s="29">
        <f t="shared" si="1"/>
        <v>25</v>
      </c>
      <c r="B28" s="31"/>
      <c r="C28" s="30"/>
      <c r="D28" s="31"/>
      <c r="E28" s="31"/>
      <c r="F28" s="31"/>
      <c r="G28" s="31"/>
      <c r="H28" s="31"/>
      <c r="I28" s="31"/>
      <c r="J28" s="32"/>
      <c r="K28" s="33"/>
      <c r="L28" s="33"/>
      <c r="M28" s="33"/>
      <c r="N28" s="48">
        <f t="shared" si="0"/>
        <v>0</v>
      </c>
      <c r="O28" s="35"/>
    </row>
    <row r="29" spans="1:15" ht="16.5" customHeight="1" x14ac:dyDescent="0.25">
      <c r="C29" s="50"/>
    </row>
  </sheetData>
  <mergeCells count="1">
    <mergeCell ref="A1:O1"/>
  </mergeCells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T47"/>
  <sheetViews>
    <sheetView zoomScaleNormal="100" workbookViewId="0">
      <pane ySplit="3" topLeftCell="A12" activePane="bottomLeft" state="frozen"/>
      <selection activeCell="F27" sqref="F27"/>
      <selection pane="bottomLeft" activeCell="G20" sqref="G20"/>
    </sheetView>
  </sheetViews>
  <sheetFormatPr defaultColWidth="9.140625" defaultRowHeight="16.5" customHeight="1" x14ac:dyDescent="0.25"/>
  <cols>
    <col min="1" max="2" width="6.42578125" style="27" customWidth="1"/>
    <col min="3" max="3" width="19.28515625" style="37" bestFit="1" customWidth="1"/>
    <col min="4" max="4" width="11.7109375" style="27" bestFit="1" customWidth="1"/>
    <col min="5" max="5" width="18.140625" style="27" bestFit="1" customWidth="1"/>
    <col min="6" max="9" width="16.7109375" style="27" customWidth="1"/>
    <col min="10" max="10" width="22.85546875" style="27" customWidth="1"/>
    <col min="11" max="13" width="16.7109375" style="38" customWidth="1"/>
    <col min="14" max="14" width="16.140625" style="38" customWidth="1"/>
    <col min="15" max="15" width="34.42578125" style="27" customWidth="1"/>
    <col min="16" max="16384" width="9.140625" style="27"/>
  </cols>
  <sheetData>
    <row r="1" spans="1:20" s="2" customFormat="1" ht="36.75" customHeight="1" x14ac:dyDescent="0.5">
      <c r="A1" s="563" t="s">
        <v>581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1"/>
      <c r="Q1" s="1"/>
      <c r="R1" s="1"/>
      <c r="S1" s="1"/>
      <c r="T1" s="1"/>
    </row>
    <row r="2" spans="1:20" s="3" customFormat="1" ht="14.25" thickBot="1" x14ac:dyDescent="0.3">
      <c r="C2" s="4"/>
      <c r="M2" s="5">
        <f>SUBTOTAL(9,M4:M574)</f>
        <v>0</v>
      </c>
      <c r="N2" s="6">
        <f>SUBTOTAL(9,N4:N574)</f>
        <v>114240</v>
      </c>
    </row>
    <row r="3" spans="1:20" s="11" customFormat="1" ht="30.75" customHeight="1" thickBot="1" x14ac:dyDescent="0.35">
      <c r="A3" s="39" t="s">
        <v>87</v>
      </c>
      <c r="B3" s="40" t="s">
        <v>86</v>
      </c>
      <c r="C3" s="40" t="s">
        <v>0</v>
      </c>
      <c r="D3" s="41" t="s">
        <v>1</v>
      </c>
      <c r="E3" s="41" t="s">
        <v>2</v>
      </c>
      <c r="F3" s="41" t="s">
        <v>3</v>
      </c>
      <c r="G3" s="41" t="s">
        <v>4</v>
      </c>
      <c r="H3" s="41" t="s">
        <v>5</v>
      </c>
      <c r="I3" s="41" t="s">
        <v>6</v>
      </c>
      <c r="J3" s="40" t="s">
        <v>7</v>
      </c>
      <c r="K3" s="41" t="s">
        <v>8</v>
      </c>
      <c r="L3" s="41" t="s">
        <v>9</v>
      </c>
      <c r="M3" s="41" t="s">
        <v>10</v>
      </c>
      <c r="N3" s="113" t="s">
        <v>11</v>
      </c>
      <c r="O3" s="42" t="s">
        <v>12</v>
      </c>
    </row>
    <row r="4" spans="1:20" s="19" customFormat="1" ht="16.5" customHeight="1" x14ac:dyDescent="0.25">
      <c r="A4" s="73">
        <f t="shared" ref="A4:A24" si="0">ROW()-3</f>
        <v>1</v>
      </c>
      <c r="B4" s="74">
        <v>1</v>
      </c>
      <c r="C4" s="75">
        <v>46158</v>
      </c>
      <c r="D4" s="74" t="s">
        <v>85</v>
      </c>
      <c r="E4" s="74" t="s">
        <v>13</v>
      </c>
      <c r="F4" s="74" t="s">
        <v>14</v>
      </c>
      <c r="G4" s="74" t="s">
        <v>40</v>
      </c>
      <c r="H4" s="74" t="s">
        <v>41</v>
      </c>
      <c r="I4" s="74" t="s">
        <v>24</v>
      </c>
      <c r="J4" s="76" t="s">
        <v>37</v>
      </c>
      <c r="K4" s="77">
        <v>17800</v>
      </c>
      <c r="L4" s="77">
        <v>13930</v>
      </c>
      <c r="M4" s="77"/>
      <c r="N4" s="78">
        <v>3870</v>
      </c>
      <c r="O4" s="151"/>
    </row>
    <row r="5" spans="1:20" s="19" customFormat="1" ht="16.5" customHeight="1" x14ac:dyDescent="0.25">
      <c r="A5" s="12">
        <f t="shared" si="0"/>
        <v>2</v>
      </c>
      <c r="B5" s="13">
        <v>1</v>
      </c>
      <c r="C5" s="14">
        <v>46159</v>
      </c>
      <c r="D5" s="13" t="s">
        <v>85</v>
      </c>
      <c r="E5" s="13" t="s">
        <v>13</v>
      </c>
      <c r="F5" s="13" t="s">
        <v>14</v>
      </c>
      <c r="G5" s="13" t="s">
        <v>22</v>
      </c>
      <c r="H5" s="13" t="s">
        <v>23</v>
      </c>
      <c r="I5" s="13" t="s">
        <v>70</v>
      </c>
      <c r="J5" s="15" t="s">
        <v>187</v>
      </c>
      <c r="K5" s="16">
        <v>32670</v>
      </c>
      <c r="L5" s="16">
        <v>21390</v>
      </c>
      <c r="M5" s="16"/>
      <c r="N5" s="43">
        <v>11280</v>
      </c>
      <c r="O5" s="18"/>
    </row>
    <row r="6" spans="1:20" s="19" customFormat="1" ht="16.5" customHeight="1" x14ac:dyDescent="0.25">
      <c r="A6" s="20">
        <f t="shared" si="0"/>
        <v>3</v>
      </c>
      <c r="B6" s="13">
        <v>2</v>
      </c>
      <c r="C6" s="14">
        <v>46159</v>
      </c>
      <c r="D6" s="13" t="s">
        <v>85</v>
      </c>
      <c r="E6" s="13" t="s">
        <v>25</v>
      </c>
      <c r="F6" s="13" t="s">
        <v>14</v>
      </c>
      <c r="G6" s="13" t="s">
        <v>40</v>
      </c>
      <c r="H6" s="13" t="s">
        <v>41</v>
      </c>
      <c r="I6" s="13" t="s">
        <v>24</v>
      </c>
      <c r="J6" s="15" t="s">
        <v>54</v>
      </c>
      <c r="K6" s="16">
        <v>16860</v>
      </c>
      <c r="L6" s="16">
        <v>14100</v>
      </c>
      <c r="M6" s="16"/>
      <c r="N6" s="43">
        <v>2760</v>
      </c>
      <c r="O6" s="18" t="s">
        <v>336</v>
      </c>
    </row>
    <row r="7" spans="1:20" s="19" customFormat="1" ht="16.5" customHeight="1" x14ac:dyDescent="0.25">
      <c r="A7" s="20">
        <f t="shared" si="0"/>
        <v>4</v>
      </c>
      <c r="B7" s="13">
        <v>3</v>
      </c>
      <c r="C7" s="14">
        <v>46159</v>
      </c>
      <c r="D7" s="13" t="s">
        <v>85</v>
      </c>
      <c r="E7" s="13" t="s">
        <v>25</v>
      </c>
      <c r="F7" s="13" t="s">
        <v>14</v>
      </c>
      <c r="G7" s="13" t="s">
        <v>40</v>
      </c>
      <c r="H7" s="13" t="s">
        <v>41</v>
      </c>
      <c r="I7" s="13" t="s">
        <v>24</v>
      </c>
      <c r="J7" s="15" t="s">
        <v>54</v>
      </c>
      <c r="K7" s="16">
        <v>16780</v>
      </c>
      <c r="L7" s="16">
        <v>14090</v>
      </c>
      <c r="M7" s="16"/>
      <c r="N7" s="43">
        <v>2690</v>
      </c>
      <c r="O7" s="18" t="s">
        <v>337</v>
      </c>
    </row>
    <row r="8" spans="1:20" s="19" customFormat="1" ht="16.5" customHeight="1" x14ac:dyDescent="0.25">
      <c r="A8" s="20">
        <f t="shared" si="0"/>
        <v>5</v>
      </c>
      <c r="B8" s="13">
        <v>4</v>
      </c>
      <c r="C8" s="14">
        <v>46159</v>
      </c>
      <c r="D8" s="13" t="s">
        <v>85</v>
      </c>
      <c r="E8" s="13" t="s">
        <v>13</v>
      </c>
      <c r="F8" s="13" t="s">
        <v>18</v>
      </c>
      <c r="G8" s="13" t="s">
        <v>38</v>
      </c>
      <c r="H8" s="13" t="s">
        <v>39</v>
      </c>
      <c r="I8" s="13" t="s">
        <v>162</v>
      </c>
      <c r="J8" s="15" t="s">
        <v>187</v>
      </c>
      <c r="K8" s="16">
        <v>32120</v>
      </c>
      <c r="L8" s="16">
        <v>17930</v>
      </c>
      <c r="M8" s="16"/>
      <c r="N8" s="43">
        <v>14190</v>
      </c>
      <c r="O8" s="18"/>
    </row>
    <row r="9" spans="1:20" s="19" customFormat="1" ht="16.5" customHeight="1" x14ac:dyDescent="0.25">
      <c r="A9" s="29">
        <f t="shared" si="0"/>
        <v>6</v>
      </c>
      <c r="B9" s="31">
        <v>5</v>
      </c>
      <c r="C9" s="30">
        <v>46159</v>
      </c>
      <c r="D9" s="31" t="s">
        <v>85</v>
      </c>
      <c r="E9" s="31" t="s">
        <v>13</v>
      </c>
      <c r="F9" s="31" t="s">
        <v>18</v>
      </c>
      <c r="G9" s="31" t="s">
        <v>38</v>
      </c>
      <c r="H9" s="31" t="s">
        <v>39</v>
      </c>
      <c r="I9" s="31" t="s">
        <v>162</v>
      </c>
      <c r="J9" s="32" t="s">
        <v>187</v>
      </c>
      <c r="K9" s="33">
        <v>33670</v>
      </c>
      <c r="L9" s="33">
        <v>17910</v>
      </c>
      <c r="M9" s="33"/>
      <c r="N9" s="48">
        <v>15760</v>
      </c>
      <c r="O9" s="35"/>
    </row>
    <row r="10" spans="1:20" s="19" customFormat="1" ht="16.5" customHeight="1" x14ac:dyDescent="0.25">
      <c r="A10" s="12">
        <f t="shared" si="0"/>
        <v>7</v>
      </c>
      <c r="B10" s="13">
        <v>1</v>
      </c>
      <c r="C10" s="14">
        <v>46160</v>
      </c>
      <c r="D10" s="13" t="s">
        <v>85</v>
      </c>
      <c r="E10" s="13" t="s">
        <v>25</v>
      </c>
      <c r="F10" s="13" t="s">
        <v>14</v>
      </c>
      <c r="G10" s="13" t="s">
        <v>40</v>
      </c>
      <c r="H10" s="13" t="s">
        <v>41</v>
      </c>
      <c r="I10" s="13" t="s">
        <v>24</v>
      </c>
      <c r="J10" s="15" t="s">
        <v>57</v>
      </c>
      <c r="K10" s="16">
        <v>15680</v>
      </c>
      <c r="L10" s="16">
        <v>14690</v>
      </c>
      <c r="M10" s="16"/>
      <c r="N10" s="43">
        <f>K10-L10-M10</f>
        <v>990</v>
      </c>
      <c r="O10" s="18"/>
    </row>
    <row r="11" spans="1:20" s="19" customFormat="1" ht="16.5" customHeight="1" x14ac:dyDescent="0.25">
      <c r="A11" s="20">
        <f t="shared" si="0"/>
        <v>8</v>
      </c>
      <c r="B11" s="13">
        <v>2</v>
      </c>
      <c r="C11" s="14">
        <v>46160</v>
      </c>
      <c r="D11" s="13" t="s">
        <v>85</v>
      </c>
      <c r="E11" s="13" t="s">
        <v>13</v>
      </c>
      <c r="F11" s="13" t="s">
        <v>14</v>
      </c>
      <c r="G11" s="13" t="s">
        <v>40</v>
      </c>
      <c r="H11" s="13" t="s">
        <v>41</v>
      </c>
      <c r="I11" s="13" t="s">
        <v>24</v>
      </c>
      <c r="J11" s="15" t="s">
        <v>182</v>
      </c>
      <c r="K11" s="16">
        <v>19660</v>
      </c>
      <c r="L11" s="16">
        <v>15570</v>
      </c>
      <c r="M11" s="16"/>
      <c r="N11" s="43">
        <f t="shared" ref="N11:N22" si="1">K11-L11-M11</f>
        <v>4090</v>
      </c>
      <c r="O11" s="18" t="s">
        <v>359</v>
      </c>
    </row>
    <row r="12" spans="1:20" s="19" customFormat="1" ht="40.5" x14ac:dyDescent="0.25">
      <c r="A12" s="20">
        <f t="shared" si="0"/>
        <v>9</v>
      </c>
      <c r="B12" s="13">
        <v>3</v>
      </c>
      <c r="C12" s="14">
        <v>46160</v>
      </c>
      <c r="D12" s="13" t="s">
        <v>85</v>
      </c>
      <c r="E12" s="13" t="s">
        <v>13</v>
      </c>
      <c r="F12" s="13" t="s">
        <v>14</v>
      </c>
      <c r="G12" s="13" t="s">
        <v>40</v>
      </c>
      <c r="H12" s="13" t="s">
        <v>41</v>
      </c>
      <c r="I12" s="13" t="s">
        <v>24</v>
      </c>
      <c r="J12" s="15" t="s">
        <v>37</v>
      </c>
      <c r="K12" s="16"/>
      <c r="L12" s="16"/>
      <c r="M12" s="16"/>
      <c r="N12" s="43">
        <v>600</v>
      </c>
      <c r="O12" s="36" t="s">
        <v>374</v>
      </c>
    </row>
    <row r="13" spans="1:20" s="19" customFormat="1" ht="16.5" customHeight="1" x14ac:dyDescent="0.25">
      <c r="A13" s="20">
        <f t="shared" si="0"/>
        <v>10</v>
      </c>
      <c r="B13" s="13">
        <v>4</v>
      </c>
      <c r="C13" s="14">
        <v>46160</v>
      </c>
      <c r="D13" s="13" t="s">
        <v>85</v>
      </c>
      <c r="E13" s="13" t="s">
        <v>13</v>
      </c>
      <c r="F13" s="13" t="s">
        <v>18</v>
      </c>
      <c r="G13" s="13" t="s">
        <v>38</v>
      </c>
      <c r="H13" s="13" t="s">
        <v>39</v>
      </c>
      <c r="I13" s="13" t="s">
        <v>162</v>
      </c>
      <c r="J13" s="15" t="s">
        <v>33</v>
      </c>
      <c r="K13" s="16">
        <v>26800</v>
      </c>
      <c r="L13" s="16">
        <v>18080</v>
      </c>
      <c r="M13" s="16"/>
      <c r="N13" s="43">
        <f t="shared" si="1"/>
        <v>8720</v>
      </c>
      <c r="O13" s="18"/>
    </row>
    <row r="14" spans="1:20" s="19" customFormat="1" ht="16.5" customHeight="1" x14ac:dyDescent="0.25">
      <c r="A14" s="20">
        <f t="shared" si="0"/>
        <v>11</v>
      </c>
      <c r="B14" s="13">
        <v>5</v>
      </c>
      <c r="C14" s="14">
        <v>46160</v>
      </c>
      <c r="D14" s="13" t="s">
        <v>85</v>
      </c>
      <c r="E14" s="13" t="s">
        <v>13</v>
      </c>
      <c r="F14" s="13" t="s">
        <v>18</v>
      </c>
      <c r="G14" s="13" t="s">
        <v>101</v>
      </c>
      <c r="H14" s="13" t="s">
        <v>102</v>
      </c>
      <c r="I14" s="13" t="s">
        <v>103</v>
      </c>
      <c r="J14" s="15" t="s">
        <v>33</v>
      </c>
      <c r="K14" s="16">
        <v>25680</v>
      </c>
      <c r="L14" s="16">
        <v>18610</v>
      </c>
      <c r="M14" s="16"/>
      <c r="N14" s="43">
        <f t="shared" si="1"/>
        <v>7070</v>
      </c>
      <c r="O14" s="18"/>
    </row>
    <row r="15" spans="1:20" s="19" customFormat="1" ht="16.5" customHeight="1" x14ac:dyDescent="0.25">
      <c r="A15" s="20">
        <f t="shared" si="0"/>
        <v>12</v>
      </c>
      <c r="B15" s="13">
        <v>6</v>
      </c>
      <c r="C15" s="14">
        <v>46160</v>
      </c>
      <c r="D15" s="21" t="s">
        <v>85</v>
      </c>
      <c r="E15" s="21" t="s">
        <v>13</v>
      </c>
      <c r="F15" s="21" t="s">
        <v>18</v>
      </c>
      <c r="G15" s="21" t="s">
        <v>51</v>
      </c>
      <c r="H15" s="21" t="s">
        <v>52</v>
      </c>
      <c r="I15" s="21" t="s">
        <v>100</v>
      </c>
      <c r="J15" s="23" t="s">
        <v>20</v>
      </c>
      <c r="K15" s="24">
        <v>32380</v>
      </c>
      <c r="L15" s="24">
        <v>18840</v>
      </c>
      <c r="M15" s="24"/>
      <c r="N15" s="43">
        <f t="shared" si="1"/>
        <v>13540</v>
      </c>
      <c r="O15" s="26"/>
    </row>
    <row r="16" spans="1:20" s="19" customFormat="1" ht="16.5" customHeight="1" x14ac:dyDescent="0.25">
      <c r="A16" s="29">
        <f t="shared" si="0"/>
        <v>13</v>
      </c>
      <c r="B16" s="31">
        <v>7</v>
      </c>
      <c r="C16" s="30">
        <v>46160</v>
      </c>
      <c r="D16" s="31" t="s">
        <v>85</v>
      </c>
      <c r="E16" s="31" t="s">
        <v>13</v>
      </c>
      <c r="F16" s="31" t="s">
        <v>18</v>
      </c>
      <c r="G16" s="31" t="s">
        <v>35</v>
      </c>
      <c r="H16" s="31" t="s">
        <v>36</v>
      </c>
      <c r="I16" s="31" t="s">
        <v>108</v>
      </c>
      <c r="J16" s="32" t="s">
        <v>20</v>
      </c>
      <c r="K16" s="33">
        <v>31220</v>
      </c>
      <c r="L16" s="33">
        <v>18700</v>
      </c>
      <c r="M16" s="33"/>
      <c r="N16" s="48">
        <f t="shared" si="1"/>
        <v>12520</v>
      </c>
      <c r="O16" s="35"/>
    </row>
    <row r="17" spans="1:15" s="19" customFormat="1" ht="16.5" customHeight="1" x14ac:dyDescent="0.25">
      <c r="A17" s="12">
        <f t="shared" si="0"/>
        <v>14</v>
      </c>
      <c r="B17" s="51" t="s">
        <v>90</v>
      </c>
      <c r="C17" s="14">
        <v>46161</v>
      </c>
      <c r="D17" s="13" t="s">
        <v>85</v>
      </c>
      <c r="E17" s="13" t="s">
        <v>13</v>
      </c>
      <c r="F17" s="13" t="s">
        <v>14</v>
      </c>
      <c r="G17" s="13" t="s">
        <v>40</v>
      </c>
      <c r="H17" s="13" t="s">
        <v>41</v>
      </c>
      <c r="I17" s="13" t="s">
        <v>24</v>
      </c>
      <c r="J17" s="15" t="s">
        <v>33</v>
      </c>
      <c r="K17" s="16">
        <v>21170</v>
      </c>
      <c r="L17" s="16">
        <v>14560</v>
      </c>
      <c r="M17" s="16"/>
      <c r="N17" s="43">
        <v>3390</v>
      </c>
      <c r="O17" s="18" t="s">
        <v>375</v>
      </c>
    </row>
    <row r="18" spans="1:15" s="19" customFormat="1" ht="16.5" customHeight="1" x14ac:dyDescent="0.25">
      <c r="A18" s="29">
        <f t="shared" si="0"/>
        <v>15</v>
      </c>
      <c r="B18" s="79" t="s">
        <v>93</v>
      </c>
      <c r="C18" s="30">
        <v>46161</v>
      </c>
      <c r="D18" s="31" t="s">
        <v>85</v>
      </c>
      <c r="E18" s="31" t="s">
        <v>13</v>
      </c>
      <c r="F18" s="31" t="s">
        <v>14</v>
      </c>
      <c r="G18" s="31" t="s">
        <v>40</v>
      </c>
      <c r="H18" s="31" t="s">
        <v>41</v>
      </c>
      <c r="I18" s="31" t="s">
        <v>24</v>
      </c>
      <c r="J18" s="32" t="s">
        <v>182</v>
      </c>
      <c r="K18" s="33"/>
      <c r="L18" s="33"/>
      <c r="M18" s="33"/>
      <c r="N18" s="48">
        <v>3220</v>
      </c>
      <c r="O18" s="35" t="s">
        <v>373</v>
      </c>
    </row>
    <row r="19" spans="1:15" s="19" customFormat="1" ht="16.5" customHeight="1" x14ac:dyDescent="0.25">
      <c r="A19" s="73">
        <f t="shared" si="0"/>
        <v>16</v>
      </c>
      <c r="B19" s="74">
        <v>1</v>
      </c>
      <c r="C19" s="75">
        <v>46162</v>
      </c>
      <c r="D19" s="74" t="s">
        <v>85</v>
      </c>
      <c r="E19" s="74" t="s">
        <v>13</v>
      </c>
      <c r="F19" s="74" t="s">
        <v>14</v>
      </c>
      <c r="G19" s="74" t="s">
        <v>40</v>
      </c>
      <c r="H19" s="74" t="s">
        <v>41</v>
      </c>
      <c r="I19" s="74" t="s">
        <v>24</v>
      </c>
      <c r="J19" s="76" t="s">
        <v>387</v>
      </c>
      <c r="K19" s="77">
        <v>20150</v>
      </c>
      <c r="L19" s="77">
        <v>14090</v>
      </c>
      <c r="M19" s="77"/>
      <c r="N19" s="78">
        <f t="shared" si="1"/>
        <v>6060</v>
      </c>
      <c r="O19" s="151" t="s">
        <v>386</v>
      </c>
    </row>
    <row r="20" spans="1:15" s="19" customFormat="1" ht="16.5" customHeight="1" x14ac:dyDescent="0.25">
      <c r="A20" s="73">
        <f t="shared" si="0"/>
        <v>17</v>
      </c>
      <c r="B20" s="74">
        <v>1</v>
      </c>
      <c r="C20" s="75">
        <v>46168</v>
      </c>
      <c r="D20" s="74" t="s">
        <v>85</v>
      </c>
      <c r="E20" s="74" t="s">
        <v>25</v>
      </c>
      <c r="F20" s="74" t="s">
        <v>14</v>
      </c>
      <c r="G20" s="74" t="s">
        <v>15</v>
      </c>
      <c r="H20" s="74" t="s">
        <v>41</v>
      </c>
      <c r="I20" s="74" t="s">
        <v>24</v>
      </c>
      <c r="J20" s="76" t="s">
        <v>43</v>
      </c>
      <c r="K20" s="77">
        <v>15080</v>
      </c>
      <c r="L20" s="77">
        <v>13600</v>
      </c>
      <c r="M20" s="77"/>
      <c r="N20" s="78">
        <f t="shared" si="1"/>
        <v>1480</v>
      </c>
      <c r="O20" s="151" t="s">
        <v>414</v>
      </c>
    </row>
    <row r="21" spans="1:15" s="19" customFormat="1" ht="16.5" customHeight="1" x14ac:dyDescent="0.25">
      <c r="A21" s="73">
        <f t="shared" si="0"/>
        <v>18</v>
      </c>
      <c r="B21" s="74">
        <v>1</v>
      </c>
      <c r="C21" s="75">
        <v>46181</v>
      </c>
      <c r="D21" s="74" t="s">
        <v>85</v>
      </c>
      <c r="E21" s="74" t="s">
        <v>225</v>
      </c>
      <c r="F21" s="74" t="s">
        <v>14</v>
      </c>
      <c r="G21" s="74" t="s">
        <v>40</v>
      </c>
      <c r="H21" s="74" t="s">
        <v>41</v>
      </c>
      <c r="I21" s="74" t="s">
        <v>24</v>
      </c>
      <c r="J21" s="76" t="s">
        <v>554</v>
      </c>
      <c r="K21" s="77">
        <v>15750</v>
      </c>
      <c r="L21" s="77">
        <v>14100</v>
      </c>
      <c r="M21" s="77"/>
      <c r="N21" s="78">
        <f t="shared" si="1"/>
        <v>1650</v>
      </c>
      <c r="O21" s="151" t="s">
        <v>555</v>
      </c>
    </row>
    <row r="22" spans="1:15" s="19" customFormat="1" ht="16.5" customHeight="1" x14ac:dyDescent="0.25">
      <c r="A22" s="12">
        <f t="shared" si="0"/>
        <v>19</v>
      </c>
      <c r="B22" s="13">
        <v>1</v>
      </c>
      <c r="C22" s="14">
        <v>46184</v>
      </c>
      <c r="D22" s="13" t="s">
        <v>85</v>
      </c>
      <c r="E22" s="13" t="s">
        <v>225</v>
      </c>
      <c r="F22" s="13" t="s">
        <v>14</v>
      </c>
      <c r="G22" s="13" t="s">
        <v>40</v>
      </c>
      <c r="H22" s="13" t="s">
        <v>41</v>
      </c>
      <c r="I22" s="13" t="s">
        <v>24</v>
      </c>
      <c r="J22" s="15" t="s">
        <v>257</v>
      </c>
      <c r="K22" s="16">
        <v>17870</v>
      </c>
      <c r="L22" s="16">
        <v>17510</v>
      </c>
      <c r="M22" s="16"/>
      <c r="N22" s="43">
        <f t="shared" si="1"/>
        <v>360</v>
      </c>
      <c r="O22" s="18" t="s">
        <v>562</v>
      </c>
    </row>
    <row r="23" spans="1:15" s="19" customFormat="1" ht="16.5" customHeight="1" x14ac:dyDescent="0.25">
      <c r="A23" s="20">
        <f t="shared" si="0"/>
        <v>20</v>
      </c>
      <c r="B23" s="21"/>
      <c r="C23" s="22"/>
      <c r="D23" s="21"/>
      <c r="E23" s="21"/>
      <c r="F23" s="21"/>
      <c r="G23" s="21"/>
      <c r="H23" s="21"/>
      <c r="I23" s="21"/>
      <c r="J23" s="23"/>
      <c r="K23" s="24"/>
      <c r="L23" s="24"/>
      <c r="M23" s="24"/>
      <c r="N23" s="45">
        <f t="shared" ref="N23:N24" si="2">K23-L23-M23</f>
        <v>0</v>
      </c>
      <c r="O23" s="26"/>
    </row>
    <row r="24" spans="1:15" s="19" customFormat="1" ht="16.5" customHeight="1" x14ac:dyDescent="0.25">
      <c r="A24" s="29">
        <f t="shared" si="0"/>
        <v>21</v>
      </c>
      <c r="B24" s="31"/>
      <c r="C24" s="30"/>
      <c r="D24" s="31"/>
      <c r="E24" s="31"/>
      <c r="F24" s="31"/>
      <c r="G24" s="31"/>
      <c r="H24" s="31"/>
      <c r="I24" s="31"/>
      <c r="J24" s="32"/>
      <c r="K24" s="33"/>
      <c r="L24" s="33"/>
      <c r="M24" s="33"/>
      <c r="N24" s="48">
        <f t="shared" si="2"/>
        <v>0</v>
      </c>
      <c r="O24" s="35"/>
    </row>
    <row r="25" spans="1:15" ht="16.5" customHeight="1" x14ac:dyDescent="0.25">
      <c r="C25" s="50"/>
    </row>
    <row r="26" spans="1:15" ht="16.5" customHeight="1" x14ac:dyDescent="0.25">
      <c r="C26" s="450" t="s">
        <v>594</v>
      </c>
    </row>
    <row r="28" spans="1:15" ht="21.6" customHeight="1" x14ac:dyDescent="0.25">
      <c r="C28" s="447" t="s">
        <v>7</v>
      </c>
      <c r="D28" s="448" t="s">
        <v>592</v>
      </c>
      <c r="E28"/>
      <c r="F28" s="477" t="s">
        <v>605</v>
      </c>
      <c r="G28" s="478" t="s">
        <v>606</v>
      </c>
      <c r="H28" s="479" t="s">
        <v>604</v>
      </c>
    </row>
    <row r="29" spans="1:15" ht="16.5" customHeight="1" x14ac:dyDescent="0.25">
      <c r="C29" s="456" t="s">
        <v>43</v>
      </c>
      <c r="D29" s="457">
        <v>1840</v>
      </c>
      <c r="E29"/>
      <c r="F29" s="470" t="s">
        <v>257</v>
      </c>
      <c r="G29" s="471">
        <f>SUM(D29:D36)</f>
        <v>107800</v>
      </c>
      <c r="H29" s="472">
        <f>G29/GETPIVOTDATA("입고량(kg)",$C$28)</f>
        <v>0.94362745098039214</v>
      </c>
    </row>
    <row r="30" spans="1:15" ht="16.5" customHeight="1" x14ac:dyDescent="0.25">
      <c r="C30" s="456" t="s">
        <v>37</v>
      </c>
      <c r="D30" s="457">
        <v>4470</v>
      </c>
      <c r="E30"/>
      <c r="F30" s="474" t="s">
        <v>227</v>
      </c>
      <c r="G30" s="475">
        <f>SUM(D37:D38)</f>
        <v>6440</v>
      </c>
      <c r="H30" s="476">
        <f>G30/GETPIVOTDATA("입고량(kg)",$C$28)</f>
        <v>5.6372549019607844E-2</v>
      </c>
    </row>
    <row r="31" spans="1:15" ht="16.5" customHeight="1" x14ac:dyDescent="0.25">
      <c r="C31" s="456" t="s">
        <v>33</v>
      </c>
      <c r="D31" s="457">
        <v>19180</v>
      </c>
      <c r="E31"/>
      <c r="F31" s="480" t="s">
        <v>621</v>
      </c>
      <c r="G31" s="481">
        <f>SUM(G29:G30)</f>
        <v>114240</v>
      </c>
      <c r="H31" s="482">
        <f>SUM(H29:H30)</f>
        <v>1</v>
      </c>
    </row>
    <row r="32" spans="1:15" ht="16.5" customHeight="1" x14ac:dyDescent="0.25">
      <c r="C32" s="456" t="s">
        <v>187</v>
      </c>
      <c r="D32" s="457">
        <v>41230</v>
      </c>
      <c r="E32"/>
    </row>
    <row r="33" spans="3:5" ht="16.5" customHeight="1" x14ac:dyDescent="0.25">
      <c r="C33" s="456" t="s">
        <v>590</v>
      </c>
      <c r="D33" s="457">
        <v>6060</v>
      </c>
      <c r="E33"/>
    </row>
    <row r="34" spans="3:5" ht="16.5" customHeight="1" x14ac:dyDescent="0.25">
      <c r="C34" s="456" t="s">
        <v>20</v>
      </c>
      <c r="D34" s="457">
        <v>26060</v>
      </c>
      <c r="E34"/>
    </row>
    <row r="35" spans="3:5" ht="16.5" customHeight="1" x14ac:dyDescent="0.25">
      <c r="C35" s="456" t="s">
        <v>182</v>
      </c>
      <c r="D35" s="457">
        <v>7310</v>
      </c>
      <c r="E35"/>
    </row>
    <row r="36" spans="3:5" ht="16.5" customHeight="1" x14ac:dyDescent="0.25">
      <c r="C36" s="458" t="s">
        <v>591</v>
      </c>
      <c r="D36" s="459">
        <v>1650</v>
      </c>
      <c r="E36"/>
    </row>
    <row r="37" spans="3:5" ht="16.5" customHeight="1" x14ac:dyDescent="0.25">
      <c r="C37" s="446" t="s">
        <v>57</v>
      </c>
      <c r="D37" s="449">
        <v>990</v>
      </c>
      <c r="E37"/>
    </row>
    <row r="38" spans="3:5" ht="16.5" customHeight="1" x14ac:dyDescent="0.25">
      <c r="C38" s="446" t="s">
        <v>54</v>
      </c>
      <c r="D38" s="449">
        <v>5450</v>
      </c>
      <c r="E38"/>
    </row>
    <row r="39" spans="3:5" ht="16.5" customHeight="1" x14ac:dyDescent="0.25">
      <c r="C39" s="453" t="s">
        <v>588</v>
      </c>
      <c r="D39" s="454">
        <v>114240</v>
      </c>
      <c r="E39"/>
    </row>
    <row r="40" spans="3:5" ht="16.5" customHeight="1" x14ac:dyDescent="0.25">
      <c r="C40"/>
      <c r="D40"/>
      <c r="E40"/>
    </row>
    <row r="41" spans="3:5" ht="16.5" customHeight="1" x14ac:dyDescent="0.25">
      <c r="C41"/>
      <c r="D41"/>
      <c r="E41"/>
    </row>
    <row r="42" spans="3:5" ht="16.5" customHeight="1" x14ac:dyDescent="0.25">
      <c r="C42"/>
      <c r="D42"/>
      <c r="E42"/>
    </row>
    <row r="43" spans="3:5" ht="16.5" customHeight="1" x14ac:dyDescent="0.25">
      <c r="C43"/>
      <c r="D43"/>
      <c r="E43"/>
    </row>
    <row r="44" spans="3:5" ht="16.5" customHeight="1" x14ac:dyDescent="0.25">
      <c r="C44"/>
      <c r="D44"/>
      <c r="E44"/>
    </row>
    <row r="45" spans="3:5" ht="16.5" customHeight="1" x14ac:dyDescent="0.25">
      <c r="C45"/>
      <c r="D45"/>
      <c r="E45"/>
    </row>
    <row r="46" spans="3:5" ht="16.5" customHeight="1" x14ac:dyDescent="0.25">
      <c r="C46"/>
      <c r="D46"/>
      <c r="E46"/>
    </row>
    <row r="47" spans="3:5" ht="21.6" customHeight="1" x14ac:dyDescent="0.25">
      <c r="C47"/>
      <c r="D47"/>
      <c r="E47"/>
    </row>
  </sheetData>
  <autoFilter ref="A3:O24" xr:uid="{00000000-0001-0000-0000-000000000000}"/>
  <mergeCells count="1">
    <mergeCell ref="A1:O1"/>
  </mergeCells>
  <phoneticPr fontId="5" type="noConversion"/>
  <conditionalFormatting sqref="H29:H31">
    <cfRule type="dataBar" priority="1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{C1E6C55E-2A32-4A84-9BD0-3B34BD56CDFB}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E6C55E-2A32-4A84-9BD0-3B34BD56CD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H29:H31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1767-22A1-43F0-9902-541C70DB4EAB}">
  <sheetPr>
    <tabColor theme="0" tint="-0.34998626667073579"/>
  </sheetPr>
  <dimension ref="A1:T158"/>
  <sheetViews>
    <sheetView zoomScale="90" zoomScaleNormal="90" workbookViewId="0">
      <pane ySplit="3" topLeftCell="A113" activePane="bottomLeft" state="frozen"/>
      <selection activeCell="F27" sqref="F27"/>
      <selection pane="bottomLeft" activeCell="F117" sqref="F117:H121"/>
    </sheetView>
  </sheetViews>
  <sheetFormatPr defaultColWidth="9.140625" defaultRowHeight="16.5" customHeight="1" x14ac:dyDescent="0.25"/>
  <cols>
    <col min="1" max="2" width="6.42578125" style="19" customWidth="1"/>
    <col min="3" max="3" width="16.7109375" style="70" customWidth="1"/>
    <col min="4" max="4" width="11.85546875" style="19" bestFit="1" customWidth="1"/>
    <col min="5" max="9" width="16.7109375" style="19" customWidth="1"/>
    <col min="10" max="10" width="22.85546875" style="19" customWidth="1"/>
    <col min="11" max="13" width="16.7109375" style="71" customWidth="1"/>
    <col min="14" max="14" width="16.140625" style="72" customWidth="1"/>
    <col min="15" max="15" width="28.7109375" style="27" customWidth="1"/>
    <col min="16" max="16384" width="9.140625" style="19"/>
  </cols>
  <sheetData>
    <row r="1" spans="1:20" s="56" customFormat="1" ht="36.75" customHeight="1" x14ac:dyDescent="0.5">
      <c r="A1" s="563" t="s">
        <v>446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5"/>
      <c r="Q1" s="55"/>
      <c r="R1" s="55"/>
      <c r="S1" s="55"/>
      <c r="T1" s="55"/>
    </row>
    <row r="2" spans="1:20" s="57" customFormat="1" ht="14.25" thickBot="1" x14ac:dyDescent="0.3">
      <c r="C2" s="58"/>
      <c r="M2" s="59">
        <f>SUBTOTAL(9,M4:M569)</f>
        <v>12129</v>
      </c>
      <c r="N2" s="60">
        <f>SUBTOTAL(9,N4:N569)</f>
        <v>1667471</v>
      </c>
      <c r="O2" s="61" t="s">
        <v>194</v>
      </c>
    </row>
    <row r="3" spans="1:20" s="62" customFormat="1" ht="30.75" customHeight="1" thickBot="1" x14ac:dyDescent="0.35">
      <c r="A3" s="39" t="s">
        <v>87</v>
      </c>
      <c r="B3" s="40" t="s">
        <v>86</v>
      </c>
      <c r="C3" s="40" t="s">
        <v>0</v>
      </c>
      <c r="D3" s="41" t="s">
        <v>1</v>
      </c>
      <c r="E3" s="41" t="s">
        <v>2</v>
      </c>
      <c r="F3" s="41" t="s">
        <v>3</v>
      </c>
      <c r="G3" s="41" t="s">
        <v>4</v>
      </c>
      <c r="H3" s="41" t="s">
        <v>5</v>
      </c>
      <c r="I3" s="41" t="s">
        <v>6</v>
      </c>
      <c r="J3" s="40" t="s">
        <v>7</v>
      </c>
      <c r="K3" s="41" t="s">
        <v>8</v>
      </c>
      <c r="L3" s="41" t="s">
        <v>9</v>
      </c>
      <c r="M3" s="41" t="s">
        <v>95</v>
      </c>
      <c r="N3" s="113" t="s">
        <v>11</v>
      </c>
      <c r="O3" s="42" t="s">
        <v>12</v>
      </c>
    </row>
    <row r="4" spans="1:20" ht="27" x14ac:dyDescent="0.25">
      <c r="A4" s="12">
        <f t="shared" ref="A4:A113" si="0">ROW()-3</f>
        <v>1</v>
      </c>
      <c r="B4" s="183">
        <v>1</v>
      </c>
      <c r="C4" s="184">
        <v>46146</v>
      </c>
      <c r="D4" s="185" t="s">
        <v>34</v>
      </c>
      <c r="E4" s="185" t="s">
        <v>163</v>
      </c>
      <c r="F4" s="185" t="s">
        <v>14</v>
      </c>
      <c r="G4" s="185" t="s">
        <v>40</v>
      </c>
      <c r="H4" s="185" t="s">
        <v>41</v>
      </c>
      <c r="I4" s="185" t="s">
        <v>24</v>
      </c>
      <c r="J4" s="185" t="s">
        <v>274</v>
      </c>
      <c r="K4" s="186">
        <v>17920</v>
      </c>
      <c r="L4" s="186">
        <v>14120</v>
      </c>
      <c r="M4" s="186"/>
      <c r="N4" s="187">
        <v>3800</v>
      </c>
      <c r="O4" s="231" t="s">
        <v>268</v>
      </c>
    </row>
    <row r="5" spans="1:20" ht="16.5" customHeight="1" x14ac:dyDescent="0.25">
      <c r="A5" s="20">
        <f t="shared" si="0"/>
        <v>2</v>
      </c>
      <c r="B5" s="171" t="s">
        <v>92</v>
      </c>
      <c r="C5" s="172">
        <v>46146</v>
      </c>
      <c r="D5" s="146" t="s">
        <v>34</v>
      </c>
      <c r="E5" s="146" t="s">
        <v>25</v>
      </c>
      <c r="F5" s="146" t="s">
        <v>44</v>
      </c>
      <c r="G5" s="146" t="s">
        <v>264</v>
      </c>
      <c r="H5" s="146"/>
      <c r="I5" s="146"/>
      <c r="J5" s="146" t="s">
        <v>265</v>
      </c>
      <c r="K5" s="149">
        <v>16250</v>
      </c>
      <c r="L5" s="149">
        <v>15120</v>
      </c>
      <c r="M5" s="149"/>
      <c r="N5" s="173">
        <v>1130</v>
      </c>
      <c r="O5" s="265" t="s">
        <v>266</v>
      </c>
    </row>
    <row r="6" spans="1:20" ht="16.5" customHeight="1" x14ac:dyDescent="0.25">
      <c r="A6" s="20">
        <f t="shared" si="0"/>
        <v>3</v>
      </c>
      <c r="B6" s="171" t="s">
        <v>269</v>
      </c>
      <c r="C6" s="172">
        <v>46146</v>
      </c>
      <c r="D6" s="146" t="s">
        <v>34</v>
      </c>
      <c r="E6" s="146" t="s">
        <v>25</v>
      </c>
      <c r="F6" s="146" t="s">
        <v>44</v>
      </c>
      <c r="G6" s="146" t="s">
        <v>264</v>
      </c>
      <c r="H6" s="146"/>
      <c r="I6" s="146"/>
      <c r="J6" s="146" t="s">
        <v>31</v>
      </c>
      <c r="K6" s="149">
        <v>12340</v>
      </c>
      <c r="L6" s="149">
        <v>11610</v>
      </c>
      <c r="M6" s="149">
        <v>500</v>
      </c>
      <c r="N6" s="173">
        <v>230</v>
      </c>
      <c r="O6" s="174" t="s">
        <v>267</v>
      </c>
    </row>
    <row r="7" spans="1:20" ht="16.5" customHeight="1" x14ac:dyDescent="0.25">
      <c r="A7" s="29">
        <f t="shared" si="0"/>
        <v>4</v>
      </c>
      <c r="B7" s="79" t="s">
        <v>270</v>
      </c>
      <c r="C7" s="66">
        <v>46146</v>
      </c>
      <c r="D7" s="31" t="s">
        <v>34</v>
      </c>
      <c r="E7" s="31" t="s">
        <v>25</v>
      </c>
      <c r="F7" s="31" t="s">
        <v>44</v>
      </c>
      <c r="G7" s="31" t="s">
        <v>264</v>
      </c>
      <c r="H7" s="31"/>
      <c r="I7" s="31"/>
      <c r="J7" s="31" t="s">
        <v>57</v>
      </c>
      <c r="K7" s="33">
        <v>15130</v>
      </c>
      <c r="L7" s="33">
        <v>8720</v>
      </c>
      <c r="M7" s="33">
        <v>500</v>
      </c>
      <c r="N7" s="67">
        <v>5680</v>
      </c>
      <c r="O7" s="68" t="s">
        <v>272</v>
      </c>
    </row>
    <row r="8" spans="1:20" ht="16.5" customHeight="1" x14ac:dyDescent="0.25">
      <c r="A8" s="73">
        <f t="shared" si="0"/>
        <v>5</v>
      </c>
      <c r="B8" s="233">
        <v>1</v>
      </c>
      <c r="C8" s="234">
        <v>46147</v>
      </c>
      <c r="D8" s="74" t="s">
        <v>34</v>
      </c>
      <c r="E8" s="74" t="s">
        <v>13</v>
      </c>
      <c r="F8" s="74" t="s">
        <v>14</v>
      </c>
      <c r="G8" s="74" t="s">
        <v>40</v>
      </c>
      <c r="H8" s="74" t="s">
        <v>41</v>
      </c>
      <c r="I8" s="74" t="s">
        <v>24</v>
      </c>
      <c r="J8" s="74" t="s">
        <v>37</v>
      </c>
      <c r="K8" s="77">
        <v>17620</v>
      </c>
      <c r="L8" s="77">
        <v>14220</v>
      </c>
      <c r="M8" s="77"/>
      <c r="N8" s="235">
        <v>3400</v>
      </c>
      <c r="O8" s="236" t="s">
        <v>273</v>
      </c>
    </row>
    <row r="9" spans="1:20" ht="16.5" customHeight="1" x14ac:dyDescent="0.25">
      <c r="A9" s="258">
        <f t="shared" si="0"/>
        <v>6</v>
      </c>
      <c r="B9" s="259">
        <v>1</v>
      </c>
      <c r="C9" s="260">
        <v>46148</v>
      </c>
      <c r="D9" s="261" t="s">
        <v>34</v>
      </c>
      <c r="E9" s="261" t="s">
        <v>25</v>
      </c>
      <c r="F9" s="261" t="s">
        <v>44</v>
      </c>
      <c r="G9" s="261" t="s">
        <v>275</v>
      </c>
      <c r="H9" s="261"/>
      <c r="I9" s="261"/>
      <c r="J9" s="261" t="s">
        <v>78</v>
      </c>
      <c r="K9" s="262">
        <v>36330</v>
      </c>
      <c r="L9" s="262">
        <v>15890</v>
      </c>
      <c r="M9" s="262"/>
      <c r="N9" s="263">
        <v>20440</v>
      </c>
      <c r="O9" s="264" t="s">
        <v>276</v>
      </c>
    </row>
    <row r="10" spans="1:20" ht="16.5" customHeight="1" x14ac:dyDescent="0.25">
      <c r="A10" s="20">
        <f t="shared" si="0"/>
        <v>7</v>
      </c>
      <c r="B10" s="171">
        <v>2</v>
      </c>
      <c r="C10" s="172">
        <v>46148</v>
      </c>
      <c r="D10" s="146" t="s">
        <v>34</v>
      </c>
      <c r="E10" s="146" t="s">
        <v>25</v>
      </c>
      <c r="F10" s="146" t="s">
        <v>44</v>
      </c>
      <c r="G10" s="146" t="s">
        <v>277</v>
      </c>
      <c r="H10" s="146"/>
      <c r="I10" s="146"/>
      <c r="J10" s="146" t="s">
        <v>78</v>
      </c>
      <c r="K10" s="149">
        <v>26120</v>
      </c>
      <c r="L10" s="149">
        <v>15780</v>
      </c>
      <c r="M10" s="149"/>
      <c r="N10" s="173">
        <v>10340</v>
      </c>
      <c r="O10" s="174" t="s">
        <v>278</v>
      </c>
    </row>
    <row r="11" spans="1:20" ht="40.5" x14ac:dyDescent="0.25">
      <c r="A11" s="29">
        <f t="shared" si="0"/>
        <v>8</v>
      </c>
      <c r="B11" s="79">
        <v>3</v>
      </c>
      <c r="C11" s="204">
        <v>46148</v>
      </c>
      <c r="D11" s="31" t="s">
        <v>34</v>
      </c>
      <c r="E11" s="31" t="s">
        <v>25</v>
      </c>
      <c r="F11" s="31" t="s">
        <v>14</v>
      </c>
      <c r="G11" s="31" t="s">
        <v>15</v>
      </c>
      <c r="H11" s="31" t="s">
        <v>41</v>
      </c>
      <c r="I11" s="31" t="s">
        <v>24</v>
      </c>
      <c r="J11" s="31" t="s">
        <v>30</v>
      </c>
      <c r="K11" s="33">
        <v>17640</v>
      </c>
      <c r="L11" s="33">
        <v>13470</v>
      </c>
      <c r="M11" s="33"/>
      <c r="N11" s="67">
        <f>K11-L11</f>
        <v>4170</v>
      </c>
      <c r="O11" s="257" t="s">
        <v>292</v>
      </c>
    </row>
    <row r="12" spans="1:20" ht="27" x14ac:dyDescent="0.25">
      <c r="A12" s="12">
        <f t="shared" si="0"/>
        <v>9</v>
      </c>
      <c r="B12" s="183" t="s">
        <v>90</v>
      </c>
      <c r="C12" s="184">
        <v>46149</v>
      </c>
      <c r="D12" s="185" t="s">
        <v>34</v>
      </c>
      <c r="E12" s="185" t="s">
        <v>25</v>
      </c>
      <c r="F12" s="185" t="s">
        <v>44</v>
      </c>
      <c r="G12" s="185" t="s">
        <v>72</v>
      </c>
      <c r="H12" s="185" t="s">
        <v>73</v>
      </c>
      <c r="I12" s="185" t="s">
        <v>74</v>
      </c>
      <c r="J12" s="185" t="s">
        <v>57</v>
      </c>
      <c r="K12" s="186">
        <v>19470</v>
      </c>
      <c r="L12" s="186">
        <v>9240</v>
      </c>
      <c r="M12" s="186">
        <v>1000</v>
      </c>
      <c r="N12" s="187">
        <v>7400</v>
      </c>
      <c r="O12" s="231" t="s">
        <v>286</v>
      </c>
    </row>
    <row r="13" spans="1:20" ht="16.5" customHeight="1" x14ac:dyDescent="0.25">
      <c r="A13" s="29">
        <f t="shared" si="0"/>
        <v>10</v>
      </c>
      <c r="B13" s="79" t="s">
        <v>93</v>
      </c>
      <c r="C13" s="66">
        <v>46149</v>
      </c>
      <c r="D13" s="31" t="s">
        <v>34</v>
      </c>
      <c r="E13" s="31" t="s">
        <v>25</v>
      </c>
      <c r="F13" s="31" t="s">
        <v>44</v>
      </c>
      <c r="G13" s="31" t="s">
        <v>72</v>
      </c>
      <c r="H13" s="31" t="s">
        <v>73</v>
      </c>
      <c r="I13" s="31" t="s">
        <v>74</v>
      </c>
      <c r="J13" s="31" t="s">
        <v>32</v>
      </c>
      <c r="K13" s="33">
        <v>13890</v>
      </c>
      <c r="L13" s="33">
        <v>11560</v>
      </c>
      <c r="M13" s="33">
        <v>500</v>
      </c>
      <c r="N13" s="67">
        <v>1830</v>
      </c>
      <c r="O13" s="282" t="s">
        <v>287</v>
      </c>
    </row>
    <row r="14" spans="1:20" ht="16.5" customHeight="1" x14ac:dyDescent="0.25">
      <c r="A14" s="12">
        <f t="shared" si="0"/>
        <v>11</v>
      </c>
      <c r="B14" s="183" t="s">
        <v>90</v>
      </c>
      <c r="C14" s="184">
        <v>46151</v>
      </c>
      <c r="D14" s="185" t="s">
        <v>34</v>
      </c>
      <c r="E14" s="185" t="s">
        <v>25</v>
      </c>
      <c r="F14" s="185" t="s">
        <v>44</v>
      </c>
      <c r="G14" s="185" t="s">
        <v>313</v>
      </c>
      <c r="H14" s="185"/>
      <c r="I14" s="185"/>
      <c r="J14" s="185" t="s">
        <v>54</v>
      </c>
      <c r="K14" s="186">
        <v>17840</v>
      </c>
      <c r="L14" s="186">
        <v>9870</v>
      </c>
      <c r="M14" s="186"/>
      <c r="N14" s="187">
        <v>7090</v>
      </c>
      <c r="O14" s="281"/>
    </row>
    <row r="15" spans="1:20" ht="16.5" customHeight="1" x14ac:dyDescent="0.25">
      <c r="A15" s="20">
        <f t="shared" si="0"/>
        <v>12</v>
      </c>
      <c r="B15" s="171" t="s">
        <v>93</v>
      </c>
      <c r="C15" s="172">
        <v>46151</v>
      </c>
      <c r="D15" s="146" t="s">
        <v>34</v>
      </c>
      <c r="E15" s="146" t="s">
        <v>25</v>
      </c>
      <c r="F15" s="146" t="s">
        <v>44</v>
      </c>
      <c r="G15" s="146" t="s">
        <v>313</v>
      </c>
      <c r="H15" s="146"/>
      <c r="I15" s="146"/>
      <c r="J15" s="146" t="s">
        <v>82</v>
      </c>
      <c r="K15" s="149">
        <v>11850</v>
      </c>
      <c r="L15" s="149">
        <v>11550</v>
      </c>
      <c r="M15" s="149"/>
      <c r="N15" s="173">
        <v>300</v>
      </c>
      <c r="O15" s="265" t="s">
        <v>84</v>
      </c>
    </row>
    <row r="16" spans="1:20" ht="16.5" customHeight="1" x14ac:dyDescent="0.25">
      <c r="A16" s="20">
        <f t="shared" si="0"/>
        <v>13</v>
      </c>
      <c r="B16" s="171" t="s">
        <v>244</v>
      </c>
      <c r="C16" s="172">
        <v>46151</v>
      </c>
      <c r="D16" s="146" t="s">
        <v>34</v>
      </c>
      <c r="E16" s="146" t="s">
        <v>25</v>
      </c>
      <c r="F16" s="146" t="s">
        <v>44</v>
      </c>
      <c r="G16" s="146" t="s">
        <v>313</v>
      </c>
      <c r="H16" s="146"/>
      <c r="I16" s="146"/>
      <c r="J16" s="146" t="s">
        <v>61</v>
      </c>
      <c r="K16" s="149">
        <v>11730</v>
      </c>
      <c r="L16" s="149">
        <v>11550</v>
      </c>
      <c r="M16" s="149"/>
      <c r="N16" s="173">
        <v>180</v>
      </c>
      <c r="O16" s="265" t="s">
        <v>84</v>
      </c>
    </row>
    <row r="17" spans="1:15" ht="16.5" customHeight="1" x14ac:dyDescent="0.25">
      <c r="A17" s="29">
        <f t="shared" si="0"/>
        <v>14</v>
      </c>
      <c r="B17" s="79" t="s">
        <v>245</v>
      </c>
      <c r="C17" s="66">
        <v>46151</v>
      </c>
      <c r="D17" s="31" t="s">
        <v>34</v>
      </c>
      <c r="E17" s="31" t="s">
        <v>25</v>
      </c>
      <c r="F17" s="31" t="s">
        <v>44</v>
      </c>
      <c r="G17" s="31" t="s">
        <v>313</v>
      </c>
      <c r="H17" s="31"/>
      <c r="I17" s="31"/>
      <c r="J17" s="31" t="s">
        <v>32</v>
      </c>
      <c r="K17" s="33">
        <v>11950</v>
      </c>
      <c r="L17" s="33">
        <v>11550</v>
      </c>
      <c r="M17" s="33"/>
      <c r="N17" s="67">
        <v>400</v>
      </c>
      <c r="O17" s="282" t="s">
        <v>84</v>
      </c>
    </row>
    <row r="18" spans="1:15" ht="16.5" customHeight="1" x14ac:dyDescent="0.25">
      <c r="A18" s="12">
        <f t="shared" si="0"/>
        <v>15</v>
      </c>
      <c r="B18" s="183" t="s">
        <v>90</v>
      </c>
      <c r="C18" s="184">
        <v>46154</v>
      </c>
      <c r="D18" s="185" t="s">
        <v>34</v>
      </c>
      <c r="E18" s="185" t="s">
        <v>25</v>
      </c>
      <c r="F18" s="185" t="s">
        <v>44</v>
      </c>
      <c r="G18" s="185" t="s">
        <v>64</v>
      </c>
      <c r="H18" s="185" t="s">
        <v>65</v>
      </c>
      <c r="I18" s="185" t="s">
        <v>66</v>
      </c>
      <c r="J18" s="185" t="s">
        <v>57</v>
      </c>
      <c r="K18" s="186">
        <v>15480</v>
      </c>
      <c r="L18" s="186">
        <v>9520</v>
      </c>
      <c r="M18" s="186">
        <v>1500</v>
      </c>
      <c r="N18" s="187">
        <v>2020</v>
      </c>
      <c r="O18" s="281" t="s">
        <v>320</v>
      </c>
    </row>
    <row r="19" spans="1:15" ht="16.5" customHeight="1" x14ac:dyDescent="0.25">
      <c r="A19" s="20">
        <f t="shared" si="0"/>
        <v>16</v>
      </c>
      <c r="B19" s="171" t="s">
        <v>93</v>
      </c>
      <c r="C19" s="172">
        <v>46154</v>
      </c>
      <c r="D19" s="146" t="s">
        <v>34</v>
      </c>
      <c r="E19" s="146" t="s">
        <v>25</v>
      </c>
      <c r="F19" s="146" t="s">
        <v>44</v>
      </c>
      <c r="G19" s="146" t="s">
        <v>64</v>
      </c>
      <c r="H19" s="146" t="s">
        <v>65</v>
      </c>
      <c r="I19" s="146" t="s">
        <v>66</v>
      </c>
      <c r="J19" s="146" t="s">
        <v>32</v>
      </c>
      <c r="K19" s="149">
        <v>11730</v>
      </c>
      <c r="L19" s="149">
        <v>11520</v>
      </c>
      <c r="M19" s="149"/>
      <c r="N19" s="173">
        <f>K19-L19-M19</f>
        <v>210</v>
      </c>
      <c r="O19" s="265" t="s">
        <v>84</v>
      </c>
    </row>
    <row r="20" spans="1:15" ht="16.5" customHeight="1" x14ac:dyDescent="0.25">
      <c r="A20" s="20">
        <f t="shared" si="0"/>
        <v>17</v>
      </c>
      <c r="B20" s="171" t="s">
        <v>94</v>
      </c>
      <c r="C20" s="172">
        <v>46154</v>
      </c>
      <c r="D20" s="146" t="s">
        <v>34</v>
      </c>
      <c r="E20" s="146" t="s">
        <v>25</v>
      </c>
      <c r="F20" s="146" t="s">
        <v>44</v>
      </c>
      <c r="G20" s="146" t="s">
        <v>64</v>
      </c>
      <c r="H20" s="146" t="s">
        <v>65</v>
      </c>
      <c r="I20" s="146" t="s">
        <v>66</v>
      </c>
      <c r="J20" s="146" t="s">
        <v>166</v>
      </c>
      <c r="K20" s="149">
        <v>13480</v>
      </c>
      <c r="L20" s="149">
        <v>11520</v>
      </c>
      <c r="M20" s="149">
        <v>500</v>
      </c>
      <c r="N20" s="173">
        <f t="shared" ref="N20:N112" si="1">K20-L20-M20</f>
        <v>1460</v>
      </c>
      <c r="O20" s="265" t="s">
        <v>323</v>
      </c>
    </row>
    <row r="21" spans="1:15" ht="16.5" customHeight="1" x14ac:dyDescent="0.25">
      <c r="A21" s="29">
        <f t="shared" si="0"/>
        <v>18</v>
      </c>
      <c r="B21" s="79" t="s">
        <v>321</v>
      </c>
      <c r="C21" s="66">
        <v>46154</v>
      </c>
      <c r="D21" s="31" t="s">
        <v>34</v>
      </c>
      <c r="E21" s="31" t="s">
        <v>25</v>
      </c>
      <c r="F21" s="31" t="s">
        <v>44</v>
      </c>
      <c r="G21" s="31" t="s">
        <v>64</v>
      </c>
      <c r="H21" s="31" t="s">
        <v>65</v>
      </c>
      <c r="I21" s="31" t="s">
        <v>66</v>
      </c>
      <c r="J21" s="31" t="s">
        <v>166</v>
      </c>
      <c r="K21" s="33">
        <v>12790</v>
      </c>
      <c r="L21" s="33">
        <v>11520</v>
      </c>
      <c r="M21" s="33">
        <v>500</v>
      </c>
      <c r="N21" s="67">
        <f t="shared" si="1"/>
        <v>770</v>
      </c>
      <c r="O21" s="282" t="s">
        <v>323</v>
      </c>
    </row>
    <row r="22" spans="1:15" ht="16.5" customHeight="1" x14ac:dyDescent="0.25">
      <c r="A22" s="12">
        <f t="shared" si="0"/>
        <v>19</v>
      </c>
      <c r="B22" s="183">
        <v>1</v>
      </c>
      <c r="C22" s="184">
        <v>46155</v>
      </c>
      <c r="D22" s="185" t="s">
        <v>34</v>
      </c>
      <c r="E22" s="185" t="s">
        <v>13</v>
      </c>
      <c r="F22" s="185" t="s">
        <v>18</v>
      </c>
      <c r="G22" s="185" t="s">
        <v>324</v>
      </c>
      <c r="H22" s="185"/>
      <c r="I22" s="185"/>
      <c r="J22" s="185" t="s">
        <v>71</v>
      </c>
      <c r="K22" s="186">
        <v>42920</v>
      </c>
      <c r="L22" s="186">
        <v>18700</v>
      </c>
      <c r="M22" s="186"/>
      <c r="N22" s="187">
        <v>24220</v>
      </c>
      <c r="O22" s="281"/>
    </row>
    <row r="23" spans="1:15" ht="16.5" customHeight="1" x14ac:dyDescent="0.25">
      <c r="A23" s="20">
        <f t="shared" si="0"/>
        <v>20</v>
      </c>
      <c r="B23" s="171">
        <v>2</v>
      </c>
      <c r="C23" s="172">
        <v>46155</v>
      </c>
      <c r="D23" s="146" t="s">
        <v>34</v>
      </c>
      <c r="E23" s="146" t="s">
        <v>13</v>
      </c>
      <c r="F23" s="146" t="s">
        <v>18</v>
      </c>
      <c r="G23" s="146" t="s">
        <v>251</v>
      </c>
      <c r="H23" s="146"/>
      <c r="I23" s="146"/>
      <c r="J23" s="146" t="s">
        <v>71</v>
      </c>
      <c r="K23" s="149">
        <v>43200</v>
      </c>
      <c r="L23" s="149">
        <v>18520</v>
      </c>
      <c r="M23" s="149"/>
      <c r="N23" s="173">
        <v>24680</v>
      </c>
      <c r="O23" s="265"/>
    </row>
    <row r="24" spans="1:15" ht="16.5" customHeight="1" x14ac:dyDescent="0.25">
      <c r="A24" s="20">
        <f t="shared" si="0"/>
        <v>21</v>
      </c>
      <c r="B24" s="171" t="s">
        <v>88</v>
      </c>
      <c r="C24" s="172">
        <v>46155</v>
      </c>
      <c r="D24" s="146" t="s">
        <v>34</v>
      </c>
      <c r="E24" s="146" t="s">
        <v>25</v>
      </c>
      <c r="F24" s="146" t="s">
        <v>44</v>
      </c>
      <c r="G24" s="146" t="s">
        <v>79</v>
      </c>
      <c r="H24" s="146"/>
      <c r="I24" s="146"/>
      <c r="J24" s="146" t="s">
        <v>54</v>
      </c>
      <c r="K24" s="149">
        <v>12470</v>
      </c>
      <c r="L24" s="149">
        <v>8030</v>
      </c>
      <c r="M24" s="149">
        <v>1000</v>
      </c>
      <c r="N24" s="173">
        <v>2100</v>
      </c>
      <c r="O24" s="265" t="s">
        <v>325</v>
      </c>
    </row>
    <row r="25" spans="1:15" ht="16.5" customHeight="1" x14ac:dyDescent="0.25">
      <c r="A25" s="20">
        <f t="shared" si="0"/>
        <v>22</v>
      </c>
      <c r="B25" s="171" t="s">
        <v>89</v>
      </c>
      <c r="C25" s="172">
        <v>46155</v>
      </c>
      <c r="D25" s="146" t="s">
        <v>34</v>
      </c>
      <c r="E25" s="146" t="s">
        <v>25</v>
      </c>
      <c r="F25" s="146" t="s">
        <v>44</v>
      </c>
      <c r="G25" s="146" t="s">
        <v>79</v>
      </c>
      <c r="H25" s="146"/>
      <c r="I25" s="146"/>
      <c r="J25" s="146" t="s">
        <v>32</v>
      </c>
      <c r="K25" s="149">
        <v>13390</v>
      </c>
      <c r="L25" s="149">
        <v>11550</v>
      </c>
      <c r="M25" s="149">
        <v>500</v>
      </c>
      <c r="N25" s="173">
        <v>1340</v>
      </c>
      <c r="O25" s="265" t="s">
        <v>326</v>
      </c>
    </row>
    <row r="26" spans="1:15" ht="16.5" customHeight="1" x14ac:dyDescent="0.25">
      <c r="A26" s="20">
        <f t="shared" si="0"/>
        <v>23</v>
      </c>
      <c r="B26" s="171">
        <v>4</v>
      </c>
      <c r="C26" s="172">
        <v>46155</v>
      </c>
      <c r="D26" s="146" t="s">
        <v>34</v>
      </c>
      <c r="E26" s="146" t="s">
        <v>13</v>
      </c>
      <c r="F26" s="146" t="s">
        <v>18</v>
      </c>
      <c r="G26" s="146" t="s">
        <v>252</v>
      </c>
      <c r="H26" s="146"/>
      <c r="I26" s="146"/>
      <c r="J26" s="146" t="s">
        <v>71</v>
      </c>
      <c r="K26" s="149">
        <v>43960</v>
      </c>
      <c r="L26" s="149">
        <v>18140</v>
      </c>
      <c r="M26" s="149"/>
      <c r="N26" s="173">
        <v>25820</v>
      </c>
      <c r="O26" s="265"/>
    </row>
    <row r="27" spans="1:15" ht="16.5" customHeight="1" x14ac:dyDescent="0.25">
      <c r="A27" s="20">
        <f t="shared" si="0"/>
        <v>24</v>
      </c>
      <c r="B27" s="171">
        <v>5</v>
      </c>
      <c r="C27" s="172">
        <v>46155</v>
      </c>
      <c r="D27" s="146" t="s">
        <v>34</v>
      </c>
      <c r="E27" s="146" t="s">
        <v>13</v>
      </c>
      <c r="F27" s="146" t="s">
        <v>18</v>
      </c>
      <c r="G27" s="146" t="s">
        <v>249</v>
      </c>
      <c r="H27" s="146"/>
      <c r="I27" s="146"/>
      <c r="J27" s="146" t="s">
        <v>71</v>
      </c>
      <c r="K27" s="149">
        <v>43520</v>
      </c>
      <c r="L27" s="149">
        <v>18460</v>
      </c>
      <c r="M27" s="149"/>
      <c r="N27" s="173">
        <v>25060</v>
      </c>
      <c r="O27" s="265"/>
    </row>
    <row r="28" spans="1:15" ht="16.5" customHeight="1" x14ac:dyDescent="0.25">
      <c r="A28" s="20">
        <f t="shared" si="0"/>
        <v>25</v>
      </c>
      <c r="B28" s="171">
        <v>6</v>
      </c>
      <c r="C28" s="172">
        <v>46155</v>
      </c>
      <c r="D28" s="146" t="s">
        <v>34</v>
      </c>
      <c r="E28" s="146" t="s">
        <v>13</v>
      </c>
      <c r="F28" s="146" t="s">
        <v>18</v>
      </c>
      <c r="G28" s="146" t="s">
        <v>261</v>
      </c>
      <c r="H28" s="146"/>
      <c r="I28" s="146"/>
      <c r="J28" s="146" t="s">
        <v>71</v>
      </c>
      <c r="K28" s="149">
        <v>43200</v>
      </c>
      <c r="L28" s="149">
        <v>17940</v>
      </c>
      <c r="M28" s="149"/>
      <c r="N28" s="173">
        <v>25260</v>
      </c>
      <c r="O28" s="265"/>
    </row>
    <row r="29" spans="1:15" ht="16.5" customHeight="1" x14ac:dyDescent="0.25">
      <c r="A29" s="20">
        <f t="shared" si="0"/>
        <v>26</v>
      </c>
      <c r="B29" s="171">
        <v>7</v>
      </c>
      <c r="C29" s="172">
        <v>46155</v>
      </c>
      <c r="D29" s="146" t="s">
        <v>34</v>
      </c>
      <c r="E29" s="146" t="s">
        <v>13</v>
      </c>
      <c r="F29" s="146" t="s">
        <v>18</v>
      </c>
      <c r="G29" s="146" t="s">
        <v>159</v>
      </c>
      <c r="H29" s="146" t="s">
        <v>160</v>
      </c>
      <c r="I29" s="146" t="s">
        <v>161</v>
      </c>
      <c r="J29" s="146" t="s">
        <v>71</v>
      </c>
      <c r="K29" s="149">
        <v>42920</v>
      </c>
      <c r="L29" s="149">
        <v>18540</v>
      </c>
      <c r="M29" s="149"/>
      <c r="N29" s="173">
        <v>24380</v>
      </c>
      <c r="O29" s="265"/>
    </row>
    <row r="30" spans="1:15" ht="16.5" customHeight="1" x14ac:dyDescent="0.25">
      <c r="A30" s="20">
        <f t="shared" si="0"/>
        <v>27</v>
      </c>
      <c r="B30" s="171">
        <v>8</v>
      </c>
      <c r="C30" s="172">
        <v>46155</v>
      </c>
      <c r="D30" s="146" t="s">
        <v>34</v>
      </c>
      <c r="E30" s="146" t="s">
        <v>13</v>
      </c>
      <c r="F30" s="146" t="s">
        <v>18</v>
      </c>
      <c r="G30" s="146" t="s">
        <v>250</v>
      </c>
      <c r="H30" s="146"/>
      <c r="I30" s="146"/>
      <c r="J30" s="146" t="s">
        <v>71</v>
      </c>
      <c r="K30" s="149">
        <v>42760</v>
      </c>
      <c r="L30" s="149">
        <v>18300</v>
      </c>
      <c r="M30" s="149"/>
      <c r="N30" s="173">
        <v>24460</v>
      </c>
      <c r="O30" s="265"/>
    </row>
    <row r="31" spans="1:15" ht="16.5" customHeight="1" x14ac:dyDescent="0.25">
      <c r="A31" s="20">
        <f t="shared" si="0"/>
        <v>28</v>
      </c>
      <c r="B31" s="171">
        <v>9</v>
      </c>
      <c r="C31" s="172">
        <v>46155</v>
      </c>
      <c r="D31" s="146" t="s">
        <v>34</v>
      </c>
      <c r="E31" s="146" t="s">
        <v>13</v>
      </c>
      <c r="F31" s="146" t="s">
        <v>18</v>
      </c>
      <c r="G31" s="146" t="s">
        <v>324</v>
      </c>
      <c r="H31" s="146"/>
      <c r="I31" s="146"/>
      <c r="J31" s="146" t="s">
        <v>71</v>
      </c>
      <c r="K31" s="149">
        <v>42660</v>
      </c>
      <c r="L31" s="149">
        <v>18580</v>
      </c>
      <c r="M31" s="149"/>
      <c r="N31" s="173">
        <v>24080</v>
      </c>
      <c r="O31" s="265"/>
    </row>
    <row r="32" spans="1:15" ht="16.5" customHeight="1" x14ac:dyDescent="0.25">
      <c r="A32" s="20">
        <f t="shared" si="0"/>
        <v>29</v>
      </c>
      <c r="B32" s="171">
        <v>10</v>
      </c>
      <c r="C32" s="172">
        <v>46155</v>
      </c>
      <c r="D32" s="146" t="s">
        <v>34</v>
      </c>
      <c r="E32" s="146" t="s">
        <v>13</v>
      </c>
      <c r="F32" s="146" t="s">
        <v>18</v>
      </c>
      <c r="G32" s="146" t="s">
        <v>251</v>
      </c>
      <c r="H32" s="146"/>
      <c r="I32" s="146"/>
      <c r="J32" s="146" t="s">
        <v>71</v>
      </c>
      <c r="K32" s="149">
        <v>43320</v>
      </c>
      <c r="L32" s="149">
        <v>18360</v>
      </c>
      <c r="M32" s="149"/>
      <c r="N32" s="173">
        <v>24960</v>
      </c>
      <c r="O32" s="265"/>
    </row>
    <row r="33" spans="1:15" ht="16.5" customHeight="1" x14ac:dyDescent="0.25">
      <c r="A33" s="29">
        <f t="shared" si="0"/>
        <v>30</v>
      </c>
      <c r="B33" s="79">
        <v>11</v>
      </c>
      <c r="C33" s="66">
        <v>46155</v>
      </c>
      <c r="D33" s="31" t="s">
        <v>34</v>
      </c>
      <c r="E33" s="31" t="s">
        <v>13</v>
      </c>
      <c r="F33" s="31" t="s">
        <v>18</v>
      </c>
      <c r="G33" s="31" t="s">
        <v>260</v>
      </c>
      <c r="H33" s="31"/>
      <c r="I33" s="31"/>
      <c r="J33" s="31" t="s">
        <v>71</v>
      </c>
      <c r="K33" s="33">
        <v>42880</v>
      </c>
      <c r="L33" s="33">
        <v>18500</v>
      </c>
      <c r="M33" s="33"/>
      <c r="N33" s="67">
        <v>24380</v>
      </c>
      <c r="O33" s="282"/>
    </row>
    <row r="34" spans="1:15" ht="16.5" customHeight="1" x14ac:dyDescent="0.25">
      <c r="A34" s="12">
        <f t="shared" si="0"/>
        <v>31</v>
      </c>
      <c r="B34" s="183">
        <v>1</v>
      </c>
      <c r="C34" s="184">
        <v>46156</v>
      </c>
      <c r="D34" s="185" t="s">
        <v>34</v>
      </c>
      <c r="E34" s="185" t="s">
        <v>13</v>
      </c>
      <c r="F34" s="185" t="s">
        <v>18</v>
      </c>
      <c r="G34" s="185" t="s">
        <v>260</v>
      </c>
      <c r="H34" s="185"/>
      <c r="I34" s="185"/>
      <c r="J34" s="185" t="s">
        <v>71</v>
      </c>
      <c r="K34" s="186">
        <v>42800</v>
      </c>
      <c r="L34" s="186">
        <v>18500</v>
      </c>
      <c r="M34" s="186"/>
      <c r="N34" s="187">
        <f t="shared" si="1"/>
        <v>24300</v>
      </c>
      <c r="O34" s="281"/>
    </row>
    <row r="35" spans="1:15" ht="16.5" customHeight="1" x14ac:dyDescent="0.25">
      <c r="A35" s="20">
        <f t="shared" si="0"/>
        <v>32</v>
      </c>
      <c r="B35" s="171">
        <v>2</v>
      </c>
      <c r="C35" s="172">
        <v>46156</v>
      </c>
      <c r="D35" s="146" t="s">
        <v>34</v>
      </c>
      <c r="E35" s="146" t="s">
        <v>13</v>
      </c>
      <c r="F35" s="146" t="s">
        <v>18</v>
      </c>
      <c r="G35" s="146" t="s">
        <v>249</v>
      </c>
      <c r="H35" s="146"/>
      <c r="I35" s="146"/>
      <c r="J35" s="146" t="s">
        <v>71</v>
      </c>
      <c r="K35" s="149">
        <v>43060</v>
      </c>
      <c r="L35" s="149">
        <v>18500</v>
      </c>
      <c r="M35" s="149"/>
      <c r="N35" s="173">
        <f t="shared" si="1"/>
        <v>24560</v>
      </c>
      <c r="O35" s="265"/>
    </row>
    <row r="36" spans="1:15" ht="16.5" customHeight="1" x14ac:dyDescent="0.25">
      <c r="A36" s="20">
        <f t="shared" si="0"/>
        <v>33</v>
      </c>
      <c r="B36" s="171">
        <v>3</v>
      </c>
      <c r="C36" s="172">
        <v>46156</v>
      </c>
      <c r="D36" s="146" t="s">
        <v>34</v>
      </c>
      <c r="E36" s="146" t="s">
        <v>13</v>
      </c>
      <c r="F36" s="146" t="s">
        <v>18</v>
      </c>
      <c r="G36" s="146" t="s">
        <v>251</v>
      </c>
      <c r="H36" s="146"/>
      <c r="I36" s="146"/>
      <c r="J36" s="146" t="s">
        <v>71</v>
      </c>
      <c r="K36" s="149">
        <v>42500</v>
      </c>
      <c r="L36" s="149">
        <v>18380</v>
      </c>
      <c r="M36" s="149"/>
      <c r="N36" s="173">
        <f t="shared" si="1"/>
        <v>24120</v>
      </c>
      <c r="O36" s="265"/>
    </row>
    <row r="37" spans="1:15" ht="16.5" customHeight="1" x14ac:dyDescent="0.25">
      <c r="A37" s="20">
        <f t="shared" si="0"/>
        <v>34</v>
      </c>
      <c r="B37" s="171">
        <v>4</v>
      </c>
      <c r="C37" s="172">
        <v>46156</v>
      </c>
      <c r="D37" s="146" t="s">
        <v>34</v>
      </c>
      <c r="E37" s="146" t="s">
        <v>13</v>
      </c>
      <c r="F37" s="146" t="s">
        <v>18</v>
      </c>
      <c r="G37" s="146" t="s">
        <v>261</v>
      </c>
      <c r="H37" s="146"/>
      <c r="I37" s="146"/>
      <c r="J37" s="146" t="s">
        <v>71</v>
      </c>
      <c r="K37" s="149">
        <v>42660</v>
      </c>
      <c r="L37" s="149">
        <v>17920</v>
      </c>
      <c r="M37" s="149"/>
      <c r="N37" s="173">
        <f t="shared" si="1"/>
        <v>24740</v>
      </c>
      <c r="O37" s="265"/>
    </row>
    <row r="38" spans="1:15" ht="16.5" customHeight="1" x14ac:dyDescent="0.25">
      <c r="A38" s="20">
        <f t="shared" si="0"/>
        <v>35</v>
      </c>
      <c r="B38" s="171">
        <v>5</v>
      </c>
      <c r="C38" s="172">
        <v>46156</v>
      </c>
      <c r="D38" s="146" t="s">
        <v>34</v>
      </c>
      <c r="E38" s="146" t="s">
        <v>13</v>
      </c>
      <c r="F38" s="146" t="s">
        <v>18</v>
      </c>
      <c r="G38" s="146" t="s">
        <v>329</v>
      </c>
      <c r="H38" s="146" t="s">
        <v>330</v>
      </c>
      <c r="I38" s="146" t="s">
        <v>155</v>
      </c>
      <c r="J38" s="146" t="s">
        <v>71</v>
      </c>
      <c r="K38" s="149">
        <v>43580</v>
      </c>
      <c r="L38" s="149">
        <v>18400</v>
      </c>
      <c r="M38" s="149"/>
      <c r="N38" s="173">
        <f t="shared" si="1"/>
        <v>25180</v>
      </c>
      <c r="O38" s="265"/>
    </row>
    <row r="39" spans="1:15" ht="16.5" customHeight="1" x14ac:dyDescent="0.25">
      <c r="A39" s="20">
        <f t="shared" si="0"/>
        <v>36</v>
      </c>
      <c r="B39" s="171">
        <v>6</v>
      </c>
      <c r="C39" s="172">
        <v>46156</v>
      </c>
      <c r="D39" s="146" t="s">
        <v>34</v>
      </c>
      <c r="E39" s="146" t="s">
        <v>13</v>
      </c>
      <c r="F39" s="146" t="s">
        <v>18</v>
      </c>
      <c r="G39" s="146" t="s">
        <v>250</v>
      </c>
      <c r="H39" s="146"/>
      <c r="I39" s="146"/>
      <c r="J39" s="146" t="s">
        <v>71</v>
      </c>
      <c r="K39" s="149">
        <v>42360</v>
      </c>
      <c r="L39" s="149">
        <v>18420</v>
      </c>
      <c r="M39" s="149"/>
      <c r="N39" s="173">
        <f t="shared" si="1"/>
        <v>23940</v>
      </c>
      <c r="O39" s="174"/>
    </row>
    <row r="40" spans="1:15" ht="16.5" customHeight="1" x14ac:dyDescent="0.25">
      <c r="A40" s="20">
        <f t="shared" si="0"/>
        <v>37</v>
      </c>
      <c r="B40" s="171">
        <v>7</v>
      </c>
      <c r="C40" s="172">
        <v>46156</v>
      </c>
      <c r="D40" s="146" t="s">
        <v>34</v>
      </c>
      <c r="E40" s="146" t="s">
        <v>13</v>
      </c>
      <c r="F40" s="146" t="s">
        <v>18</v>
      </c>
      <c r="G40" s="146" t="s">
        <v>331</v>
      </c>
      <c r="H40" s="146"/>
      <c r="I40" s="146"/>
      <c r="J40" s="146" t="s">
        <v>71</v>
      </c>
      <c r="K40" s="149">
        <v>42060</v>
      </c>
      <c r="L40" s="149">
        <v>18800</v>
      </c>
      <c r="M40" s="149"/>
      <c r="N40" s="173">
        <f t="shared" si="1"/>
        <v>23260</v>
      </c>
      <c r="O40" s="174"/>
    </row>
    <row r="41" spans="1:15" ht="16.5" customHeight="1" x14ac:dyDescent="0.25">
      <c r="A41" s="20">
        <f t="shared" si="0"/>
        <v>38</v>
      </c>
      <c r="B41" s="171">
        <v>8</v>
      </c>
      <c r="C41" s="172">
        <v>46156</v>
      </c>
      <c r="D41" s="146" t="s">
        <v>34</v>
      </c>
      <c r="E41" s="146" t="s">
        <v>13</v>
      </c>
      <c r="F41" s="146" t="s">
        <v>18</v>
      </c>
      <c r="G41" s="146" t="s">
        <v>260</v>
      </c>
      <c r="H41" s="146"/>
      <c r="I41" s="146"/>
      <c r="J41" s="146" t="s">
        <v>71</v>
      </c>
      <c r="K41" s="149">
        <v>42120</v>
      </c>
      <c r="L41" s="149">
        <v>18460</v>
      </c>
      <c r="M41" s="149"/>
      <c r="N41" s="173">
        <f t="shared" si="1"/>
        <v>23660</v>
      </c>
      <c r="O41" s="174"/>
    </row>
    <row r="42" spans="1:15" ht="16.5" customHeight="1" x14ac:dyDescent="0.25">
      <c r="A42" s="20">
        <f t="shared" si="0"/>
        <v>39</v>
      </c>
      <c r="B42" s="171">
        <v>9</v>
      </c>
      <c r="C42" s="172">
        <v>46156</v>
      </c>
      <c r="D42" s="146" t="s">
        <v>34</v>
      </c>
      <c r="E42" s="146" t="s">
        <v>13</v>
      </c>
      <c r="F42" s="146" t="s">
        <v>18</v>
      </c>
      <c r="G42" s="146" t="s">
        <v>249</v>
      </c>
      <c r="H42" s="146"/>
      <c r="I42" s="146"/>
      <c r="J42" s="146" t="s">
        <v>71</v>
      </c>
      <c r="K42" s="149">
        <v>43040</v>
      </c>
      <c r="L42" s="149">
        <v>18700</v>
      </c>
      <c r="M42" s="149"/>
      <c r="N42" s="173">
        <f t="shared" si="1"/>
        <v>24340</v>
      </c>
      <c r="O42" s="174"/>
    </row>
    <row r="43" spans="1:15" ht="16.5" customHeight="1" x14ac:dyDescent="0.25">
      <c r="A43" s="29">
        <f t="shared" si="0"/>
        <v>40</v>
      </c>
      <c r="B43" s="79">
        <v>10</v>
      </c>
      <c r="C43" s="66">
        <v>46156</v>
      </c>
      <c r="D43" s="31" t="s">
        <v>34</v>
      </c>
      <c r="E43" s="31" t="s">
        <v>13</v>
      </c>
      <c r="F43" s="31" t="s">
        <v>18</v>
      </c>
      <c r="G43" s="31" t="s">
        <v>251</v>
      </c>
      <c r="H43" s="31"/>
      <c r="I43" s="31"/>
      <c r="J43" s="31" t="s">
        <v>71</v>
      </c>
      <c r="K43" s="33">
        <v>42840</v>
      </c>
      <c r="L43" s="33">
        <v>18500</v>
      </c>
      <c r="M43" s="33"/>
      <c r="N43" s="67">
        <v>24340</v>
      </c>
      <c r="O43" s="68"/>
    </row>
    <row r="44" spans="1:15" ht="16.5" customHeight="1" x14ac:dyDescent="0.25">
      <c r="A44" s="12">
        <f t="shared" si="0"/>
        <v>41</v>
      </c>
      <c r="B44" s="183">
        <v>1</v>
      </c>
      <c r="C44" s="184">
        <v>46157</v>
      </c>
      <c r="D44" s="185" t="s">
        <v>34</v>
      </c>
      <c r="E44" s="185" t="s">
        <v>13</v>
      </c>
      <c r="F44" s="185" t="s">
        <v>18</v>
      </c>
      <c r="G44" s="185" t="s">
        <v>159</v>
      </c>
      <c r="H44" s="185" t="s">
        <v>160</v>
      </c>
      <c r="I44" s="185" t="s">
        <v>161</v>
      </c>
      <c r="J44" s="185" t="s">
        <v>71</v>
      </c>
      <c r="K44" s="186">
        <v>43580</v>
      </c>
      <c r="L44" s="186">
        <v>18560</v>
      </c>
      <c r="M44" s="186"/>
      <c r="N44" s="187">
        <f t="shared" si="1"/>
        <v>25020</v>
      </c>
      <c r="O44" s="188"/>
    </row>
    <row r="45" spans="1:15" ht="16.5" customHeight="1" x14ac:dyDescent="0.25">
      <c r="A45" s="20">
        <f t="shared" si="0"/>
        <v>42</v>
      </c>
      <c r="B45" s="171">
        <v>2</v>
      </c>
      <c r="C45" s="172">
        <v>46157</v>
      </c>
      <c r="D45" s="146" t="s">
        <v>34</v>
      </c>
      <c r="E45" s="146" t="s">
        <v>13</v>
      </c>
      <c r="F45" s="146" t="s">
        <v>18</v>
      </c>
      <c r="G45" s="146" t="s">
        <v>136</v>
      </c>
      <c r="H45" s="146" t="s">
        <v>137</v>
      </c>
      <c r="I45" s="146" t="s">
        <v>138</v>
      </c>
      <c r="J45" s="146" t="s">
        <v>71</v>
      </c>
      <c r="K45" s="149">
        <v>42480</v>
      </c>
      <c r="L45" s="149">
        <v>18240</v>
      </c>
      <c r="M45" s="149"/>
      <c r="N45" s="173">
        <f t="shared" si="1"/>
        <v>24240</v>
      </c>
      <c r="O45" s="174"/>
    </row>
    <row r="46" spans="1:15" ht="16.5" customHeight="1" x14ac:dyDescent="0.25">
      <c r="A46" s="20">
        <f t="shared" si="0"/>
        <v>43</v>
      </c>
      <c r="B46" s="171">
        <v>3</v>
      </c>
      <c r="C46" s="172">
        <v>46157</v>
      </c>
      <c r="D46" s="146" t="s">
        <v>34</v>
      </c>
      <c r="E46" s="146" t="s">
        <v>13</v>
      </c>
      <c r="F46" s="146" t="s">
        <v>18</v>
      </c>
      <c r="G46" s="146" t="s">
        <v>329</v>
      </c>
      <c r="H46" s="146" t="s">
        <v>330</v>
      </c>
      <c r="I46" s="146" t="s">
        <v>155</v>
      </c>
      <c r="J46" s="146" t="s">
        <v>71</v>
      </c>
      <c r="K46" s="149">
        <v>43240</v>
      </c>
      <c r="L46" s="149">
        <v>18400</v>
      </c>
      <c r="M46" s="149"/>
      <c r="N46" s="173">
        <f t="shared" si="1"/>
        <v>24840</v>
      </c>
      <c r="O46" s="174"/>
    </row>
    <row r="47" spans="1:15" ht="16.5" customHeight="1" x14ac:dyDescent="0.25">
      <c r="A47" s="20">
        <f t="shared" si="0"/>
        <v>44</v>
      </c>
      <c r="B47" s="171">
        <v>4</v>
      </c>
      <c r="C47" s="172">
        <v>46157</v>
      </c>
      <c r="D47" s="146" t="s">
        <v>34</v>
      </c>
      <c r="E47" s="146" t="s">
        <v>13</v>
      </c>
      <c r="F47" s="146" t="s">
        <v>18</v>
      </c>
      <c r="G47" s="146" t="s">
        <v>80</v>
      </c>
      <c r="H47" s="146" t="s">
        <v>81</v>
      </c>
      <c r="I47" s="146" t="s">
        <v>104</v>
      </c>
      <c r="J47" s="146" t="s">
        <v>71</v>
      </c>
      <c r="K47" s="149">
        <v>43220</v>
      </c>
      <c r="L47" s="149">
        <v>18740</v>
      </c>
      <c r="M47" s="149"/>
      <c r="N47" s="173">
        <f t="shared" si="1"/>
        <v>24480</v>
      </c>
      <c r="O47" s="174"/>
    </row>
    <row r="48" spans="1:15" ht="16.5" customHeight="1" x14ac:dyDescent="0.25">
      <c r="A48" s="20">
        <f t="shared" si="0"/>
        <v>45</v>
      </c>
      <c r="B48" s="171">
        <v>5</v>
      </c>
      <c r="C48" s="172">
        <v>46157</v>
      </c>
      <c r="D48" s="146" t="s">
        <v>34</v>
      </c>
      <c r="E48" s="146" t="s">
        <v>13</v>
      </c>
      <c r="F48" s="146" t="s">
        <v>18</v>
      </c>
      <c r="G48" s="146" t="s">
        <v>142</v>
      </c>
      <c r="H48" s="146" t="s">
        <v>143</v>
      </c>
      <c r="I48" s="146" t="s">
        <v>144</v>
      </c>
      <c r="J48" s="146" t="s">
        <v>71</v>
      </c>
      <c r="K48" s="149">
        <v>42460</v>
      </c>
      <c r="L48" s="149">
        <v>18760</v>
      </c>
      <c r="M48" s="149"/>
      <c r="N48" s="173">
        <f t="shared" si="1"/>
        <v>23700</v>
      </c>
      <c r="O48" s="174"/>
    </row>
    <row r="49" spans="1:15" ht="16.5" customHeight="1" x14ac:dyDescent="0.25">
      <c r="A49" s="29">
        <f t="shared" si="0"/>
        <v>46</v>
      </c>
      <c r="B49" s="79">
        <v>6</v>
      </c>
      <c r="C49" s="66">
        <v>46157</v>
      </c>
      <c r="D49" s="31" t="s">
        <v>34</v>
      </c>
      <c r="E49" s="31" t="s">
        <v>13</v>
      </c>
      <c r="F49" s="31" t="s">
        <v>18</v>
      </c>
      <c r="G49" s="31" t="s">
        <v>335</v>
      </c>
      <c r="H49" s="31"/>
      <c r="I49" s="31"/>
      <c r="J49" s="31" t="s">
        <v>71</v>
      </c>
      <c r="K49" s="33">
        <v>43020</v>
      </c>
      <c r="L49" s="33">
        <v>18420</v>
      </c>
      <c r="M49" s="33"/>
      <c r="N49" s="67">
        <f t="shared" si="1"/>
        <v>24600</v>
      </c>
      <c r="O49" s="68"/>
    </row>
    <row r="50" spans="1:15" ht="16.5" customHeight="1" x14ac:dyDescent="0.25">
      <c r="A50" s="12">
        <f t="shared" si="0"/>
        <v>47</v>
      </c>
      <c r="B50" s="183">
        <v>1</v>
      </c>
      <c r="C50" s="184">
        <v>46158</v>
      </c>
      <c r="D50" s="185" t="s">
        <v>34</v>
      </c>
      <c r="E50" s="185" t="s">
        <v>13</v>
      </c>
      <c r="F50" s="185" t="s">
        <v>18</v>
      </c>
      <c r="G50" s="185" t="s">
        <v>132</v>
      </c>
      <c r="H50" s="185" t="s">
        <v>133</v>
      </c>
      <c r="I50" s="185" t="s">
        <v>134</v>
      </c>
      <c r="J50" s="185" t="s">
        <v>71</v>
      </c>
      <c r="K50" s="186">
        <v>33300</v>
      </c>
      <c r="L50" s="186">
        <v>18520</v>
      </c>
      <c r="M50" s="186"/>
      <c r="N50" s="187">
        <f t="shared" si="1"/>
        <v>14780</v>
      </c>
      <c r="O50" s="188"/>
    </row>
    <row r="51" spans="1:15" ht="16.5" customHeight="1" x14ac:dyDescent="0.25">
      <c r="A51" s="20">
        <f t="shared" si="0"/>
        <v>48</v>
      </c>
      <c r="B51" s="171">
        <v>2</v>
      </c>
      <c r="C51" s="172">
        <v>46158</v>
      </c>
      <c r="D51" s="146" t="s">
        <v>34</v>
      </c>
      <c r="E51" s="146" t="s">
        <v>13</v>
      </c>
      <c r="F51" s="146" t="s">
        <v>18</v>
      </c>
      <c r="G51" s="146" t="s">
        <v>146</v>
      </c>
      <c r="H51" s="146" t="s">
        <v>147</v>
      </c>
      <c r="I51" s="146" t="s">
        <v>148</v>
      </c>
      <c r="J51" s="146" t="s">
        <v>187</v>
      </c>
      <c r="K51" s="149">
        <v>42140</v>
      </c>
      <c r="L51" s="149">
        <v>19060</v>
      </c>
      <c r="M51" s="149"/>
      <c r="N51" s="173">
        <f t="shared" si="1"/>
        <v>23080</v>
      </c>
      <c r="O51" s="174"/>
    </row>
    <row r="52" spans="1:15" ht="16.5" customHeight="1" x14ac:dyDescent="0.25">
      <c r="A52" s="20">
        <f t="shared" si="0"/>
        <v>49</v>
      </c>
      <c r="B52" s="171">
        <v>3</v>
      </c>
      <c r="C52" s="172">
        <v>46158</v>
      </c>
      <c r="D52" s="146" t="s">
        <v>34</v>
      </c>
      <c r="E52" s="146" t="s">
        <v>13</v>
      </c>
      <c r="F52" s="146" t="s">
        <v>18</v>
      </c>
      <c r="G52" s="146" t="s">
        <v>338</v>
      </c>
      <c r="H52" s="146"/>
      <c r="I52" s="146"/>
      <c r="J52" s="146" t="s">
        <v>71</v>
      </c>
      <c r="K52" s="149">
        <v>33780</v>
      </c>
      <c r="L52" s="149">
        <v>18840</v>
      </c>
      <c r="M52" s="149"/>
      <c r="N52" s="173">
        <f t="shared" si="1"/>
        <v>14940</v>
      </c>
      <c r="O52" s="174"/>
    </row>
    <row r="53" spans="1:15" ht="16.5" customHeight="1" x14ac:dyDescent="0.25">
      <c r="A53" s="20">
        <f t="shared" si="0"/>
        <v>50</v>
      </c>
      <c r="B53" s="171">
        <v>4</v>
      </c>
      <c r="C53" s="172">
        <v>46158</v>
      </c>
      <c r="D53" s="146" t="s">
        <v>34</v>
      </c>
      <c r="E53" s="146" t="s">
        <v>13</v>
      </c>
      <c r="F53" s="146" t="s">
        <v>18</v>
      </c>
      <c r="G53" s="146" t="s">
        <v>331</v>
      </c>
      <c r="H53" s="146"/>
      <c r="I53" s="146"/>
      <c r="J53" s="146" t="s">
        <v>187</v>
      </c>
      <c r="K53" s="149">
        <v>41780</v>
      </c>
      <c r="L53" s="149">
        <v>18840</v>
      </c>
      <c r="M53" s="149"/>
      <c r="N53" s="173">
        <f t="shared" si="1"/>
        <v>22940</v>
      </c>
      <c r="O53" s="174"/>
    </row>
    <row r="54" spans="1:15" ht="16.5" customHeight="1" x14ac:dyDescent="0.25">
      <c r="A54" s="20">
        <f t="shared" si="0"/>
        <v>51</v>
      </c>
      <c r="B54" s="171">
        <v>5</v>
      </c>
      <c r="C54" s="172">
        <v>46158</v>
      </c>
      <c r="D54" s="146" t="s">
        <v>34</v>
      </c>
      <c r="E54" s="146" t="s">
        <v>13</v>
      </c>
      <c r="F54" s="146" t="s">
        <v>18</v>
      </c>
      <c r="G54" s="146" t="s">
        <v>80</v>
      </c>
      <c r="H54" s="146" t="s">
        <v>81</v>
      </c>
      <c r="I54" s="146" t="s">
        <v>104</v>
      </c>
      <c r="J54" s="146" t="s">
        <v>71</v>
      </c>
      <c r="K54" s="149">
        <v>31080</v>
      </c>
      <c r="L54" s="149">
        <v>18740</v>
      </c>
      <c r="M54" s="149"/>
      <c r="N54" s="173">
        <f t="shared" si="1"/>
        <v>12340</v>
      </c>
      <c r="O54" s="174"/>
    </row>
    <row r="55" spans="1:15" ht="16.5" customHeight="1" x14ac:dyDescent="0.25">
      <c r="A55" s="20">
        <f t="shared" si="0"/>
        <v>52</v>
      </c>
      <c r="B55" s="171">
        <v>6</v>
      </c>
      <c r="C55" s="172">
        <v>46158</v>
      </c>
      <c r="D55" s="146" t="s">
        <v>34</v>
      </c>
      <c r="E55" s="146" t="s">
        <v>13</v>
      </c>
      <c r="F55" s="146" t="s">
        <v>18</v>
      </c>
      <c r="G55" s="146" t="s">
        <v>149</v>
      </c>
      <c r="H55" s="146" t="s">
        <v>150</v>
      </c>
      <c r="I55" s="146" t="s">
        <v>151</v>
      </c>
      <c r="J55" s="146" t="s">
        <v>71</v>
      </c>
      <c r="K55" s="149">
        <v>32020</v>
      </c>
      <c r="L55" s="149">
        <v>18640</v>
      </c>
      <c r="M55" s="149"/>
      <c r="N55" s="173">
        <f t="shared" si="1"/>
        <v>13380</v>
      </c>
      <c r="O55" s="174"/>
    </row>
    <row r="56" spans="1:15" ht="16.5" customHeight="1" x14ac:dyDescent="0.25">
      <c r="A56" s="20">
        <f t="shared" si="0"/>
        <v>53</v>
      </c>
      <c r="B56" s="171">
        <v>7</v>
      </c>
      <c r="C56" s="172">
        <v>46158</v>
      </c>
      <c r="D56" s="146" t="s">
        <v>34</v>
      </c>
      <c r="E56" s="146" t="s">
        <v>13</v>
      </c>
      <c r="F56" s="146" t="s">
        <v>18</v>
      </c>
      <c r="G56" s="146" t="s">
        <v>120</v>
      </c>
      <c r="H56" s="146" t="s">
        <v>121</v>
      </c>
      <c r="I56" s="146" t="s">
        <v>122</v>
      </c>
      <c r="J56" s="146" t="s">
        <v>71</v>
      </c>
      <c r="K56" s="149">
        <v>33500</v>
      </c>
      <c r="L56" s="149">
        <v>18440</v>
      </c>
      <c r="M56" s="149"/>
      <c r="N56" s="173">
        <f t="shared" si="1"/>
        <v>15060</v>
      </c>
      <c r="O56" s="174"/>
    </row>
    <row r="57" spans="1:15" ht="16.5" customHeight="1" x14ac:dyDescent="0.25">
      <c r="A57" s="20">
        <f t="shared" si="0"/>
        <v>54</v>
      </c>
      <c r="B57" s="171">
        <v>8</v>
      </c>
      <c r="C57" s="172">
        <v>46158</v>
      </c>
      <c r="D57" s="146" t="s">
        <v>34</v>
      </c>
      <c r="E57" s="146" t="s">
        <v>13</v>
      </c>
      <c r="F57" s="146" t="s">
        <v>18</v>
      </c>
      <c r="G57" s="146" t="s">
        <v>252</v>
      </c>
      <c r="H57" s="146"/>
      <c r="I57" s="146"/>
      <c r="J57" s="146" t="s">
        <v>187</v>
      </c>
      <c r="K57" s="149">
        <v>43060</v>
      </c>
      <c r="L57" s="149">
        <v>17960</v>
      </c>
      <c r="M57" s="149"/>
      <c r="N57" s="173">
        <f t="shared" si="1"/>
        <v>25100</v>
      </c>
      <c r="O57" s="174"/>
    </row>
    <row r="58" spans="1:15" ht="16.5" customHeight="1" x14ac:dyDescent="0.25">
      <c r="A58" s="20">
        <f t="shared" si="0"/>
        <v>55</v>
      </c>
      <c r="B58" s="171">
        <v>9</v>
      </c>
      <c r="C58" s="172">
        <v>46158</v>
      </c>
      <c r="D58" s="146" t="s">
        <v>34</v>
      </c>
      <c r="E58" s="146" t="s">
        <v>13</v>
      </c>
      <c r="F58" s="146" t="s">
        <v>18</v>
      </c>
      <c r="G58" s="146" t="s">
        <v>49</v>
      </c>
      <c r="H58" s="146" t="s">
        <v>50</v>
      </c>
      <c r="I58" s="146" t="s">
        <v>119</v>
      </c>
      <c r="J58" s="146" t="s">
        <v>71</v>
      </c>
      <c r="K58" s="149">
        <v>33460</v>
      </c>
      <c r="L58" s="149">
        <v>18320</v>
      </c>
      <c r="M58" s="149"/>
      <c r="N58" s="173">
        <f t="shared" si="1"/>
        <v>15140</v>
      </c>
      <c r="O58" s="174"/>
    </row>
    <row r="59" spans="1:15" ht="16.5" customHeight="1" x14ac:dyDescent="0.25">
      <c r="A59" s="20">
        <f t="shared" si="0"/>
        <v>56</v>
      </c>
      <c r="B59" s="171">
        <v>10</v>
      </c>
      <c r="C59" s="172">
        <v>46158</v>
      </c>
      <c r="D59" s="146" t="s">
        <v>34</v>
      </c>
      <c r="E59" s="146" t="s">
        <v>13</v>
      </c>
      <c r="F59" s="146" t="s">
        <v>18</v>
      </c>
      <c r="G59" s="146" t="s">
        <v>324</v>
      </c>
      <c r="H59" s="146"/>
      <c r="I59" s="146"/>
      <c r="J59" s="146" t="s">
        <v>187</v>
      </c>
      <c r="K59" s="149">
        <v>43600</v>
      </c>
      <c r="L59" s="149">
        <v>18700</v>
      </c>
      <c r="M59" s="149"/>
      <c r="N59" s="173">
        <f t="shared" si="1"/>
        <v>24900</v>
      </c>
      <c r="O59" s="174"/>
    </row>
    <row r="60" spans="1:15" ht="16.5" customHeight="1" x14ac:dyDescent="0.25">
      <c r="A60" s="20">
        <f t="shared" si="0"/>
        <v>57</v>
      </c>
      <c r="B60" s="171">
        <v>11</v>
      </c>
      <c r="C60" s="172">
        <v>46158</v>
      </c>
      <c r="D60" s="146" t="s">
        <v>34</v>
      </c>
      <c r="E60" s="146" t="s">
        <v>13</v>
      </c>
      <c r="F60" s="146" t="s">
        <v>18</v>
      </c>
      <c r="G60" s="146" t="s">
        <v>153</v>
      </c>
      <c r="H60" s="146" t="s">
        <v>154</v>
      </c>
      <c r="I60" s="146" t="s">
        <v>155</v>
      </c>
      <c r="J60" s="146" t="s">
        <v>187</v>
      </c>
      <c r="K60" s="149">
        <v>42860</v>
      </c>
      <c r="L60" s="149">
        <v>18740</v>
      </c>
      <c r="M60" s="149"/>
      <c r="N60" s="173">
        <f t="shared" si="1"/>
        <v>24120</v>
      </c>
      <c r="O60" s="174"/>
    </row>
    <row r="61" spans="1:15" ht="16.5" customHeight="1" x14ac:dyDescent="0.25">
      <c r="A61" s="20">
        <f t="shared" si="0"/>
        <v>58</v>
      </c>
      <c r="B61" s="171">
        <v>12</v>
      </c>
      <c r="C61" s="172">
        <v>46158</v>
      </c>
      <c r="D61" s="146" t="s">
        <v>34</v>
      </c>
      <c r="E61" s="146" t="s">
        <v>13</v>
      </c>
      <c r="F61" s="146" t="s">
        <v>18</v>
      </c>
      <c r="G61" s="146" t="s">
        <v>338</v>
      </c>
      <c r="H61" s="146"/>
      <c r="I61" s="146"/>
      <c r="J61" s="146" t="s">
        <v>71</v>
      </c>
      <c r="K61" s="149">
        <v>32300</v>
      </c>
      <c r="L61" s="149">
        <v>18800</v>
      </c>
      <c r="M61" s="149"/>
      <c r="N61" s="173">
        <f t="shared" si="1"/>
        <v>13500</v>
      </c>
      <c r="O61" s="174"/>
    </row>
    <row r="62" spans="1:15" ht="16.5" customHeight="1" x14ac:dyDescent="0.25">
      <c r="A62" s="20">
        <f t="shared" si="0"/>
        <v>59</v>
      </c>
      <c r="B62" s="171">
        <v>13</v>
      </c>
      <c r="C62" s="172">
        <v>46158</v>
      </c>
      <c r="D62" s="146" t="s">
        <v>34</v>
      </c>
      <c r="E62" s="146" t="s">
        <v>13</v>
      </c>
      <c r="F62" s="146" t="s">
        <v>18</v>
      </c>
      <c r="G62" s="146" t="s">
        <v>80</v>
      </c>
      <c r="H62" s="146" t="s">
        <v>81</v>
      </c>
      <c r="I62" s="146" t="s">
        <v>104</v>
      </c>
      <c r="J62" s="146" t="s">
        <v>71</v>
      </c>
      <c r="K62" s="149">
        <v>37720</v>
      </c>
      <c r="L62" s="149">
        <v>18700</v>
      </c>
      <c r="M62" s="149"/>
      <c r="N62" s="173">
        <f t="shared" si="1"/>
        <v>19020</v>
      </c>
      <c r="O62" s="174"/>
    </row>
    <row r="63" spans="1:15" ht="16.5" customHeight="1" x14ac:dyDescent="0.25">
      <c r="A63" s="20">
        <f t="shared" si="0"/>
        <v>60</v>
      </c>
      <c r="B63" s="171">
        <v>14</v>
      </c>
      <c r="C63" s="172">
        <v>46158</v>
      </c>
      <c r="D63" s="146" t="s">
        <v>34</v>
      </c>
      <c r="E63" s="146" t="s">
        <v>13</v>
      </c>
      <c r="F63" s="146" t="s">
        <v>18</v>
      </c>
      <c r="G63" s="146" t="s">
        <v>149</v>
      </c>
      <c r="H63" s="146" t="s">
        <v>150</v>
      </c>
      <c r="I63" s="146" t="s">
        <v>151</v>
      </c>
      <c r="J63" s="146" t="s">
        <v>71</v>
      </c>
      <c r="K63" s="149">
        <v>31700</v>
      </c>
      <c r="L63" s="149">
        <v>18580</v>
      </c>
      <c r="M63" s="149"/>
      <c r="N63" s="173">
        <f t="shared" si="1"/>
        <v>13120</v>
      </c>
      <c r="O63" s="174"/>
    </row>
    <row r="64" spans="1:15" ht="16.5" customHeight="1" x14ac:dyDescent="0.25">
      <c r="A64" s="29">
        <f t="shared" si="0"/>
        <v>61</v>
      </c>
      <c r="B64" s="79">
        <v>15</v>
      </c>
      <c r="C64" s="66">
        <v>46158</v>
      </c>
      <c r="D64" s="31" t="s">
        <v>34</v>
      </c>
      <c r="E64" s="31" t="s">
        <v>13</v>
      </c>
      <c r="F64" s="31" t="s">
        <v>18</v>
      </c>
      <c r="G64" s="31" t="s">
        <v>49</v>
      </c>
      <c r="H64" s="31" t="s">
        <v>50</v>
      </c>
      <c r="I64" s="31" t="s">
        <v>119</v>
      </c>
      <c r="J64" s="31" t="s">
        <v>71</v>
      </c>
      <c r="K64" s="33">
        <v>35540</v>
      </c>
      <c r="L64" s="33">
        <v>18280</v>
      </c>
      <c r="M64" s="33"/>
      <c r="N64" s="67">
        <f t="shared" si="1"/>
        <v>17260</v>
      </c>
      <c r="O64" s="68"/>
    </row>
    <row r="65" spans="1:15" ht="16.5" customHeight="1" x14ac:dyDescent="0.25">
      <c r="A65" s="20">
        <f t="shared" si="0"/>
        <v>62</v>
      </c>
      <c r="B65" s="52">
        <v>1</v>
      </c>
      <c r="C65" s="65">
        <v>46160</v>
      </c>
      <c r="D65" s="21" t="s">
        <v>34</v>
      </c>
      <c r="E65" s="21" t="s">
        <v>59</v>
      </c>
      <c r="F65" s="21" t="s">
        <v>14</v>
      </c>
      <c r="G65" s="21" t="s">
        <v>40</v>
      </c>
      <c r="H65" s="21" t="s">
        <v>41</v>
      </c>
      <c r="I65" s="21" t="s">
        <v>24</v>
      </c>
      <c r="J65" s="21" t="s">
        <v>58</v>
      </c>
      <c r="K65" s="24">
        <v>19060</v>
      </c>
      <c r="L65" s="24">
        <v>14080</v>
      </c>
      <c r="M65" s="24"/>
      <c r="N65" s="187">
        <f t="shared" ref="N65:N75" si="2">K65-L65-M65</f>
        <v>4980</v>
      </c>
      <c r="O65" s="64" t="s">
        <v>339</v>
      </c>
    </row>
    <row r="66" spans="1:15" ht="16.5" customHeight="1" x14ac:dyDescent="0.25">
      <c r="A66" s="20">
        <f t="shared" si="0"/>
        <v>63</v>
      </c>
      <c r="B66" s="52">
        <v>2</v>
      </c>
      <c r="C66" s="65">
        <v>46160</v>
      </c>
      <c r="D66" s="21" t="s">
        <v>34</v>
      </c>
      <c r="E66" s="21" t="s">
        <v>13</v>
      </c>
      <c r="F66" s="21" t="s">
        <v>18</v>
      </c>
      <c r="G66" s="21" t="s">
        <v>331</v>
      </c>
      <c r="H66" s="21"/>
      <c r="I66" s="21"/>
      <c r="J66" s="21" t="s">
        <v>71</v>
      </c>
      <c r="K66" s="24">
        <v>43060</v>
      </c>
      <c r="L66" s="24">
        <v>18820</v>
      </c>
      <c r="M66" s="24"/>
      <c r="N66" s="173">
        <f t="shared" si="2"/>
        <v>24240</v>
      </c>
      <c r="O66" s="64"/>
    </row>
    <row r="67" spans="1:15" ht="16.5" customHeight="1" x14ac:dyDescent="0.25">
      <c r="A67" s="20">
        <f t="shared" si="0"/>
        <v>64</v>
      </c>
      <c r="B67" s="52" t="s">
        <v>88</v>
      </c>
      <c r="C67" s="65">
        <v>46160</v>
      </c>
      <c r="D67" s="21" t="s">
        <v>34</v>
      </c>
      <c r="E67" s="21" t="s">
        <v>25</v>
      </c>
      <c r="F67" s="21" t="s">
        <v>44</v>
      </c>
      <c r="G67" s="21" t="s">
        <v>264</v>
      </c>
      <c r="H67" s="21"/>
      <c r="I67" s="21"/>
      <c r="J67" s="21" t="s">
        <v>57</v>
      </c>
      <c r="K67" s="24">
        <v>15820</v>
      </c>
      <c r="L67" s="24">
        <v>8700</v>
      </c>
      <c r="M67" s="24">
        <v>1500</v>
      </c>
      <c r="N67" s="173">
        <f>K67-L67-M67-N68-N69</f>
        <v>4330</v>
      </c>
      <c r="O67" s="64" t="s">
        <v>354</v>
      </c>
    </row>
    <row r="68" spans="1:15" ht="16.5" customHeight="1" x14ac:dyDescent="0.25">
      <c r="A68" s="20">
        <f t="shared" si="0"/>
        <v>65</v>
      </c>
      <c r="B68" s="52" t="s">
        <v>89</v>
      </c>
      <c r="C68" s="65">
        <v>46160</v>
      </c>
      <c r="D68" s="21" t="s">
        <v>34</v>
      </c>
      <c r="E68" s="21" t="s">
        <v>25</v>
      </c>
      <c r="F68" s="21" t="s">
        <v>44</v>
      </c>
      <c r="G68" s="21" t="s">
        <v>264</v>
      </c>
      <c r="H68" s="21"/>
      <c r="I68" s="21"/>
      <c r="J68" s="21" t="s">
        <v>42</v>
      </c>
      <c r="K68" s="24">
        <v>11670</v>
      </c>
      <c r="L68" s="24">
        <v>11580</v>
      </c>
      <c r="M68" s="24"/>
      <c r="N68" s="173">
        <f t="shared" si="2"/>
        <v>90</v>
      </c>
      <c r="O68" s="64" t="s">
        <v>355</v>
      </c>
    </row>
    <row r="69" spans="1:15" ht="16.5" customHeight="1" x14ac:dyDescent="0.25">
      <c r="A69" s="20">
        <f t="shared" si="0"/>
        <v>66</v>
      </c>
      <c r="B69" s="52" t="s">
        <v>311</v>
      </c>
      <c r="C69" s="65">
        <v>46160</v>
      </c>
      <c r="D69" s="21" t="s">
        <v>34</v>
      </c>
      <c r="E69" s="21" t="s">
        <v>25</v>
      </c>
      <c r="F69" s="21" t="s">
        <v>44</v>
      </c>
      <c r="G69" s="21" t="s">
        <v>264</v>
      </c>
      <c r="H69" s="21"/>
      <c r="I69" s="21"/>
      <c r="J69" s="21" t="s">
        <v>350</v>
      </c>
      <c r="K69" s="24">
        <v>13280</v>
      </c>
      <c r="L69" s="24">
        <v>11580</v>
      </c>
      <c r="M69" s="24">
        <v>500</v>
      </c>
      <c r="N69" s="173">
        <f t="shared" si="2"/>
        <v>1200</v>
      </c>
      <c r="O69" s="64" t="s">
        <v>356</v>
      </c>
    </row>
    <row r="70" spans="1:15" ht="16.5" customHeight="1" x14ac:dyDescent="0.25">
      <c r="A70" s="20">
        <f t="shared" si="0"/>
        <v>67</v>
      </c>
      <c r="B70" s="52">
        <v>4</v>
      </c>
      <c r="C70" s="65">
        <v>46160</v>
      </c>
      <c r="D70" s="21" t="s">
        <v>34</v>
      </c>
      <c r="E70" s="21" t="s">
        <v>13</v>
      </c>
      <c r="F70" s="21" t="s">
        <v>18</v>
      </c>
      <c r="G70" s="21" t="s">
        <v>80</v>
      </c>
      <c r="H70" s="21" t="s">
        <v>81</v>
      </c>
      <c r="I70" s="21" t="s">
        <v>104</v>
      </c>
      <c r="J70" s="21" t="s">
        <v>20</v>
      </c>
      <c r="K70" s="24">
        <v>28660</v>
      </c>
      <c r="L70" s="24">
        <v>18760</v>
      </c>
      <c r="M70" s="24"/>
      <c r="N70" s="173">
        <f t="shared" si="2"/>
        <v>9900</v>
      </c>
      <c r="O70" s="64"/>
    </row>
    <row r="71" spans="1:15" ht="16.5" customHeight="1" x14ac:dyDescent="0.25">
      <c r="A71" s="20">
        <f t="shared" si="0"/>
        <v>68</v>
      </c>
      <c r="B71" s="52">
        <v>5</v>
      </c>
      <c r="C71" s="65">
        <v>46160</v>
      </c>
      <c r="D71" s="21" t="s">
        <v>34</v>
      </c>
      <c r="E71" s="21" t="s">
        <v>13</v>
      </c>
      <c r="F71" s="21" t="s">
        <v>18</v>
      </c>
      <c r="G71" s="21" t="s">
        <v>51</v>
      </c>
      <c r="H71" s="21" t="s">
        <v>52</v>
      </c>
      <c r="I71" s="21" t="s">
        <v>100</v>
      </c>
      <c r="J71" s="21" t="s">
        <v>20</v>
      </c>
      <c r="K71" s="24">
        <v>33420</v>
      </c>
      <c r="L71" s="24">
        <v>18780</v>
      </c>
      <c r="M71" s="24"/>
      <c r="N71" s="173">
        <f t="shared" si="2"/>
        <v>14640</v>
      </c>
      <c r="O71" s="64"/>
    </row>
    <row r="72" spans="1:15" ht="16.5" customHeight="1" x14ac:dyDescent="0.25">
      <c r="A72" s="20">
        <f t="shared" si="0"/>
        <v>69</v>
      </c>
      <c r="B72" s="52">
        <v>6</v>
      </c>
      <c r="C72" s="65">
        <v>46160</v>
      </c>
      <c r="D72" s="21" t="s">
        <v>34</v>
      </c>
      <c r="E72" s="21" t="s">
        <v>13</v>
      </c>
      <c r="F72" s="21" t="s">
        <v>18</v>
      </c>
      <c r="G72" s="21" t="s">
        <v>38</v>
      </c>
      <c r="H72" s="21" t="s">
        <v>39</v>
      </c>
      <c r="I72" s="21" t="s">
        <v>162</v>
      </c>
      <c r="J72" s="21" t="s">
        <v>20</v>
      </c>
      <c r="K72" s="24">
        <v>35340</v>
      </c>
      <c r="L72" s="24">
        <v>18380</v>
      </c>
      <c r="M72" s="24"/>
      <c r="N72" s="173">
        <f t="shared" si="2"/>
        <v>16960</v>
      </c>
      <c r="O72" s="64"/>
    </row>
    <row r="73" spans="1:15" ht="16.5" customHeight="1" x14ac:dyDescent="0.25">
      <c r="A73" s="20">
        <f t="shared" si="0"/>
        <v>70</v>
      </c>
      <c r="B73" s="171">
        <v>7</v>
      </c>
      <c r="C73" s="65">
        <v>46160</v>
      </c>
      <c r="D73" s="146" t="s">
        <v>34</v>
      </c>
      <c r="E73" s="146" t="s">
        <v>13</v>
      </c>
      <c r="F73" s="146" t="s">
        <v>18</v>
      </c>
      <c r="G73" s="146" t="s">
        <v>153</v>
      </c>
      <c r="H73" s="146" t="s">
        <v>154</v>
      </c>
      <c r="I73" s="146" t="s">
        <v>155</v>
      </c>
      <c r="J73" s="146" t="s">
        <v>20</v>
      </c>
      <c r="K73" s="149">
        <v>38140</v>
      </c>
      <c r="L73" s="149">
        <v>18620</v>
      </c>
      <c r="M73" s="149"/>
      <c r="N73" s="173">
        <f t="shared" si="2"/>
        <v>19520</v>
      </c>
      <c r="O73" s="174"/>
    </row>
    <row r="74" spans="1:15" ht="16.5" customHeight="1" x14ac:dyDescent="0.25">
      <c r="A74" s="20">
        <f t="shared" si="0"/>
        <v>71</v>
      </c>
      <c r="B74" s="52">
        <v>8</v>
      </c>
      <c r="C74" s="65">
        <v>46160</v>
      </c>
      <c r="D74" s="21" t="s">
        <v>34</v>
      </c>
      <c r="E74" s="21" t="s">
        <v>13</v>
      </c>
      <c r="F74" s="21" t="s">
        <v>18</v>
      </c>
      <c r="G74" s="21" t="s">
        <v>351</v>
      </c>
      <c r="H74" s="21" t="s">
        <v>352</v>
      </c>
      <c r="I74" s="21" t="s">
        <v>353</v>
      </c>
      <c r="J74" s="21" t="s">
        <v>20</v>
      </c>
      <c r="K74" s="24">
        <v>37640</v>
      </c>
      <c r="L74" s="24">
        <v>17980</v>
      </c>
      <c r="M74" s="24"/>
      <c r="N74" s="173">
        <f t="shared" si="2"/>
        <v>19660</v>
      </c>
      <c r="O74" s="64"/>
    </row>
    <row r="75" spans="1:15" ht="16.5" customHeight="1" x14ac:dyDescent="0.25">
      <c r="A75" s="20">
        <f t="shared" si="0"/>
        <v>72</v>
      </c>
      <c r="B75" s="52">
        <v>9</v>
      </c>
      <c r="C75" s="65">
        <v>46160</v>
      </c>
      <c r="D75" s="21" t="s">
        <v>34</v>
      </c>
      <c r="E75" s="21" t="s">
        <v>13</v>
      </c>
      <c r="F75" s="21" t="s">
        <v>18</v>
      </c>
      <c r="G75" s="21" t="s">
        <v>156</v>
      </c>
      <c r="H75" s="21" t="s">
        <v>157</v>
      </c>
      <c r="I75" s="21" t="s">
        <v>158</v>
      </c>
      <c r="J75" s="21" t="s">
        <v>20</v>
      </c>
      <c r="K75" s="24">
        <v>34640</v>
      </c>
      <c r="L75" s="24">
        <v>18640</v>
      </c>
      <c r="M75" s="24"/>
      <c r="N75" s="173">
        <f t="shared" si="2"/>
        <v>16000</v>
      </c>
      <c r="O75" s="64"/>
    </row>
    <row r="76" spans="1:15" ht="16.5" customHeight="1" x14ac:dyDescent="0.25">
      <c r="A76" s="20">
        <f t="shared" si="0"/>
        <v>73</v>
      </c>
      <c r="B76" s="52">
        <v>10</v>
      </c>
      <c r="C76" s="65">
        <v>46160</v>
      </c>
      <c r="D76" s="21" t="s">
        <v>34</v>
      </c>
      <c r="E76" s="21" t="s">
        <v>13</v>
      </c>
      <c r="F76" s="21" t="s">
        <v>18</v>
      </c>
      <c r="G76" s="21" t="s">
        <v>35</v>
      </c>
      <c r="H76" s="21" t="s">
        <v>36</v>
      </c>
      <c r="I76" s="21" t="s">
        <v>108</v>
      </c>
      <c r="J76" s="21" t="s">
        <v>20</v>
      </c>
      <c r="K76" s="24">
        <v>34600</v>
      </c>
      <c r="L76" s="24">
        <v>18960</v>
      </c>
      <c r="M76" s="24"/>
      <c r="N76" s="173">
        <f t="shared" si="1"/>
        <v>15640</v>
      </c>
      <c r="O76" s="64"/>
    </row>
    <row r="77" spans="1:15" ht="16.5" customHeight="1" x14ac:dyDescent="0.25">
      <c r="A77" s="20">
        <f t="shared" si="0"/>
        <v>74</v>
      </c>
      <c r="B77" s="52">
        <v>11</v>
      </c>
      <c r="C77" s="65">
        <v>46160</v>
      </c>
      <c r="D77" s="21" t="s">
        <v>34</v>
      </c>
      <c r="E77" s="21" t="s">
        <v>13</v>
      </c>
      <c r="F77" s="21" t="s">
        <v>18</v>
      </c>
      <c r="G77" s="21" t="s">
        <v>139</v>
      </c>
      <c r="H77" s="21" t="s">
        <v>140</v>
      </c>
      <c r="I77" s="21" t="s">
        <v>141</v>
      </c>
      <c r="J77" s="21" t="s">
        <v>20</v>
      </c>
      <c r="K77" s="24">
        <v>37080</v>
      </c>
      <c r="L77" s="24">
        <v>19000</v>
      </c>
      <c r="M77" s="24"/>
      <c r="N77" s="173">
        <f t="shared" si="1"/>
        <v>18080</v>
      </c>
      <c r="O77" s="64"/>
    </row>
    <row r="78" spans="1:15" ht="16.5" customHeight="1" x14ac:dyDescent="0.25">
      <c r="A78" s="20">
        <f t="shared" si="0"/>
        <v>75</v>
      </c>
      <c r="B78" s="52">
        <v>12</v>
      </c>
      <c r="C78" s="65">
        <v>46160</v>
      </c>
      <c r="D78" s="21" t="s">
        <v>34</v>
      </c>
      <c r="E78" s="21" t="s">
        <v>13</v>
      </c>
      <c r="F78" s="21" t="s">
        <v>18</v>
      </c>
      <c r="G78" s="21" t="s">
        <v>153</v>
      </c>
      <c r="H78" s="21" t="s">
        <v>154</v>
      </c>
      <c r="I78" s="21" t="s">
        <v>155</v>
      </c>
      <c r="J78" s="21" t="s">
        <v>20</v>
      </c>
      <c r="K78" s="24">
        <v>35280</v>
      </c>
      <c r="L78" s="24">
        <v>18600</v>
      </c>
      <c r="M78" s="24"/>
      <c r="N78" s="173">
        <f t="shared" si="1"/>
        <v>16680</v>
      </c>
      <c r="O78" s="64"/>
    </row>
    <row r="79" spans="1:15" ht="16.5" customHeight="1" x14ac:dyDescent="0.25">
      <c r="A79" s="29">
        <f t="shared" si="0"/>
        <v>76</v>
      </c>
      <c r="B79" s="79">
        <v>13</v>
      </c>
      <c r="C79" s="66">
        <v>46160</v>
      </c>
      <c r="D79" s="31" t="s">
        <v>34</v>
      </c>
      <c r="E79" s="31" t="s">
        <v>13</v>
      </c>
      <c r="F79" s="31" t="s">
        <v>18</v>
      </c>
      <c r="G79" s="31" t="s">
        <v>351</v>
      </c>
      <c r="H79" s="31" t="s">
        <v>352</v>
      </c>
      <c r="I79" s="31" t="s">
        <v>353</v>
      </c>
      <c r="J79" s="31" t="s">
        <v>20</v>
      </c>
      <c r="K79" s="33">
        <v>36460</v>
      </c>
      <c r="L79" s="33">
        <v>18080</v>
      </c>
      <c r="M79" s="33"/>
      <c r="N79" s="67">
        <f t="shared" si="1"/>
        <v>18380</v>
      </c>
      <c r="O79" s="68"/>
    </row>
    <row r="80" spans="1:15" ht="16.5" customHeight="1" x14ac:dyDescent="0.25">
      <c r="A80" s="12">
        <f t="shared" si="0"/>
        <v>77</v>
      </c>
      <c r="B80" s="51">
        <v>1</v>
      </c>
      <c r="C80" s="69">
        <v>46161</v>
      </c>
      <c r="D80" s="13" t="s">
        <v>34</v>
      </c>
      <c r="E80" s="13" t="s">
        <v>13</v>
      </c>
      <c r="F80" s="13" t="s">
        <v>18</v>
      </c>
      <c r="G80" s="13" t="s">
        <v>139</v>
      </c>
      <c r="H80" s="13" t="s">
        <v>140</v>
      </c>
      <c r="I80" s="13" t="s">
        <v>141</v>
      </c>
      <c r="J80" s="13" t="s">
        <v>71</v>
      </c>
      <c r="K80" s="16">
        <v>42040</v>
      </c>
      <c r="L80" s="16">
        <v>18940</v>
      </c>
      <c r="M80" s="16"/>
      <c r="N80" s="187">
        <f t="shared" ref="N80:N84" si="3">K80-L80-M80</f>
        <v>23100</v>
      </c>
      <c r="O80" s="63"/>
    </row>
    <row r="81" spans="1:15" ht="16.5" customHeight="1" x14ac:dyDescent="0.25">
      <c r="A81" s="20">
        <f t="shared" si="0"/>
        <v>78</v>
      </c>
      <c r="B81" s="52">
        <v>2</v>
      </c>
      <c r="C81" s="65">
        <v>46161</v>
      </c>
      <c r="D81" s="21" t="s">
        <v>34</v>
      </c>
      <c r="E81" s="21" t="s">
        <v>13</v>
      </c>
      <c r="F81" s="21" t="s">
        <v>18</v>
      </c>
      <c r="G81" s="21" t="s">
        <v>324</v>
      </c>
      <c r="H81" s="21"/>
      <c r="I81" s="21"/>
      <c r="J81" s="21" t="s">
        <v>71</v>
      </c>
      <c r="K81" s="24">
        <v>42320</v>
      </c>
      <c r="L81" s="24">
        <v>18600</v>
      </c>
      <c r="M81" s="24"/>
      <c r="N81" s="173">
        <f t="shared" si="3"/>
        <v>23720</v>
      </c>
      <c r="O81" s="64"/>
    </row>
    <row r="82" spans="1:15" ht="16.5" customHeight="1" x14ac:dyDescent="0.25">
      <c r="A82" s="20">
        <f t="shared" si="0"/>
        <v>79</v>
      </c>
      <c r="B82" s="52">
        <v>3</v>
      </c>
      <c r="C82" s="65">
        <v>46161</v>
      </c>
      <c r="D82" s="21" t="s">
        <v>34</v>
      </c>
      <c r="E82" s="21" t="s">
        <v>13</v>
      </c>
      <c r="F82" s="21" t="s">
        <v>18</v>
      </c>
      <c r="G82" s="21" t="s">
        <v>331</v>
      </c>
      <c r="H82" s="21"/>
      <c r="I82" s="21"/>
      <c r="J82" s="21" t="s">
        <v>20</v>
      </c>
      <c r="K82" s="24">
        <v>42180</v>
      </c>
      <c r="L82" s="24">
        <v>18740</v>
      </c>
      <c r="M82" s="24"/>
      <c r="N82" s="173">
        <f t="shared" si="3"/>
        <v>23440</v>
      </c>
      <c r="O82" s="64"/>
    </row>
    <row r="83" spans="1:15" ht="16.5" customHeight="1" x14ac:dyDescent="0.25">
      <c r="A83" s="20">
        <f t="shared" si="0"/>
        <v>80</v>
      </c>
      <c r="B83" s="52">
        <v>4</v>
      </c>
      <c r="C83" s="65">
        <v>46161</v>
      </c>
      <c r="D83" s="21" t="s">
        <v>34</v>
      </c>
      <c r="E83" s="21" t="s">
        <v>13</v>
      </c>
      <c r="F83" s="21" t="s">
        <v>18</v>
      </c>
      <c r="G83" s="21" t="s">
        <v>142</v>
      </c>
      <c r="H83" s="21" t="s">
        <v>143</v>
      </c>
      <c r="I83" s="21" t="s">
        <v>144</v>
      </c>
      <c r="J83" s="21" t="s">
        <v>71</v>
      </c>
      <c r="K83" s="24">
        <v>42660</v>
      </c>
      <c r="L83" s="24">
        <v>18800</v>
      </c>
      <c r="M83" s="24"/>
      <c r="N83" s="173">
        <f t="shared" si="3"/>
        <v>23860</v>
      </c>
      <c r="O83" s="64"/>
    </row>
    <row r="84" spans="1:15" ht="16.5" customHeight="1" x14ac:dyDescent="0.25">
      <c r="A84" s="20">
        <f t="shared" si="0"/>
        <v>81</v>
      </c>
      <c r="B84" s="52">
        <v>5</v>
      </c>
      <c r="C84" s="65">
        <v>46161</v>
      </c>
      <c r="D84" s="21" t="s">
        <v>34</v>
      </c>
      <c r="E84" s="21" t="s">
        <v>13</v>
      </c>
      <c r="F84" s="21" t="s">
        <v>18</v>
      </c>
      <c r="G84" s="21" t="s">
        <v>136</v>
      </c>
      <c r="H84" s="21" t="s">
        <v>137</v>
      </c>
      <c r="I84" s="21" t="s">
        <v>138</v>
      </c>
      <c r="J84" s="21" t="s">
        <v>20</v>
      </c>
      <c r="K84" s="24">
        <v>38560</v>
      </c>
      <c r="L84" s="24">
        <v>18100</v>
      </c>
      <c r="M84" s="24"/>
      <c r="N84" s="173">
        <f t="shared" si="3"/>
        <v>20460</v>
      </c>
      <c r="O84" s="64"/>
    </row>
    <row r="85" spans="1:15" ht="16.5" customHeight="1" x14ac:dyDescent="0.25">
      <c r="A85" s="20">
        <f t="shared" si="0"/>
        <v>82</v>
      </c>
      <c r="B85" s="52">
        <v>6</v>
      </c>
      <c r="C85" s="65">
        <v>46161</v>
      </c>
      <c r="D85" s="21" t="s">
        <v>34</v>
      </c>
      <c r="E85" s="21" t="s">
        <v>13</v>
      </c>
      <c r="F85" s="21" t="s">
        <v>18</v>
      </c>
      <c r="G85" s="21" t="s">
        <v>329</v>
      </c>
      <c r="H85" s="21" t="s">
        <v>330</v>
      </c>
      <c r="I85" s="21" t="s">
        <v>155</v>
      </c>
      <c r="J85" s="21" t="s">
        <v>376</v>
      </c>
      <c r="K85" s="24">
        <v>39520</v>
      </c>
      <c r="L85" s="24">
        <v>18520</v>
      </c>
      <c r="M85" s="24"/>
      <c r="N85" s="173">
        <f t="shared" si="1"/>
        <v>21000</v>
      </c>
      <c r="O85" s="64"/>
    </row>
    <row r="86" spans="1:15" ht="16.5" customHeight="1" x14ac:dyDescent="0.25">
      <c r="A86" s="20">
        <f t="shared" si="0"/>
        <v>83</v>
      </c>
      <c r="B86" s="52">
        <v>7</v>
      </c>
      <c r="C86" s="65">
        <v>46161</v>
      </c>
      <c r="D86" s="21" t="s">
        <v>34</v>
      </c>
      <c r="E86" s="21" t="s">
        <v>13</v>
      </c>
      <c r="F86" s="21" t="s">
        <v>18</v>
      </c>
      <c r="G86" s="21" t="s">
        <v>139</v>
      </c>
      <c r="H86" s="21" t="s">
        <v>140</v>
      </c>
      <c r="I86" s="21" t="s">
        <v>141</v>
      </c>
      <c r="J86" s="21" t="s">
        <v>71</v>
      </c>
      <c r="K86" s="24">
        <v>42600</v>
      </c>
      <c r="L86" s="24">
        <v>18940</v>
      </c>
      <c r="M86" s="24"/>
      <c r="N86" s="173">
        <f t="shared" si="1"/>
        <v>23660</v>
      </c>
      <c r="O86" s="64"/>
    </row>
    <row r="87" spans="1:15" ht="16.5" customHeight="1" x14ac:dyDescent="0.25">
      <c r="A87" s="20">
        <f t="shared" si="0"/>
        <v>84</v>
      </c>
      <c r="B87" s="52">
        <v>8</v>
      </c>
      <c r="C87" s="65">
        <v>46161</v>
      </c>
      <c r="D87" s="21" t="s">
        <v>34</v>
      </c>
      <c r="E87" s="21" t="s">
        <v>13</v>
      </c>
      <c r="F87" s="21" t="s">
        <v>18</v>
      </c>
      <c r="G87" s="21" t="s">
        <v>324</v>
      </c>
      <c r="H87" s="21"/>
      <c r="I87" s="21"/>
      <c r="J87" s="21" t="s">
        <v>71</v>
      </c>
      <c r="K87" s="24">
        <v>42620</v>
      </c>
      <c r="L87" s="24">
        <v>18760</v>
      </c>
      <c r="M87" s="24"/>
      <c r="N87" s="173">
        <f t="shared" si="1"/>
        <v>23860</v>
      </c>
      <c r="O87" s="64"/>
    </row>
    <row r="88" spans="1:15" ht="16.5" customHeight="1" x14ac:dyDescent="0.25">
      <c r="A88" s="20">
        <f t="shared" si="0"/>
        <v>85</v>
      </c>
      <c r="B88" s="52">
        <v>9</v>
      </c>
      <c r="C88" s="65">
        <v>46161</v>
      </c>
      <c r="D88" s="21" t="s">
        <v>34</v>
      </c>
      <c r="E88" s="21" t="s">
        <v>13</v>
      </c>
      <c r="F88" s="21" t="s">
        <v>18</v>
      </c>
      <c r="G88" s="21" t="s">
        <v>331</v>
      </c>
      <c r="H88" s="21"/>
      <c r="I88" s="21"/>
      <c r="J88" s="21" t="s">
        <v>20</v>
      </c>
      <c r="K88" s="24">
        <v>43100</v>
      </c>
      <c r="L88" s="24">
        <v>18860</v>
      </c>
      <c r="M88" s="24"/>
      <c r="N88" s="173">
        <f t="shared" si="1"/>
        <v>24240</v>
      </c>
      <c r="O88" s="64"/>
    </row>
    <row r="89" spans="1:15" ht="16.5" customHeight="1" x14ac:dyDescent="0.25">
      <c r="A89" s="20">
        <f t="shared" si="0"/>
        <v>86</v>
      </c>
      <c r="B89" s="52">
        <v>10</v>
      </c>
      <c r="C89" s="65">
        <v>46161</v>
      </c>
      <c r="D89" s="21" t="s">
        <v>34</v>
      </c>
      <c r="E89" s="21" t="s">
        <v>13</v>
      </c>
      <c r="F89" s="21" t="s">
        <v>18</v>
      </c>
      <c r="G89" s="21" t="s">
        <v>142</v>
      </c>
      <c r="H89" s="21" t="s">
        <v>143</v>
      </c>
      <c r="I89" s="21" t="s">
        <v>144</v>
      </c>
      <c r="J89" s="21" t="s">
        <v>71</v>
      </c>
      <c r="K89" s="24">
        <v>42520</v>
      </c>
      <c r="L89" s="24">
        <v>18800</v>
      </c>
      <c r="M89" s="24"/>
      <c r="N89" s="173">
        <f t="shared" si="1"/>
        <v>23720</v>
      </c>
      <c r="O89" s="64"/>
    </row>
    <row r="90" spans="1:15" ht="16.5" customHeight="1" x14ac:dyDescent="0.25">
      <c r="A90" s="20">
        <f t="shared" si="0"/>
        <v>87</v>
      </c>
      <c r="B90" s="52">
        <v>11</v>
      </c>
      <c r="C90" s="65">
        <v>46161</v>
      </c>
      <c r="D90" s="21" t="s">
        <v>34</v>
      </c>
      <c r="E90" s="21" t="s">
        <v>13</v>
      </c>
      <c r="F90" s="21" t="s">
        <v>44</v>
      </c>
      <c r="G90" s="21" t="s">
        <v>377</v>
      </c>
      <c r="H90" s="21"/>
      <c r="I90" s="21"/>
      <c r="J90" s="21" t="s">
        <v>48</v>
      </c>
      <c r="K90" s="24">
        <v>20920</v>
      </c>
      <c r="L90" s="24">
        <v>14820</v>
      </c>
      <c r="M90" s="24"/>
      <c r="N90" s="173">
        <f t="shared" si="1"/>
        <v>6100</v>
      </c>
      <c r="O90" s="64"/>
    </row>
    <row r="91" spans="1:15" ht="16.5" customHeight="1" x14ac:dyDescent="0.25">
      <c r="A91" s="20">
        <f t="shared" si="0"/>
        <v>88</v>
      </c>
      <c r="B91" s="52">
        <v>12</v>
      </c>
      <c r="C91" s="65">
        <v>46161</v>
      </c>
      <c r="D91" s="21" t="s">
        <v>34</v>
      </c>
      <c r="E91" s="21" t="s">
        <v>378</v>
      </c>
      <c r="F91" s="21" t="s">
        <v>164</v>
      </c>
      <c r="G91" s="21" t="s">
        <v>379</v>
      </c>
      <c r="H91" s="21"/>
      <c r="I91" s="21"/>
      <c r="J91" s="21" t="s">
        <v>380</v>
      </c>
      <c r="K91" s="24">
        <v>8000</v>
      </c>
      <c r="L91" s="24">
        <v>3940</v>
      </c>
      <c r="M91" s="24"/>
      <c r="N91" s="173">
        <f t="shared" si="1"/>
        <v>4060</v>
      </c>
      <c r="O91" s="64" t="s">
        <v>385</v>
      </c>
    </row>
    <row r="92" spans="1:15" ht="16.5" customHeight="1" x14ac:dyDescent="0.25">
      <c r="A92" s="20">
        <f t="shared" si="0"/>
        <v>89</v>
      </c>
      <c r="B92" s="52">
        <v>13</v>
      </c>
      <c r="C92" s="65">
        <v>46161</v>
      </c>
      <c r="D92" s="21" t="s">
        <v>34</v>
      </c>
      <c r="E92" s="21" t="s">
        <v>378</v>
      </c>
      <c r="F92" s="21" t="s">
        <v>44</v>
      </c>
      <c r="G92" s="21" t="s">
        <v>381</v>
      </c>
      <c r="H92" s="21"/>
      <c r="I92" s="21"/>
      <c r="J92" s="21" t="s">
        <v>380</v>
      </c>
      <c r="K92" s="24">
        <v>37620</v>
      </c>
      <c r="L92" s="24">
        <v>15660</v>
      </c>
      <c r="M92" s="24"/>
      <c r="N92" s="173">
        <f t="shared" si="1"/>
        <v>21960</v>
      </c>
      <c r="O92" s="64" t="s">
        <v>385</v>
      </c>
    </row>
    <row r="93" spans="1:15" ht="16.5" customHeight="1" x14ac:dyDescent="0.25">
      <c r="A93" s="20">
        <f t="shared" si="0"/>
        <v>90</v>
      </c>
      <c r="B93" s="52">
        <v>14</v>
      </c>
      <c r="C93" s="65">
        <v>46161</v>
      </c>
      <c r="D93" s="21" t="s">
        <v>34</v>
      </c>
      <c r="E93" s="21" t="s">
        <v>378</v>
      </c>
      <c r="F93" s="21" t="s">
        <v>164</v>
      </c>
      <c r="G93" s="21" t="s">
        <v>382</v>
      </c>
      <c r="H93" s="21"/>
      <c r="I93" s="21"/>
      <c r="J93" s="21" t="s">
        <v>380</v>
      </c>
      <c r="K93" s="24">
        <v>8920</v>
      </c>
      <c r="L93" s="24">
        <v>4360</v>
      </c>
      <c r="M93" s="24"/>
      <c r="N93" s="173">
        <f t="shared" si="1"/>
        <v>4560</v>
      </c>
      <c r="O93" s="64" t="s">
        <v>385</v>
      </c>
    </row>
    <row r="94" spans="1:15" ht="16.5" customHeight="1" x14ac:dyDescent="0.25">
      <c r="A94" s="20">
        <f t="shared" si="0"/>
        <v>91</v>
      </c>
      <c r="B94" s="52">
        <v>15</v>
      </c>
      <c r="C94" s="65">
        <v>46161</v>
      </c>
      <c r="D94" s="21" t="s">
        <v>34</v>
      </c>
      <c r="E94" s="21" t="s">
        <v>378</v>
      </c>
      <c r="F94" s="21" t="s">
        <v>164</v>
      </c>
      <c r="G94" s="21" t="s">
        <v>383</v>
      </c>
      <c r="H94" s="21"/>
      <c r="I94" s="21"/>
      <c r="J94" s="21" t="s">
        <v>380</v>
      </c>
      <c r="K94" s="24">
        <v>3800</v>
      </c>
      <c r="L94" s="24">
        <v>2180</v>
      </c>
      <c r="M94" s="24"/>
      <c r="N94" s="173">
        <f t="shared" si="1"/>
        <v>1620</v>
      </c>
      <c r="O94" s="64" t="s">
        <v>385</v>
      </c>
    </row>
    <row r="95" spans="1:15" ht="16.5" customHeight="1" x14ac:dyDescent="0.25">
      <c r="A95" s="29">
        <f t="shared" si="0"/>
        <v>92</v>
      </c>
      <c r="B95" s="79">
        <v>16</v>
      </c>
      <c r="C95" s="66">
        <v>46161</v>
      </c>
      <c r="D95" s="31" t="s">
        <v>34</v>
      </c>
      <c r="E95" s="31" t="s">
        <v>378</v>
      </c>
      <c r="F95" s="31" t="s">
        <v>44</v>
      </c>
      <c r="G95" s="31" t="s">
        <v>384</v>
      </c>
      <c r="H95" s="31"/>
      <c r="I95" s="31"/>
      <c r="J95" s="31" t="s">
        <v>380</v>
      </c>
      <c r="K95" s="33">
        <v>19360</v>
      </c>
      <c r="L95" s="33">
        <v>7440</v>
      </c>
      <c r="M95" s="33"/>
      <c r="N95" s="67">
        <f t="shared" si="1"/>
        <v>11920</v>
      </c>
      <c r="O95" s="68" t="s">
        <v>385</v>
      </c>
    </row>
    <row r="96" spans="1:15" ht="16.5" customHeight="1" x14ac:dyDescent="0.25">
      <c r="A96" s="12">
        <f t="shared" si="0"/>
        <v>93</v>
      </c>
      <c r="B96" s="51">
        <v>1</v>
      </c>
      <c r="C96" s="69">
        <v>46162</v>
      </c>
      <c r="D96" s="13" t="s">
        <v>34</v>
      </c>
      <c r="E96" s="13" t="s">
        <v>13</v>
      </c>
      <c r="F96" s="13" t="s">
        <v>18</v>
      </c>
      <c r="G96" s="13" t="s">
        <v>249</v>
      </c>
      <c r="H96" s="13"/>
      <c r="I96" s="13"/>
      <c r="J96" s="13" t="s">
        <v>71</v>
      </c>
      <c r="K96" s="16">
        <v>43540</v>
      </c>
      <c r="L96" s="16">
        <v>18520</v>
      </c>
      <c r="M96" s="16"/>
      <c r="N96" s="187">
        <f t="shared" si="1"/>
        <v>25020</v>
      </c>
      <c r="O96" s="63"/>
    </row>
    <row r="97" spans="1:15" ht="16.5" customHeight="1" x14ac:dyDescent="0.25">
      <c r="A97" s="20">
        <f t="shared" si="0"/>
        <v>94</v>
      </c>
      <c r="B97" s="52">
        <v>2</v>
      </c>
      <c r="C97" s="65">
        <v>46162</v>
      </c>
      <c r="D97" s="21" t="s">
        <v>34</v>
      </c>
      <c r="E97" s="21" t="s">
        <v>13</v>
      </c>
      <c r="F97" s="21" t="s">
        <v>18</v>
      </c>
      <c r="G97" s="21" t="s">
        <v>388</v>
      </c>
      <c r="H97" s="21" t="s">
        <v>389</v>
      </c>
      <c r="I97" s="21" t="s">
        <v>390</v>
      </c>
      <c r="J97" s="21" t="s">
        <v>20</v>
      </c>
      <c r="K97" s="24">
        <v>41460</v>
      </c>
      <c r="L97" s="24">
        <v>18400</v>
      </c>
      <c r="M97" s="24"/>
      <c r="N97" s="173">
        <f t="shared" si="1"/>
        <v>23060</v>
      </c>
      <c r="O97" s="64"/>
    </row>
    <row r="98" spans="1:15" ht="16.5" customHeight="1" x14ac:dyDescent="0.25">
      <c r="A98" s="20">
        <f t="shared" si="0"/>
        <v>95</v>
      </c>
      <c r="B98" s="52">
        <v>3</v>
      </c>
      <c r="C98" s="65">
        <v>46162</v>
      </c>
      <c r="D98" s="21" t="s">
        <v>34</v>
      </c>
      <c r="E98" s="21" t="s">
        <v>13</v>
      </c>
      <c r="F98" s="21" t="s">
        <v>18</v>
      </c>
      <c r="G98" s="21" t="s">
        <v>252</v>
      </c>
      <c r="H98" s="21"/>
      <c r="I98" s="21"/>
      <c r="J98" s="21" t="s">
        <v>20</v>
      </c>
      <c r="K98" s="24">
        <v>43180</v>
      </c>
      <c r="L98" s="24">
        <v>18100</v>
      </c>
      <c r="M98" s="24"/>
      <c r="N98" s="173">
        <f t="shared" si="1"/>
        <v>25080</v>
      </c>
      <c r="O98" s="64"/>
    </row>
    <row r="99" spans="1:15" ht="16.5" customHeight="1" x14ac:dyDescent="0.25">
      <c r="A99" s="20">
        <f t="shared" si="0"/>
        <v>96</v>
      </c>
      <c r="B99" s="52" t="s">
        <v>397</v>
      </c>
      <c r="C99" s="65">
        <v>46162</v>
      </c>
      <c r="D99" s="146" t="s">
        <v>34</v>
      </c>
      <c r="E99" s="146" t="s">
        <v>25</v>
      </c>
      <c r="F99" s="146" t="s">
        <v>44</v>
      </c>
      <c r="G99" s="146" t="s">
        <v>391</v>
      </c>
      <c r="H99" s="146" t="s">
        <v>392</v>
      </c>
      <c r="I99" s="146" t="s">
        <v>393</v>
      </c>
      <c r="J99" s="146" t="s">
        <v>78</v>
      </c>
      <c r="K99" s="149">
        <v>11560</v>
      </c>
      <c r="L99" s="149">
        <v>8640</v>
      </c>
      <c r="M99" s="149"/>
      <c r="N99" s="173">
        <f t="shared" si="1"/>
        <v>2920</v>
      </c>
      <c r="O99" s="174" t="s">
        <v>394</v>
      </c>
    </row>
    <row r="100" spans="1:15" ht="16.5" customHeight="1" x14ac:dyDescent="0.25">
      <c r="A100" s="20">
        <f t="shared" si="0"/>
        <v>97</v>
      </c>
      <c r="B100" s="52" t="s">
        <v>398</v>
      </c>
      <c r="C100" s="65">
        <v>46162</v>
      </c>
      <c r="D100" s="21" t="s">
        <v>34</v>
      </c>
      <c r="E100" s="21" t="s">
        <v>25</v>
      </c>
      <c r="F100" s="21" t="s">
        <v>44</v>
      </c>
      <c r="G100" s="21" t="s">
        <v>391</v>
      </c>
      <c r="H100" s="21" t="s">
        <v>392</v>
      </c>
      <c r="I100" s="21" t="s">
        <v>393</v>
      </c>
      <c r="J100" s="21" t="s">
        <v>42</v>
      </c>
      <c r="K100" s="24">
        <v>200</v>
      </c>
      <c r="L100" s="24"/>
      <c r="M100" s="24"/>
      <c r="N100" s="173">
        <f t="shared" ref="N100:N103" si="4">K100-L100-M100</f>
        <v>200</v>
      </c>
      <c r="O100" s="64" t="s">
        <v>395</v>
      </c>
    </row>
    <row r="101" spans="1:15" ht="16.5" customHeight="1" x14ac:dyDescent="0.25">
      <c r="A101" s="29">
        <f t="shared" si="0"/>
        <v>98</v>
      </c>
      <c r="B101" s="79" t="s">
        <v>399</v>
      </c>
      <c r="C101" s="66">
        <v>46162</v>
      </c>
      <c r="D101" s="31" t="s">
        <v>34</v>
      </c>
      <c r="E101" s="31" t="s">
        <v>25</v>
      </c>
      <c r="F101" s="31" t="s">
        <v>44</v>
      </c>
      <c r="G101" s="31" t="s">
        <v>391</v>
      </c>
      <c r="H101" s="31" t="s">
        <v>392</v>
      </c>
      <c r="I101" s="31" t="s">
        <v>393</v>
      </c>
      <c r="J101" s="31" t="s">
        <v>54</v>
      </c>
      <c r="K101" s="33">
        <v>12850</v>
      </c>
      <c r="L101" s="33">
        <v>11610</v>
      </c>
      <c r="M101" s="33">
        <v>500</v>
      </c>
      <c r="N101" s="67">
        <f t="shared" si="4"/>
        <v>740</v>
      </c>
      <c r="O101" s="68" t="s">
        <v>396</v>
      </c>
    </row>
    <row r="102" spans="1:15" ht="16.5" customHeight="1" x14ac:dyDescent="0.25">
      <c r="A102" s="12">
        <f t="shared" si="0"/>
        <v>99</v>
      </c>
      <c r="B102" s="51">
        <v>1</v>
      </c>
      <c r="C102" s="69">
        <v>46163</v>
      </c>
      <c r="D102" s="13" t="s">
        <v>34</v>
      </c>
      <c r="E102" s="13" t="s">
        <v>25</v>
      </c>
      <c r="F102" s="13" t="s">
        <v>26</v>
      </c>
      <c r="G102" s="13" t="s">
        <v>62</v>
      </c>
      <c r="H102" s="13" t="s">
        <v>28</v>
      </c>
      <c r="I102" s="13" t="s">
        <v>63</v>
      </c>
      <c r="J102" s="13" t="s">
        <v>30</v>
      </c>
      <c r="K102" s="16">
        <v>12370</v>
      </c>
      <c r="L102" s="16">
        <v>10100</v>
      </c>
      <c r="M102" s="16"/>
      <c r="N102" s="187">
        <f t="shared" si="4"/>
        <v>2270</v>
      </c>
      <c r="O102" s="63" t="s">
        <v>400</v>
      </c>
    </row>
    <row r="103" spans="1:15" ht="16.5" customHeight="1" x14ac:dyDescent="0.25">
      <c r="A103" s="20">
        <f t="shared" si="0"/>
        <v>100</v>
      </c>
      <c r="B103" s="171">
        <v>2</v>
      </c>
      <c r="C103" s="65">
        <v>46163</v>
      </c>
      <c r="D103" s="146" t="s">
        <v>34</v>
      </c>
      <c r="E103" s="146" t="s">
        <v>378</v>
      </c>
      <c r="F103" s="146" t="s">
        <v>164</v>
      </c>
      <c r="G103" s="146" t="s">
        <v>383</v>
      </c>
      <c r="H103" s="146"/>
      <c r="I103" s="146"/>
      <c r="J103" s="146" t="s">
        <v>380</v>
      </c>
      <c r="K103" s="149">
        <v>4440</v>
      </c>
      <c r="L103" s="149">
        <v>2180</v>
      </c>
      <c r="M103" s="149"/>
      <c r="N103" s="173">
        <f t="shared" si="4"/>
        <v>2260</v>
      </c>
      <c r="O103" s="174"/>
    </row>
    <row r="104" spans="1:15" ht="16.5" customHeight="1" x14ac:dyDescent="0.25">
      <c r="A104" s="20">
        <f t="shared" si="0"/>
        <v>101</v>
      </c>
      <c r="B104" s="52">
        <v>3</v>
      </c>
      <c r="C104" s="65">
        <v>46163</v>
      </c>
      <c r="D104" s="21" t="s">
        <v>34</v>
      </c>
      <c r="E104" s="21" t="s">
        <v>378</v>
      </c>
      <c r="F104" s="21" t="s">
        <v>44</v>
      </c>
      <c r="G104" s="21" t="s">
        <v>382</v>
      </c>
      <c r="H104" s="21"/>
      <c r="I104" s="21"/>
      <c r="J104" s="21" t="s">
        <v>380</v>
      </c>
      <c r="K104" s="24">
        <v>9820</v>
      </c>
      <c r="L104" s="24">
        <v>4260</v>
      </c>
      <c r="M104" s="24"/>
      <c r="N104" s="173">
        <f t="shared" ref="N104:N107" si="5">K104-L104-M104</f>
        <v>5560</v>
      </c>
      <c r="O104" s="64"/>
    </row>
    <row r="105" spans="1:15" ht="16.5" customHeight="1" x14ac:dyDescent="0.25">
      <c r="A105" s="20">
        <f t="shared" si="0"/>
        <v>102</v>
      </c>
      <c r="B105" s="171">
        <v>4</v>
      </c>
      <c r="C105" s="65">
        <v>46163</v>
      </c>
      <c r="D105" s="21" t="s">
        <v>34</v>
      </c>
      <c r="E105" s="21" t="s">
        <v>378</v>
      </c>
      <c r="F105" s="21" t="s">
        <v>44</v>
      </c>
      <c r="G105" s="21" t="s">
        <v>379</v>
      </c>
      <c r="H105" s="21"/>
      <c r="I105" s="21"/>
      <c r="J105" s="21" t="s">
        <v>380</v>
      </c>
      <c r="K105" s="24">
        <v>8440</v>
      </c>
      <c r="L105" s="24">
        <v>3960</v>
      </c>
      <c r="M105" s="24"/>
      <c r="N105" s="173">
        <f t="shared" si="5"/>
        <v>4480</v>
      </c>
      <c r="O105" s="64"/>
    </row>
    <row r="106" spans="1:15" ht="16.5" customHeight="1" x14ac:dyDescent="0.25">
      <c r="A106" s="20">
        <f t="shared" si="0"/>
        <v>103</v>
      </c>
      <c r="B106" s="52">
        <v>5</v>
      </c>
      <c r="C106" s="65">
        <v>46163</v>
      </c>
      <c r="D106" s="21" t="s">
        <v>34</v>
      </c>
      <c r="E106" s="21" t="s">
        <v>13</v>
      </c>
      <c r="F106" s="21" t="s">
        <v>18</v>
      </c>
      <c r="G106" s="21" t="s">
        <v>35</v>
      </c>
      <c r="H106" s="21" t="s">
        <v>36</v>
      </c>
      <c r="I106" s="21" t="s">
        <v>108</v>
      </c>
      <c r="J106" s="21" t="s">
        <v>54</v>
      </c>
      <c r="K106" s="24">
        <v>43480</v>
      </c>
      <c r="L106" s="24">
        <v>18940</v>
      </c>
      <c r="M106" s="24"/>
      <c r="N106" s="173">
        <f t="shared" si="5"/>
        <v>24540</v>
      </c>
      <c r="O106" s="64"/>
    </row>
    <row r="107" spans="1:15" ht="16.5" customHeight="1" x14ac:dyDescent="0.25">
      <c r="A107" s="29">
        <f t="shared" si="0"/>
        <v>104</v>
      </c>
      <c r="B107" s="79">
        <v>6</v>
      </c>
      <c r="C107" s="66">
        <v>46163</v>
      </c>
      <c r="D107" s="31" t="s">
        <v>34</v>
      </c>
      <c r="E107" s="31" t="s">
        <v>13</v>
      </c>
      <c r="F107" s="31" t="s">
        <v>18</v>
      </c>
      <c r="G107" s="31" t="s">
        <v>45</v>
      </c>
      <c r="H107" s="31" t="s">
        <v>46</v>
      </c>
      <c r="I107" s="31" t="s">
        <v>47</v>
      </c>
      <c r="J107" s="31" t="s">
        <v>20</v>
      </c>
      <c r="K107" s="33">
        <v>42260</v>
      </c>
      <c r="L107" s="33">
        <v>19340</v>
      </c>
      <c r="M107" s="33"/>
      <c r="N107" s="67">
        <f t="shared" si="5"/>
        <v>22920</v>
      </c>
      <c r="O107" s="68"/>
    </row>
    <row r="108" spans="1:15" ht="16.5" customHeight="1" x14ac:dyDescent="0.25">
      <c r="A108" s="12">
        <f t="shared" si="0"/>
        <v>105</v>
      </c>
      <c r="B108" s="51">
        <v>1</v>
      </c>
      <c r="C108" s="69">
        <v>46164</v>
      </c>
      <c r="D108" s="13" t="s">
        <v>34</v>
      </c>
      <c r="E108" s="13" t="s">
        <v>59</v>
      </c>
      <c r="F108" s="13" t="s">
        <v>67</v>
      </c>
      <c r="G108" s="13" t="s">
        <v>68</v>
      </c>
      <c r="H108" s="13"/>
      <c r="I108" s="13"/>
      <c r="J108" s="13" t="s">
        <v>83</v>
      </c>
      <c r="K108" s="16">
        <v>33160</v>
      </c>
      <c r="L108" s="16">
        <v>20720</v>
      </c>
      <c r="M108" s="16">
        <v>9</v>
      </c>
      <c r="N108" s="187">
        <f>K108-L108-M108</f>
        <v>12431</v>
      </c>
      <c r="O108" s="63" t="s">
        <v>406</v>
      </c>
    </row>
    <row r="109" spans="1:15" ht="16.5" customHeight="1" x14ac:dyDescent="0.25">
      <c r="A109" s="20">
        <f t="shared" si="0"/>
        <v>106</v>
      </c>
      <c r="B109" s="52">
        <v>2</v>
      </c>
      <c r="C109" s="65">
        <v>46164</v>
      </c>
      <c r="D109" s="21" t="s">
        <v>34</v>
      </c>
      <c r="E109" s="21" t="s">
        <v>13</v>
      </c>
      <c r="F109" s="21" t="s">
        <v>18</v>
      </c>
      <c r="G109" s="21" t="s">
        <v>407</v>
      </c>
      <c r="H109" s="21" t="s">
        <v>408</v>
      </c>
      <c r="I109" s="21" t="s">
        <v>409</v>
      </c>
      <c r="J109" s="21" t="s">
        <v>20</v>
      </c>
      <c r="K109" s="24">
        <v>42920</v>
      </c>
      <c r="L109" s="24">
        <v>18420</v>
      </c>
      <c r="M109" s="24"/>
      <c r="N109" s="173">
        <f>K109-L109</f>
        <v>24500</v>
      </c>
      <c r="O109" s="64"/>
    </row>
    <row r="110" spans="1:15" ht="16.5" customHeight="1" x14ac:dyDescent="0.25">
      <c r="A110" s="29">
        <f t="shared" si="0"/>
        <v>107</v>
      </c>
      <c r="B110" s="79">
        <v>3</v>
      </c>
      <c r="C110" s="66">
        <v>46164</v>
      </c>
      <c r="D110" s="31" t="s">
        <v>34</v>
      </c>
      <c r="E110" s="31" t="s">
        <v>13</v>
      </c>
      <c r="F110" s="31" t="s">
        <v>18</v>
      </c>
      <c r="G110" s="31" t="s">
        <v>35</v>
      </c>
      <c r="H110" s="31" t="s">
        <v>36</v>
      </c>
      <c r="I110" s="31" t="s">
        <v>108</v>
      </c>
      <c r="J110" s="31" t="s">
        <v>54</v>
      </c>
      <c r="K110" s="33">
        <v>43460</v>
      </c>
      <c r="L110" s="33">
        <v>18960</v>
      </c>
      <c r="M110" s="33"/>
      <c r="N110" s="67">
        <f t="shared" ref="N110" si="6">K110-L110</f>
        <v>24500</v>
      </c>
      <c r="O110" s="68"/>
    </row>
    <row r="111" spans="1:15" ht="16.5" customHeight="1" x14ac:dyDescent="0.25">
      <c r="A111" s="12">
        <f t="shared" si="0"/>
        <v>108</v>
      </c>
      <c r="B111" s="183">
        <v>1</v>
      </c>
      <c r="C111" s="184">
        <v>46169</v>
      </c>
      <c r="D111" s="13" t="s">
        <v>34</v>
      </c>
      <c r="E111" s="185" t="s">
        <v>225</v>
      </c>
      <c r="F111" s="185" t="s">
        <v>425</v>
      </c>
      <c r="G111" s="185" t="s">
        <v>426</v>
      </c>
      <c r="H111" s="185"/>
      <c r="I111" s="185"/>
      <c r="J111" s="185" t="s">
        <v>30</v>
      </c>
      <c r="K111" s="186">
        <v>20680</v>
      </c>
      <c r="L111" s="186">
        <v>11740</v>
      </c>
      <c r="M111" s="186">
        <f>1040*3</f>
        <v>3120</v>
      </c>
      <c r="N111" s="187">
        <f>K111-L111-M111</f>
        <v>5820</v>
      </c>
      <c r="O111" s="188" t="s">
        <v>427</v>
      </c>
    </row>
    <row r="112" spans="1:15" ht="16.5" customHeight="1" x14ac:dyDescent="0.25">
      <c r="A112" s="20">
        <f t="shared" si="0"/>
        <v>109</v>
      </c>
      <c r="B112" s="171"/>
      <c r="C112" s="172"/>
      <c r="D112" s="146"/>
      <c r="E112" s="146"/>
      <c r="F112" s="146"/>
      <c r="G112" s="146"/>
      <c r="H112" s="146"/>
      <c r="I112" s="146"/>
      <c r="J112" s="146"/>
      <c r="K112" s="149"/>
      <c r="L112" s="149"/>
      <c r="M112" s="149"/>
      <c r="N112" s="173">
        <f t="shared" si="1"/>
        <v>0</v>
      </c>
      <c r="O112" s="174"/>
    </row>
    <row r="113" spans="1:15" ht="27" x14ac:dyDescent="0.25">
      <c r="A113" s="29">
        <f t="shared" si="0"/>
        <v>110</v>
      </c>
      <c r="B113" s="31"/>
      <c r="C113" s="66"/>
      <c r="D113" s="31"/>
      <c r="E113" s="31"/>
      <c r="F113" s="31"/>
      <c r="G113" s="31"/>
      <c r="H113" s="31"/>
      <c r="I113" s="31"/>
      <c r="J113" s="31"/>
      <c r="K113" s="33"/>
      <c r="L113" s="33"/>
      <c r="M113" s="33"/>
      <c r="N113" s="67"/>
      <c r="O113" s="80" t="s">
        <v>413</v>
      </c>
    </row>
    <row r="115" spans="1:15" ht="16.5" customHeight="1" x14ac:dyDescent="0.25">
      <c r="C115" s="450" t="s">
        <v>595</v>
      </c>
    </row>
    <row r="117" spans="1:15" ht="21.6" customHeight="1" x14ac:dyDescent="0.25">
      <c r="C117" s="447" t="s">
        <v>7</v>
      </c>
      <c r="D117" s="448" t="s">
        <v>592</v>
      </c>
      <c r="E117" s="448"/>
      <c r="F117" s="477" t="s">
        <v>605</v>
      </c>
      <c r="G117" s="478" t="s">
        <v>606</v>
      </c>
      <c r="H117" s="479" t="s">
        <v>604</v>
      </c>
      <c r="O117" s="19"/>
    </row>
    <row r="118" spans="1:15" ht="15" x14ac:dyDescent="0.25">
      <c r="C118" s="446" t="s">
        <v>58</v>
      </c>
      <c r="D118" s="449">
        <v>4980</v>
      </c>
      <c r="E118"/>
      <c r="F118" s="470" t="s">
        <v>257</v>
      </c>
      <c r="G118" s="483">
        <f>SUM(D120:D126)</f>
        <v>1459940</v>
      </c>
      <c r="H118" s="472">
        <f>$G118/GETPIVOTDATA("입고량(kg)",$C$117)</f>
        <v>0.87554146368962338</v>
      </c>
    </row>
    <row r="119" spans="1:15" ht="15" x14ac:dyDescent="0.25">
      <c r="C119" s="446" t="s">
        <v>83</v>
      </c>
      <c r="D119" s="449">
        <v>12431</v>
      </c>
      <c r="E119"/>
      <c r="F119" s="473" t="s">
        <v>603</v>
      </c>
      <c r="G119" s="484">
        <f>SUM(D118:D119)</f>
        <v>17411</v>
      </c>
      <c r="H119" s="472">
        <f t="shared" ref="H119:H121" si="7">$G119/GETPIVOTDATA("입고량(kg)",$C$117)</f>
        <v>1.0441560902708353E-2</v>
      </c>
    </row>
    <row r="120" spans="1:15" ht="15" x14ac:dyDescent="0.25">
      <c r="C120" s="456" t="s">
        <v>376</v>
      </c>
      <c r="D120" s="457">
        <v>21000</v>
      </c>
      <c r="E120"/>
      <c r="F120" s="473" t="s">
        <v>227</v>
      </c>
      <c r="G120" s="484">
        <f>SUM(D127,D128:D139,D156)</f>
        <v>190120</v>
      </c>
      <c r="H120" s="472">
        <f t="shared" si="7"/>
        <v>0.11401697540766825</v>
      </c>
    </row>
    <row r="121" spans="1:15" ht="15" x14ac:dyDescent="0.25">
      <c r="C121" s="456" t="s">
        <v>37</v>
      </c>
      <c r="D121" s="457">
        <v>3400</v>
      </c>
      <c r="E121"/>
      <c r="F121" s="480" t="s">
        <v>621</v>
      </c>
      <c r="G121" s="481">
        <f ca="1">SUM(G118:G121)</f>
        <v>1667471</v>
      </c>
      <c r="H121" s="482">
        <f>SUM(H118:H120)</f>
        <v>1</v>
      </c>
    </row>
    <row r="122" spans="1:15" ht="15" x14ac:dyDescent="0.25">
      <c r="C122" s="456" t="s">
        <v>176</v>
      </c>
      <c r="D122" s="457">
        <v>3800</v>
      </c>
      <c r="E122"/>
    </row>
    <row r="123" spans="1:15" ht="15" x14ac:dyDescent="0.25">
      <c r="C123" s="456" t="s">
        <v>187</v>
      </c>
      <c r="D123" s="457">
        <v>120140</v>
      </c>
      <c r="E123"/>
    </row>
    <row r="124" spans="1:15" ht="15" x14ac:dyDescent="0.25">
      <c r="C124" s="456" t="s">
        <v>48</v>
      </c>
      <c r="D124" s="457">
        <v>6100</v>
      </c>
      <c r="E124"/>
    </row>
    <row r="125" spans="1:15" ht="15" x14ac:dyDescent="0.25">
      <c r="C125" s="456" t="s">
        <v>71</v>
      </c>
      <c r="D125" s="457">
        <v>976340</v>
      </c>
      <c r="E125"/>
    </row>
    <row r="126" spans="1:15" ht="15" x14ac:dyDescent="0.25">
      <c r="C126" s="458" t="s">
        <v>20</v>
      </c>
      <c r="D126" s="459">
        <v>329160</v>
      </c>
      <c r="E126"/>
    </row>
    <row r="127" spans="1:15" ht="15" x14ac:dyDescent="0.25">
      <c r="C127" s="446" t="s">
        <v>350</v>
      </c>
      <c r="D127" s="449">
        <v>1200</v>
      </c>
      <c r="E127"/>
    </row>
    <row r="128" spans="1:15" ht="15" x14ac:dyDescent="0.25">
      <c r="C128" s="446" t="s">
        <v>57</v>
      </c>
      <c r="D128" s="449">
        <v>19430</v>
      </c>
      <c r="E128"/>
    </row>
    <row r="129" spans="3:5" ht="15" x14ac:dyDescent="0.25">
      <c r="C129" s="446" t="s">
        <v>380</v>
      </c>
      <c r="D129" s="449">
        <v>56420</v>
      </c>
      <c r="E129"/>
    </row>
    <row r="130" spans="3:5" ht="15" x14ac:dyDescent="0.25">
      <c r="C130" s="446" t="s">
        <v>61</v>
      </c>
      <c r="D130" s="449">
        <v>180</v>
      </c>
      <c r="E130"/>
    </row>
    <row r="131" spans="3:5" ht="15" x14ac:dyDescent="0.25">
      <c r="C131" s="446" t="s">
        <v>30</v>
      </c>
      <c r="D131" s="449">
        <v>12260</v>
      </c>
      <c r="E131"/>
    </row>
    <row r="132" spans="3:5" ht="15" x14ac:dyDescent="0.25">
      <c r="C132" s="446" t="s">
        <v>82</v>
      </c>
      <c r="D132" s="449">
        <v>300</v>
      </c>
      <c r="E132"/>
    </row>
    <row r="133" spans="3:5" ht="15" x14ac:dyDescent="0.25">
      <c r="C133" s="446" t="s">
        <v>31</v>
      </c>
      <c r="D133" s="449">
        <v>230</v>
      </c>
      <c r="E133"/>
    </row>
    <row r="134" spans="3:5" ht="15" x14ac:dyDescent="0.25">
      <c r="C134" s="446" t="s">
        <v>54</v>
      </c>
      <c r="D134" s="449">
        <v>58970</v>
      </c>
      <c r="E134"/>
    </row>
    <row r="135" spans="3:5" ht="15" x14ac:dyDescent="0.25">
      <c r="C135" s="446" t="s">
        <v>32</v>
      </c>
      <c r="D135" s="449">
        <v>3780</v>
      </c>
    </row>
    <row r="136" spans="3:5" ht="15" x14ac:dyDescent="0.25">
      <c r="C136" s="446" t="s">
        <v>166</v>
      </c>
      <c r="D136" s="449">
        <v>2230</v>
      </c>
    </row>
    <row r="137" spans="3:5" ht="15" x14ac:dyDescent="0.25">
      <c r="C137" s="446" t="s">
        <v>265</v>
      </c>
      <c r="D137" s="449">
        <v>1130</v>
      </c>
    </row>
    <row r="138" spans="3:5" ht="15" x14ac:dyDescent="0.25">
      <c r="C138" s="446" t="s">
        <v>78</v>
      </c>
      <c r="D138" s="449">
        <v>33700</v>
      </c>
    </row>
    <row r="139" spans="3:5" ht="15" x14ac:dyDescent="0.25">
      <c r="C139" s="446" t="s">
        <v>42</v>
      </c>
      <c r="D139" s="449">
        <v>290</v>
      </c>
    </row>
    <row r="140" spans="3:5" ht="15" x14ac:dyDescent="0.25">
      <c r="C140" s="453" t="s">
        <v>588</v>
      </c>
      <c r="D140" s="454">
        <v>1667471</v>
      </c>
    </row>
    <row r="141" spans="3:5" ht="15" x14ac:dyDescent="0.25">
      <c r="C141"/>
      <c r="D141"/>
    </row>
    <row r="142" spans="3:5" ht="15" x14ac:dyDescent="0.25">
      <c r="C142"/>
      <c r="D142"/>
    </row>
    <row r="143" spans="3:5" ht="15" x14ac:dyDescent="0.25">
      <c r="C143"/>
      <c r="D143"/>
    </row>
    <row r="144" spans="3:5" ht="15" x14ac:dyDescent="0.25">
      <c r="C144"/>
      <c r="D144"/>
    </row>
    <row r="145" spans="3:15" ht="15" x14ac:dyDescent="0.25">
      <c r="C145"/>
      <c r="D145"/>
    </row>
    <row r="146" spans="3:15" ht="15" x14ac:dyDescent="0.25">
      <c r="C146"/>
      <c r="D146"/>
    </row>
    <row r="147" spans="3:15" ht="15" x14ac:dyDescent="0.25">
      <c r="C147"/>
      <c r="D147"/>
    </row>
    <row r="148" spans="3:15" ht="15" x14ac:dyDescent="0.25">
      <c r="C148"/>
      <c r="D148"/>
    </row>
    <row r="149" spans="3:15" ht="15" x14ac:dyDescent="0.25">
      <c r="C149"/>
      <c r="D149"/>
    </row>
    <row r="150" spans="3:15" ht="15" x14ac:dyDescent="0.25">
      <c r="C150"/>
      <c r="D150"/>
    </row>
    <row r="151" spans="3:15" ht="15" x14ac:dyDescent="0.25">
      <c r="C151"/>
      <c r="D151"/>
    </row>
    <row r="152" spans="3:15" ht="15" x14ac:dyDescent="0.25">
      <c r="C152"/>
      <c r="D152"/>
    </row>
    <row r="153" spans="3:15" ht="15" x14ac:dyDescent="0.25">
      <c r="C153"/>
      <c r="D153"/>
    </row>
    <row r="154" spans="3:15" ht="15" x14ac:dyDescent="0.25">
      <c r="C154"/>
      <c r="D154"/>
    </row>
    <row r="155" spans="3:15" ht="15" x14ac:dyDescent="0.25">
      <c r="C155"/>
      <c r="D155"/>
    </row>
    <row r="156" spans="3:15" ht="15" x14ac:dyDescent="0.25">
      <c r="C156"/>
      <c r="D156"/>
    </row>
    <row r="157" spans="3:15" ht="15" hidden="1" x14ac:dyDescent="0.25">
      <c r="C157"/>
      <c r="D157"/>
    </row>
    <row r="158" spans="3:15" ht="21.6" customHeight="1" x14ac:dyDescent="0.25">
      <c r="C158"/>
      <c r="D158"/>
      <c r="O158" s="19"/>
    </row>
  </sheetData>
  <autoFilter ref="A3:O113" xr:uid="{8A071767-22A1-43F0-9902-541C70DB4EAB}"/>
  <mergeCells count="1">
    <mergeCell ref="A1:O1"/>
  </mergeCells>
  <phoneticPr fontId="5" type="noConversion"/>
  <conditionalFormatting sqref="H118:H121">
    <cfRule type="dataBar" priority="8">
      <dataBar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{004A9A14-2236-4D84-BFA5-B3346EB63E45}</x14:id>
        </ext>
      </extLst>
    </cfRule>
  </conditionalFormatting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4A9A14-2236-4D84-BFA5-B3346EB63E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H118:H121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F4A3-8F51-45D2-90CD-4CAD5448B0AE}">
  <sheetPr>
    <tabColor theme="0"/>
  </sheetPr>
  <dimension ref="A1:T21"/>
  <sheetViews>
    <sheetView zoomScaleNormal="100" workbookViewId="0">
      <pane ySplit="3" topLeftCell="A4" activePane="bottomLeft" state="frozen"/>
      <selection sqref="A1:XFD1048576"/>
      <selection pane="bottomLeft" activeCell="I28" sqref="I28"/>
    </sheetView>
  </sheetViews>
  <sheetFormatPr defaultColWidth="9.140625" defaultRowHeight="16.5" customHeight="1" x14ac:dyDescent="0.25"/>
  <cols>
    <col min="1" max="2" width="6.42578125" style="27" customWidth="1"/>
    <col min="3" max="3" width="16.7109375" style="37" customWidth="1"/>
    <col min="4" max="4" width="23.7109375" style="27" customWidth="1"/>
    <col min="5" max="9" width="16.7109375" style="27" customWidth="1"/>
    <col min="10" max="10" width="22.85546875" style="27" customWidth="1"/>
    <col min="11" max="13" width="16.7109375" style="38" customWidth="1"/>
    <col min="14" max="14" width="16.140625" style="38" customWidth="1"/>
    <col min="15" max="15" width="28.7109375" style="27" customWidth="1"/>
    <col min="16" max="16384" width="9.140625" style="27"/>
  </cols>
  <sheetData>
    <row r="1" spans="1:20" s="2" customFormat="1" ht="36.75" customHeight="1" x14ac:dyDescent="0.5">
      <c r="A1" s="563" t="s">
        <v>195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1"/>
      <c r="Q1" s="1"/>
      <c r="R1" s="1"/>
      <c r="S1" s="1"/>
      <c r="T1" s="1"/>
    </row>
    <row r="2" spans="1:20" s="3" customFormat="1" ht="14.25" thickBot="1" x14ac:dyDescent="0.3">
      <c r="C2" s="4"/>
      <c r="M2" s="5">
        <f>SUBTOTAL(9,M4:M570)</f>
        <v>0</v>
      </c>
      <c r="N2" s="6">
        <f>SUBTOTAL(9,N4:N570)</f>
        <v>0</v>
      </c>
    </row>
    <row r="3" spans="1:20" s="11" customFormat="1" ht="30.75" customHeight="1" thickBot="1" x14ac:dyDescent="0.35">
      <c r="A3" s="39" t="s">
        <v>87</v>
      </c>
      <c r="B3" s="40" t="s">
        <v>86</v>
      </c>
      <c r="C3" s="40" t="s">
        <v>0</v>
      </c>
      <c r="D3" s="41" t="s">
        <v>1</v>
      </c>
      <c r="E3" s="41" t="s">
        <v>2</v>
      </c>
      <c r="F3" s="41" t="s">
        <v>3</v>
      </c>
      <c r="G3" s="41" t="s">
        <v>4</v>
      </c>
      <c r="H3" s="41" t="s">
        <v>5</v>
      </c>
      <c r="I3" s="41" t="s">
        <v>6</v>
      </c>
      <c r="J3" s="40" t="s">
        <v>7</v>
      </c>
      <c r="K3" s="41" t="s">
        <v>8</v>
      </c>
      <c r="L3" s="41" t="s">
        <v>9</v>
      </c>
      <c r="M3" s="41" t="s">
        <v>10</v>
      </c>
      <c r="N3" s="40" t="s">
        <v>11</v>
      </c>
      <c r="O3" s="42" t="s">
        <v>12</v>
      </c>
    </row>
    <row r="4" spans="1:20" s="19" customFormat="1" ht="16.5" customHeight="1" x14ac:dyDescent="0.25">
      <c r="A4" s="12">
        <f>ROW()-3</f>
        <v>1</v>
      </c>
      <c r="B4" s="13">
        <v>1</v>
      </c>
      <c r="C4" s="14"/>
      <c r="D4" s="13"/>
      <c r="E4" s="13"/>
      <c r="F4" s="13"/>
      <c r="G4" s="13"/>
      <c r="H4" s="13"/>
      <c r="I4" s="13"/>
      <c r="J4" s="15"/>
      <c r="K4" s="16"/>
      <c r="L4" s="16"/>
      <c r="M4" s="16"/>
      <c r="N4" s="43"/>
      <c r="O4" s="44"/>
    </row>
    <row r="5" spans="1:20" s="19" customFormat="1" ht="13.5" x14ac:dyDescent="0.25">
      <c r="A5" s="20">
        <f t="shared" ref="A5:A20" si="0">ROW()-3</f>
        <v>2</v>
      </c>
      <c r="B5" s="21">
        <v>1</v>
      </c>
      <c r="C5" s="22"/>
      <c r="D5" s="21"/>
      <c r="E5" s="21"/>
      <c r="F5" s="21"/>
      <c r="G5" s="21"/>
      <c r="H5" s="21"/>
      <c r="I5" s="21"/>
      <c r="J5" s="23"/>
      <c r="K5" s="24"/>
      <c r="L5" s="24"/>
      <c r="M5" s="24"/>
      <c r="N5" s="45"/>
      <c r="O5" s="46"/>
    </row>
    <row r="6" spans="1:20" s="19" customFormat="1" ht="16.5" customHeight="1" x14ac:dyDescent="0.25">
      <c r="A6" s="20">
        <f t="shared" si="0"/>
        <v>3</v>
      </c>
      <c r="B6" s="21"/>
      <c r="C6" s="22"/>
      <c r="D6" s="21"/>
      <c r="E6" s="21"/>
      <c r="F6" s="21"/>
      <c r="G6" s="21"/>
      <c r="H6" s="21"/>
      <c r="I6" s="21"/>
      <c r="J6" s="23"/>
      <c r="K6" s="24"/>
      <c r="L6" s="24"/>
      <c r="M6" s="24"/>
      <c r="N6" s="45">
        <f t="shared" ref="N6:N20" si="1">K6-L6-M6</f>
        <v>0</v>
      </c>
      <c r="O6" s="47"/>
    </row>
    <row r="7" spans="1:20" s="19" customFormat="1" ht="16.5" customHeight="1" x14ac:dyDescent="0.25">
      <c r="A7" s="20">
        <f t="shared" si="0"/>
        <v>4</v>
      </c>
      <c r="B7" s="21"/>
      <c r="C7" s="22"/>
      <c r="D7" s="21"/>
      <c r="E7" s="21"/>
      <c r="F7" s="21"/>
      <c r="G7" s="21"/>
      <c r="H7" s="21"/>
      <c r="I7" s="21"/>
      <c r="J7" s="23"/>
      <c r="K7" s="24"/>
      <c r="L7" s="24"/>
      <c r="M7" s="24"/>
      <c r="N7" s="45">
        <f t="shared" si="1"/>
        <v>0</v>
      </c>
      <c r="O7" s="47"/>
    </row>
    <row r="8" spans="1:20" s="19" customFormat="1" ht="16.5" customHeight="1" x14ac:dyDescent="0.25">
      <c r="A8" s="20">
        <f t="shared" si="0"/>
        <v>5</v>
      </c>
      <c r="B8" s="21"/>
      <c r="C8" s="22"/>
      <c r="D8" s="21"/>
      <c r="E8" s="21"/>
      <c r="F8" s="21"/>
      <c r="G8" s="21"/>
      <c r="H8" s="21"/>
      <c r="I8" s="21"/>
      <c r="J8" s="23"/>
      <c r="K8" s="24"/>
      <c r="L8" s="24"/>
      <c r="M8" s="24"/>
      <c r="N8" s="45">
        <f t="shared" si="1"/>
        <v>0</v>
      </c>
      <c r="O8" s="47"/>
    </row>
    <row r="9" spans="1:20" s="19" customFormat="1" ht="16.5" customHeight="1" x14ac:dyDescent="0.25">
      <c r="A9" s="20">
        <f t="shared" si="0"/>
        <v>6</v>
      </c>
      <c r="B9" s="21"/>
      <c r="C9" s="22"/>
      <c r="D9" s="21"/>
      <c r="E9" s="21"/>
      <c r="F9" s="21"/>
      <c r="G9" s="21"/>
      <c r="H9" s="21"/>
      <c r="I9" s="21"/>
      <c r="J9" s="23"/>
      <c r="K9" s="24"/>
      <c r="L9" s="24"/>
      <c r="M9" s="24"/>
      <c r="N9" s="45">
        <f t="shared" si="1"/>
        <v>0</v>
      </c>
      <c r="O9" s="47"/>
    </row>
    <row r="10" spans="1:20" s="19" customFormat="1" ht="16.5" customHeight="1" x14ac:dyDescent="0.25">
      <c r="A10" s="20">
        <f t="shared" si="0"/>
        <v>7</v>
      </c>
      <c r="B10" s="21"/>
      <c r="C10" s="22"/>
      <c r="D10" s="21"/>
      <c r="E10" s="21"/>
      <c r="F10" s="21"/>
      <c r="G10" s="21"/>
      <c r="H10" s="21"/>
      <c r="I10" s="21"/>
      <c r="J10" s="23"/>
      <c r="K10" s="24"/>
      <c r="L10" s="24"/>
      <c r="M10" s="24"/>
      <c r="N10" s="45">
        <f t="shared" si="1"/>
        <v>0</v>
      </c>
      <c r="O10" s="47"/>
    </row>
    <row r="11" spans="1:20" s="19" customFormat="1" ht="16.5" customHeight="1" x14ac:dyDescent="0.25">
      <c r="A11" s="20">
        <f t="shared" si="0"/>
        <v>8</v>
      </c>
      <c r="B11" s="21"/>
      <c r="C11" s="22"/>
      <c r="D11" s="21"/>
      <c r="E11" s="21"/>
      <c r="F11" s="21"/>
      <c r="G11" s="21"/>
      <c r="H11" s="21"/>
      <c r="I11" s="21"/>
      <c r="J11" s="23"/>
      <c r="K11" s="24"/>
      <c r="L11" s="24"/>
      <c r="M11" s="24"/>
      <c r="N11" s="45">
        <f t="shared" si="1"/>
        <v>0</v>
      </c>
      <c r="O11" s="47"/>
    </row>
    <row r="12" spans="1:20" s="19" customFormat="1" ht="16.5" customHeight="1" x14ac:dyDescent="0.25">
      <c r="A12" s="20">
        <f t="shared" si="0"/>
        <v>9</v>
      </c>
      <c r="B12" s="21"/>
      <c r="C12" s="22"/>
      <c r="D12" s="21"/>
      <c r="E12" s="21"/>
      <c r="F12" s="21"/>
      <c r="G12" s="21"/>
      <c r="H12" s="21"/>
      <c r="I12" s="21"/>
      <c r="J12" s="23"/>
      <c r="K12" s="24"/>
      <c r="L12" s="24"/>
      <c r="M12" s="24"/>
      <c r="N12" s="45">
        <f t="shared" si="1"/>
        <v>0</v>
      </c>
      <c r="O12" s="47"/>
    </row>
    <row r="13" spans="1:20" s="19" customFormat="1" ht="16.5" customHeight="1" x14ac:dyDescent="0.25">
      <c r="A13" s="20">
        <f t="shared" si="0"/>
        <v>10</v>
      </c>
      <c r="B13" s="21"/>
      <c r="C13" s="22"/>
      <c r="D13" s="21"/>
      <c r="E13" s="21"/>
      <c r="F13" s="21"/>
      <c r="G13" s="21"/>
      <c r="H13" s="21"/>
      <c r="I13" s="21"/>
      <c r="J13" s="23"/>
      <c r="K13" s="24"/>
      <c r="L13" s="24"/>
      <c r="M13" s="24"/>
      <c r="N13" s="45">
        <f t="shared" si="1"/>
        <v>0</v>
      </c>
      <c r="O13" s="47"/>
    </row>
    <row r="14" spans="1:20" s="19" customFormat="1" ht="16.5" customHeight="1" x14ac:dyDescent="0.25">
      <c r="A14" s="20">
        <f t="shared" si="0"/>
        <v>11</v>
      </c>
      <c r="B14" s="21"/>
      <c r="C14" s="22"/>
      <c r="D14" s="21"/>
      <c r="E14" s="21"/>
      <c r="F14" s="21"/>
      <c r="G14" s="21"/>
      <c r="H14" s="21"/>
      <c r="I14" s="21"/>
      <c r="J14" s="23"/>
      <c r="K14" s="24"/>
      <c r="L14" s="24"/>
      <c r="M14" s="24"/>
      <c r="N14" s="45">
        <f t="shared" si="1"/>
        <v>0</v>
      </c>
      <c r="O14" s="47"/>
    </row>
    <row r="15" spans="1:20" s="19" customFormat="1" ht="16.5" customHeight="1" x14ac:dyDescent="0.25">
      <c r="A15" s="20">
        <f t="shared" si="0"/>
        <v>12</v>
      </c>
      <c r="B15" s="21"/>
      <c r="C15" s="22"/>
      <c r="D15" s="21"/>
      <c r="E15" s="21"/>
      <c r="F15" s="21"/>
      <c r="G15" s="21"/>
      <c r="H15" s="21"/>
      <c r="I15" s="21"/>
      <c r="J15" s="23"/>
      <c r="K15" s="24"/>
      <c r="L15" s="24"/>
      <c r="M15" s="24"/>
      <c r="N15" s="45">
        <f t="shared" si="1"/>
        <v>0</v>
      </c>
      <c r="O15" s="47"/>
    </row>
    <row r="16" spans="1:20" s="19" customFormat="1" ht="16.5" customHeight="1" x14ac:dyDescent="0.25">
      <c r="A16" s="20">
        <f t="shared" si="0"/>
        <v>13</v>
      </c>
      <c r="B16" s="21"/>
      <c r="C16" s="22"/>
      <c r="D16" s="21"/>
      <c r="E16" s="21"/>
      <c r="F16" s="21"/>
      <c r="G16" s="21"/>
      <c r="H16" s="21"/>
      <c r="I16" s="21"/>
      <c r="J16" s="23"/>
      <c r="K16" s="24"/>
      <c r="L16" s="24"/>
      <c r="M16" s="24"/>
      <c r="N16" s="45">
        <f t="shared" si="1"/>
        <v>0</v>
      </c>
      <c r="O16" s="47"/>
    </row>
    <row r="17" spans="1:15" s="19" customFormat="1" ht="16.5" customHeight="1" x14ac:dyDescent="0.25">
      <c r="A17" s="20">
        <f t="shared" si="0"/>
        <v>14</v>
      </c>
      <c r="B17" s="21"/>
      <c r="C17" s="22"/>
      <c r="D17" s="21"/>
      <c r="E17" s="21"/>
      <c r="F17" s="21"/>
      <c r="G17" s="21"/>
      <c r="H17" s="21"/>
      <c r="I17" s="21"/>
      <c r="J17" s="23"/>
      <c r="K17" s="24"/>
      <c r="L17" s="24"/>
      <c r="M17" s="24"/>
      <c r="N17" s="45">
        <f t="shared" si="1"/>
        <v>0</v>
      </c>
      <c r="O17" s="47"/>
    </row>
    <row r="18" spans="1:15" s="19" customFormat="1" ht="16.5" customHeight="1" x14ac:dyDescent="0.25">
      <c r="A18" s="20">
        <f t="shared" si="0"/>
        <v>15</v>
      </c>
      <c r="B18" s="21"/>
      <c r="C18" s="22"/>
      <c r="D18" s="21"/>
      <c r="E18" s="21"/>
      <c r="F18" s="21"/>
      <c r="G18" s="21"/>
      <c r="H18" s="21"/>
      <c r="I18" s="21"/>
      <c r="J18" s="23"/>
      <c r="K18" s="24"/>
      <c r="L18" s="24"/>
      <c r="M18" s="24"/>
      <c r="N18" s="45">
        <f t="shared" si="1"/>
        <v>0</v>
      </c>
      <c r="O18" s="47"/>
    </row>
    <row r="19" spans="1:15" s="19" customFormat="1" ht="16.5" customHeight="1" x14ac:dyDescent="0.25">
      <c r="A19" s="20">
        <f t="shared" si="0"/>
        <v>16</v>
      </c>
      <c r="B19" s="21"/>
      <c r="C19" s="22"/>
      <c r="D19" s="21"/>
      <c r="E19" s="21"/>
      <c r="F19" s="21"/>
      <c r="G19" s="21"/>
      <c r="H19" s="21"/>
      <c r="I19" s="21"/>
      <c r="J19" s="23"/>
      <c r="K19" s="24"/>
      <c r="L19" s="24"/>
      <c r="M19" s="24"/>
      <c r="N19" s="45">
        <f t="shared" si="1"/>
        <v>0</v>
      </c>
      <c r="O19" s="47"/>
    </row>
    <row r="20" spans="1:15" s="19" customFormat="1" ht="16.5" customHeight="1" x14ac:dyDescent="0.25">
      <c r="A20" s="29">
        <f t="shared" si="0"/>
        <v>17</v>
      </c>
      <c r="B20" s="31"/>
      <c r="C20" s="30"/>
      <c r="D20" s="31"/>
      <c r="E20" s="31"/>
      <c r="F20" s="31"/>
      <c r="G20" s="31"/>
      <c r="H20" s="31"/>
      <c r="I20" s="31"/>
      <c r="J20" s="32"/>
      <c r="K20" s="33"/>
      <c r="L20" s="33"/>
      <c r="M20" s="33"/>
      <c r="N20" s="48">
        <f t="shared" si="1"/>
        <v>0</v>
      </c>
      <c r="O20" s="49"/>
    </row>
    <row r="21" spans="1:15" ht="16.5" customHeight="1" x14ac:dyDescent="0.25">
      <c r="C21" s="50"/>
    </row>
  </sheetData>
  <mergeCells count="1">
    <mergeCell ref="A1:O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4</vt:i4>
      </vt:variant>
    </vt:vector>
  </HeadingPairs>
  <TitlesOfParts>
    <vt:vector size="15" baseType="lpstr">
      <vt:lpstr>갑지</vt:lpstr>
      <vt:lpstr>폐기물 입고</vt:lpstr>
      <vt:lpstr>스크랩입고량</vt:lpstr>
      <vt:lpstr>현대_대도_당진</vt:lpstr>
      <vt:lpstr>선진_진천식품기계</vt:lpstr>
      <vt:lpstr>기타 현장</vt:lpstr>
      <vt:lpstr>단발성(기타 현장)</vt:lpstr>
      <vt:lpstr>삼성_이텍솔루션_안성</vt:lpstr>
      <vt:lpstr>동우PL1_평택</vt:lpstr>
      <vt:lpstr>포스코_KM안산</vt:lpstr>
      <vt:lpstr>서식</vt:lpstr>
      <vt:lpstr>갑지!Print_Area</vt:lpstr>
      <vt:lpstr>'단발성(기타 현장)'!Print_Area</vt:lpstr>
      <vt:lpstr>스크랩입고량!Print_Area</vt:lpstr>
      <vt:lpstr>'폐기물 입고'!Print_Area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2026-06-19T00:39:03Z</cp:lastPrinted>
  <dcterms:created xsi:type="dcterms:W3CDTF">2026-04-21T23:55:33Z</dcterms:created>
  <dcterms:modified xsi:type="dcterms:W3CDTF">2026-07-09T05:25:34Z</dcterms:modified>
</cp:coreProperties>
</file>