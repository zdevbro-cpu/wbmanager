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D363D1D-A398-40F1-98F3-66CB59D362B4}" xr6:coauthVersionLast="47" xr6:coauthVersionMax="47" xr10:uidLastSave="{00000000-0000-0000-0000-000000000000}"/>
  <bookViews>
    <workbookView xWindow="-22830" yWindow="3135" windowWidth="21600" windowHeight="11295" xr2:uid="{3A661CCF-2A25-47D8-ADDC-4B61D9D5AE9D}"/>
  </bookViews>
  <sheets>
    <sheet name="계근공유방 보고자료" sheetId="3" r:id="rId1"/>
    <sheet name="스크랩반출List" sheetId="1" r:id="rId2"/>
    <sheet name="폐기물반출List" sheetId="2" r:id="rId3"/>
  </sheets>
  <externalReferences>
    <externalReference r:id="rId4"/>
    <externalReference r:id="rId5"/>
    <externalReference r:id="rId6"/>
  </externalReferences>
  <definedNames>
    <definedName name="_1__123Graph_Aｸﾞﾗﾌ_1" hidden="1">'[1]3CH'!$C$9:$H$9</definedName>
    <definedName name="_2__123Graph_Aｸﾞﾗﾌ_2" localSheetId="1" hidden="1">#REF!</definedName>
    <definedName name="_2__123Graph_Aｸﾞﾗﾌ_2" localSheetId="2" hidden="1">#REF!</definedName>
    <definedName name="_2__123Graph_Aｸﾞﾗﾌ_2" hidden="1">#REF!</definedName>
    <definedName name="_3__123Graph_Aｸﾞﾗﾌ_3" hidden="1">#REF!</definedName>
    <definedName name="_4__123Graph_Aｸﾞﾗﾌ_5" hidden="1">#REF!</definedName>
    <definedName name="_5__123Graph_Aｸﾞﾗﾌ_6" hidden="1">#REF!</definedName>
    <definedName name="_6__123Graph_Bｸﾞﾗﾌ_6" hidden="1">#REF!</definedName>
    <definedName name="_xlnm._FilterDatabase" hidden="1">#REF!</definedName>
    <definedName name="fddf" localSheetId="1" hidden="1">#REF!</definedName>
    <definedName name="fddf" localSheetId="2" hidden="1">#REF!</definedName>
    <definedName name="fddf" hidden="1">#REF!</definedName>
    <definedName name="_xlnm.Print_Area" localSheetId="1">스크랩반출List!$B$1:$Y$5</definedName>
    <definedName name="_xlnm.Print_Area" localSheetId="2">폐기물반출List!$B$2:$Q$5</definedName>
    <definedName name="ㅁㅁ" localSheetId="1" hidden="1">#REF!</definedName>
    <definedName name="ㅁㅁ" localSheetId="2" hidden="1">#REF!</definedName>
    <definedName name="ㅁㅁ" hidden="1">#REF!</definedName>
    <definedName name="중국어" hidden="1">#REF!</definedName>
    <definedName name="품목" localSheetId="0">[2]구분표!#REF!</definedName>
    <definedName name="품목">'[3]-'!#REF!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6" i="1" l="1"/>
  <c r="W25" i="1"/>
  <c r="W28" i="1" s="1"/>
  <c r="R28" i="1"/>
  <c r="D34" i="3"/>
  <c r="O9" i="2" l="1"/>
  <c r="P9" i="2" s="1"/>
  <c r="D28" i="3"/>
  <c r="D23" i="3"/>
  <c r="S10" i="1" l="1"/>
  <c r="U10" i="1" s="1"/>
  <c r="S16" i="1"/>
  <c r="U16" i="1" s="1"/>
  <c r="W18" i="1"/>
  <c r="R19" i="1"/>
  <c r="W17" i="1"/>
  <c r="W16" i="1"/>
  <c r="P4" i="2"/>
  <c r="W19" i="1" l="1"/>
  <c r="W11" i="1"/>
  <c r="W10" i="1"/>
  <c r="R12" i="1" l="1"/>
  <c r="D17" i="3"/>
  <c r="D12" i="3"/>
  <c r="D6" i="3"/>
  <c r="R3" i="1"/>
  <c r="S3" i="1" s="1"/>
  <c r="U3" i="1" s="1"/>
  <c r="R5" i="1" l="1"/>
  <c r="W3" i="1"/>
  <c r="W5" i="1" s="1"/>
  <c r="W12" i="1" l="1"/>
</calcChain>
</file>

<file path=xl/sharedStrings.xml><?xml version="1.0" encoding="utf-8"?>
<sst xmlns="http://schemas.openxmlformats.org/spreadsheetml/2006/main" count="251" uniqueCount="73">
  <si>
    <t>No
(2)</t>
    <phoneticPr fontId="3" type="noConversion"/>
  </si>
  <si>
    <t>스크랩중량
(원방)</t>
    <phoneticPr fontId="3" type="noConversion"/>
  </si>
  <si>
    <t>정산 감량</t>
    <phoneticPr fontId="3" type="noConversion"/>
  </si>
  <si>
    <t>정산 중량</t>
    <phoneticPr fontId="3" type="noConversion"/>
  </si>
  <si>
    <t>계근차</t>
    <phoneticPr fontId="3" type="noConversion"/>
  </si>
  <si>
    <t>결제금액</t>
    <phoneticPr fontId="3" type="noConversion"/>
  </si>
  <si>
    <t>입금
여부</t>
    <phoneticPr fontId="3" type="noConversion"/>
  </si>
  <si>
    <t>운송중 특이사항 기록</t>
    <phoneticPr fontId="3" type="noConversion"/>
  </si>
  <si>
    <t>반출날짜</t>
  </si>
  <si>
    <t>상차지</t>
    <phoneticPr fontId="3" type="noConversion"/>
  </si>
  <si>
    <t>차량번호</t>
  </si>
  <si>
    <t>운전자</t>
    <phoneticPr fontId="3" type="noConversion"/>
  </si>
  <si>
    <t>연락처</t>
    <phoneticPr fontId="3" type="noConversion"/>
  </si>
  <si>
    <t>차량
타입</t>
    <phoneticPr fontId="3" type="noConversion"/>
  </si>
  <si>
    <t>거래처</t>
    <phoneticPr fontId="3" type="noConversion"/>
  </si>
  <si>
    <t>상차
제품</t>
    <phoneticPr fontId="3" type="noConversion"/>
  </si>
  <si>
    <t>단가</t>
    <phoneticPr fontId="3" type="noConversion"/>
  </si>
  <si>
    <t>현장</t>
    <phoneticPr fontId="3" type="noConversion"/>
  </si>
  <si>
    <t>김태정</t>
    <phoneticPr fontId="3" type="noConversion"/>
  </si>
  <si>
    <t>O</t>
    <phoneticPr fontId="3" type="noConversion"/>
  </si>
  <si>
    <t>주안자원</t>
    <phoneticPr fontId="3" type="noConversion"/>
  </si>
  <si>
    <t>파지</t>
    <phoneticPr fontId="3" type="noConversion"/>
  </si>
  <si>
    <t>계 근 내 역</t>
    <phoneticPr fontId="3" type="noConversion"/>
  </si>
  <si>
    <t>카고</t>
    <phoneticPr fontId="3" type="noConversion"/>
  </si>
  <si>
    <t>프로잭트명</t>
    <phoneticPr fontId="3" type="noConversion"/>
  </si>
  <si>
    <t>율금리 철거</t>
    <phoneticPr fontId="3" type="noConversion"/>
  </si>
  <si>
    <t>스크랩중량</t>
    <phoneticPr fontId="3" type="noConversion"/>
  </si>
  <si>
    <t>□ 원방 스크랩 반출보고</t>
    <phoneticPr fontId="3" type="noConversion"/>
  </si>
  <si>
    <t>□ 원방 폐기물 반출보고</t>
    <phoneticPr fontId="3" type="noConversion"/>
  </si>
  <si>
    <t>배출자</t>
    <phoneticPr fontId="3" type="noConversion"/>
  </si>
  <si>
    <t>운반비</t>
    <phoneticPr fontId="3" type="noConversion"/>
  </si>
  <si>
    <t>No</t>
    <phoneticPr fontId="3" type="noConversion"/>
  </si>
  <si>
    <t>합 계</t>
    <phoneticPr fontId="3" type="noConversion"/>
  </si>
  <si>
    <t>2026-08-11 기준</t>
    <phoneticPr fontId="3" type="noConversion"/>
  </si>
  <si>
    <t>세화철강</t>
    <phoneticPr fontId="3" type="noConversion"/>
  </si>
  <si>
    <t>계근 공유방 보고 자료</t>
    <phoneticPr fontId="3" type="noConversion"/>
  </si>
  <si>
    <t>구분</t>
    <phoneticPr fontId="3" type="noConversion"/>
  </si>
  <si>
    <t>거래처명</t>
    <phoneticPr fontId="3" type="noConversion"/>
  </si>
  <si>
    <t>제품명</t>
  </si>
  <si>
    <t>실중량(kg)</t>
    <phoneticPr fontId="3" type="noConversion"/>
  </si>
  <si>
    <t>비고</t>
    <phoneticPr fontId="3" type="noConversion"/>
  </si>
  <si>
    <t>반출합계</t>
    <phoneticPr fontId="3" type="noConversion"/>
  </si>
  <si>
    <t>고철(경량)</t>
    <phoneticPr fontId="3" type="noConversion"/>
  </si>
  <si>
    <t>암롤트럭</t>
    <phoneticPr fontId="3" type="noConversion"/>
  </si>
  <si>
    <t>ㅁ 율금리 폐기물 출고현황</t>
    <phoneticPr fontId="3" type="noConversion"/>
  </si>
  <si>
    <t>ㅁ 율금리 스크랩 출고현황</t>
    <phoneticPr fontId="3" type="noConversion"/>
  </si>
  <si>
    <t>주원</t>
    <phoneticPr fontId="3" type="noConversion"/>
  </si>
  <si>
    <t>폐합성수지</t>
    <phoneticPr fontId="3" type="noConversion"/>
  </si>
  <si>
    <t>ㅁ 투플러스 스크랩 출고현황</t>
    <phoneticPr fontId="3" type="noConversion"/>
  </si>
  <si>
    <t>고철(슈레더)</t>
    <phoneticPr fontId="3" type="noConversion"/>
  </si>
  <si>
    <t>25톤 집게차, 8/11상차 8/13 하차, 세화 계근량 입력</t>
    <phoneticPr fontId="3" type="noConversion"/>
  </si>
  <si>
    <t>암롤트럭, 50루베(200만원) 크로스 정산 예정</t>
    <phoneticPr fontId="3" type="noConversion"/>
  </si>
  <si>
    <t>투플러스</t>
    <phoneticPr fontId="3" type="noConversion"/>
  </si>
  <si>
    <t>X</t>
    <phoneticPr fontId="3" type="noConversion"/>
  </si>
  <si>
    <t>2026-08-13 기준</t>
    <phoneticPr fontId="3" type="noConversion"/>
  </si>
  <si>
    <t>투플러스 현장</t>
    <phoneticPr fontId="3" type="noConversion"/>
  </si>
  <si>
    <t>크로스특수</t>
    <phoneticPr fontId="3" type="noConversion"/>
  </si>
  <si>
    <t>율금리</t>
    <phoneticPr fontId="3" type="noConversion"/>
  </si>
  <si>
    <t>루베</t>
    <phoneticPr fontId="3" type="noConversion"/>
  </si>
  <si>
    <t>운반자</t>
    <phoneticPr fontId="3" type="noConversion"/>
  </si>
  <si>
    <t>처리자</t>
    <phoneticPr fontId="3" type="noConversion"/>
  </si>
  <si>
    <t>(발포 단열재)</t>
    <phoneticPr fontId="3" type="noConversion"/>
  </si>
  <si>
    <t>2026-08-14 기준</t>
    <phoneticPr fontId="3" type="noConversion"/>
  </si>
  <si>
    <t>원방</t>
    <phoneticPr fontId="3" type="noConversion"/>
  </si>
  <si>
    <t>디에스리사이클</t>
    <phoneticPr fontId="3" type="noConversion"/>
  </si>
  <si>
    <t>집게차, 크로스 정산 예정</t>
    <phoneticPr fontId="3" type="noConversion"/>
  </si>
  <si>
    <t>그밖의 폐기물(글라스울)</t>
    <phoneticPr fontId="3" type="noConversion"/>
  </si>
  <si>
    <t>그 밖의 폐기물
(글라스울)</t>
    <phoneticPr fontId="3" type="noConversion"/>
  </si>
  <si>
    <t>암롤트럭. 철거현장 반출물</t>
    <phoneticPr fontId="3" type="noConversion"/>
  </si>
  <si>
    <t>처리비</t>
    <phoneticPr fontId="3" type="noConversion"/>
  </si>
  <si>
    <t>합계</t>
    <phoneticPr fontId="3" type="noConversion"/>
  </si>
  <si>
    <t>2026-08-15 기준</t>
    <phoneticPr fontId="3" type="noConversion"/>
  </si>
  <si>
    <t>집게차. 철거현장 반출물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</si>
</sst>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h:mm;@"/>
    <numFmt numFmtId="177" formatCode="0.0%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0000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0206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theme="0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12"/>
      <color theme="1"/>
      <name val="돋움"/>
      <family val="3"/>
      <charset val="129"/>
    </font>
    <font>
      <sz val="9"/>
      <color theme="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8"/>
      </patternFill>
    </fill>
    <fill>
      <patternFill patternType="solid">
        <fgColor theme="7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rgb="FFFFF19B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/>
    </xf>
    <xf numFmtId="41" fontId="4" fillId="0" borderId="0" xfId="1" applyFont="1" applyFill="1" applyBorder="1" applyAlignment="1">
      <alignment vertical="center"/>
    </xf>
    <xf numFmtId="177" fontId="5" fillId="0" borderId="0" xfId="2" applyNumberFormat="1" applyFont="1" applyAlignment="1">
      <alignment horizontal="right" vertical="center" shrinkToFit="1"/>
    </xf>
    <xf numFmtId="41" fontId="5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8" fillId="3" borderId="0" xfId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 wrapText="1"/>
    </xf>
    <xf numFmtId="41" fontId="8" fillId="3" borderId="1" xfId="1" applyFont="1" applyFill="1" applyBorder="1" applyAlignment="1">
      <alignment horizontal="center" vertical="center" wrapText="1"/>
    </xf>
    <xf numFmtId="41" fontId="8" fillId="3" borderId="1" xfId="1" applyFont="1" applyFill="1" applyBorder="1" applyAlignment="1">
      <alignment horizontal="center" vertical="center"/>
    </xf>
    <xf numFmtId="41" fontId="9" fillId="5" borderId="1" xfId="0" applyNumberFormat="1" applyFont="1" applyFill="1" applyBorder="1" applyAlignment="1">
      <alignment horizontal="center" vertical="center" wrapText="1"/>
    </xf>
    <xf numFmtId="41" fontId="8" fillId="6" borderId="1" xfId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shrinkToFit="1"/>
    </xf>
    <xf numFmtId="0" fontId="8" fillId="3" borderId="1" xfId="0" quotePrefix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10" fillId="0" borderId="0" xfId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41" fontId="10" fillId="0" borderId="0" xfId="1" applyFont="1">
      <alignment vertical="center"/>
    </xf>
    <xf numFmtId="41" fontId="12" fillId="0" borderId="0" xfId="1" applyFont="1">
      <alignment vertical="center"/>
    </xf>
    <xf numFmtId="41" fontId="12" fillId="5" borderId="0" xfId="1" applyFont="1" applyFill="1">
      <alignment vertical="center"/>
    </xf>
    <xf numFmtId="41" fontId="10" fillId="3" borderId="0" xfId="1" applyFont="1" applyFill="1">
      <alignment vertical="center"/>
    </xf>
    <xf numFmtId="41" fontId="11" fillId="0" borderId="0" xfId="1" applyFont="1" applyAlignment="1">
      <alignment horizontal="center" vertical="center"/>
    </xf>
    <xf numFmtId="0" fontId="10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 shrinkToFit="1"/>
    </xf>
    <xf numFmtId="41" fontId="8" fillId="7" borderId="1" xfId="1" applyFont="1" applyFill="1" applyBorder="1" applyAlignment="1">
      <alignment horizontal="center" vertical="center"/>
    </xf>
    <xf numFmtId="41" fontId="9" fillId="3" borderId="1" xfId="0" applyNumberFormat="1" applyFont="1" applyFill="1" applyBorder="1" applyAlignment="1">
      <alignment horizontal="center" vertical="center" wrapText="1"/>
    </xf>
    <xf numFmtId="41" fontId="11" fillId="2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41" fontId="8" fillId="4" borderId="1" xfId="1" applyFont="1" applyFill="1" applyBorder="1" applyAlignment="1">
      <alignment horizontal="center" vertical="center" wrapText="1"/>
    </xf>
    <xf numFmtId="14" fontId="8" fillId="4" borderId="3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41" fontId="8" fillId="4" borderId="3" xfId="1" applyFont="1" applyFill="1" applyBorder="1" applyAlignment="1">
      <alignment horizontal="center" vertical="center" wrapText="1"/>
    </xf>
    <xf numFmtId="0" fontId="8" fillId="4" borderId="1" xfId="1" applyNumberFormat="1" applyFont="1" applyFill="1" applyBorder="1" applyAlignment="1">
      <alignment horizontal="center" vertical="center" wrapText="1"/>
    </xf>
    <xf numFmtId="41" fontId="13" fillId="3" borderId="1" xfId="1" applyFont="1" applyFill="1" applyBorder="1" applyAlignment="1">
      <alignment horizontal="center" vertical="center"/>
    </xf>
    <xf numFmtId="41" fontId="13" fillId="7" borderId="1" xfId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41" fontId="15" fillId="5" borderId="1" xfId="0" applyNumberFormat="1" applyFont="1" applyFill="1" applyBorder="1" applyAlignment="1">
      <alignment horizontal="center" vertical="center" wrapText="1"/>
    </xf>
    <xf numFmtId="41" fontId="13" fillId="3" borderId="1" xfId="1" applyFont="1" applyFill="1" applyBorder="1" applyAlignment="1">
      <alignment horizontal="center" vertical="center" wrapText="1"/>
    </xf>
    <xf numFmtId="41" fontId="13" fillId="6" borderId="1" xfId="1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shrinkToFit="1"/>
    </xf>
    <xf numFmtId="14" fontId="9" fillId="0" borderId="1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13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14" fontId="18" fillId="0" borderId="0" xfId="0" applyNumberFormat="1" applyFont="1" applyAlignment="1">
      <alignment horizontal="right" vertical="center"/>
    </xf>
    <xf numFmtId="0" fontId="20" fillId="8" borderId="1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 shrinkToFit="1"/>
    </xf>
    <xf numFmtId="41" fontId="20" fillId="3" borderId="12" xfId="1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left" vertical="center" wrapText="1"/>
    </xf>
    <xf numFmtId="41" fontId="22" fillId="0" borderId="9" xfId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41" fontId="20" fillId="0" borderId="0" xfId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0" fillId="0" borderId="0" xfId="0" applyFont="1">
      <alignment vertical="center"/>
    </xf>
    <xf numFmtId="0" fontId="19" fillId="9" borderId="8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177" fontId="5" fillId="0" borderId="0" xfId="2" applyNumberFormat="1" applyFont="1" applyAlignment="1">
      <alignment horizontal="center" vertical="center" shrinkToFit="1"/>
    </xf>
    <xf numFmtId="41" fontId="6" fillId="0" borderId="4" xfId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shrinkToFit="1"/>
    </xf>
    <xf numFmtId="41" fontId="8" fillId="3" borderId="1" xfId="1" applyFont="1" applyFill="1" applyBorder="1" applyAlignment="1">
      <alignment horizontal="center" vertical="center" shrinkToFit="1"/>
    </xf>
    <xf numFmtId="176" fontId="8" fillId="3" borderId="3" xfId="0" applyNumberFormat="1" applyFont="1" applyFill="1" applyBorder="1" applyAlignment="1">
      <alignment horizontal="center" vertical="center" wrapText="1"/>
    </xf>
    <xf numFmtId="41" fontId="8" fillId="3" borderId="3" xfId="1" applyFont="1" applyFill="1" applyBorder="1" applyAlignment="1">
      <alignment horizontal="center" vertical="center" wrapText="1"/>
    </xf>
    <xf numFmtId="41" fontId="13" fillId="3" borderId="3" xfId="1" applyFont="1" applyFill="1" applyBorder="1" applyAlignment="1">
      <alignment horizontal="center" vertical="center"/>
    </xf>
    <xf numFmtId="41" fontId="13" fillId="7" borderId="3" xfId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41" fontId="15" fillId="5" borderId="3" xfId="0" applyNumberFormat="1" applyFont="1" applyFill="1" applyBorder="1" applyAlignment="1">
      <alignment horizontal="center" vertical="center" wrapText="1"/>
    </xf>
    <xf numFmtId="41" fontId="13" fillId="3" borderId="3" xfId="1" applyFont="1" applyFill="1" applyBorder="1" applyAlignment="1">
      <alignment horizontal="center" vertical="center" wrapText="1"/>
    </xf>
    <xf numFmtId="41" fontId="13" fillId="6" borderId="3" xfId="1" applyFont="1" applyFill="1" applyBorder="1" applyAlignment="1">
      <alignment horizontal="center" vertical="center" wrapText="1"/>
    </xf>
    <xf numFmtId="41" fontId="11" fillId="2" borderId="3" xfId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 shrinkToFit="1"/>
    </xf>
    <xf numFmtId="0" fontId="10" fillId="0" borderId="14" xfId="0" applyFont="1" applyBorder="1">
      <alignment vertical="center"/>
    </xf>
    <xf numFmtId="0" fontId="13" fillId="3" borderId="14" xfId="0" applyFont="1" applyFill="1" applyBorder="1" applyAlignment="1">
      <alignment horizontal="center" vertical="center" wrapText="1"/>
    </xf>
    <xf numFmtId="176" fontId="8" fillId="3" borderId="14" xfId="0" applyNumberFormat="1" applyFont="1" applyFill="1" applyBorder="1" applyAlignment="1">
      <alignment horizontal="center" vertical="center" wrapText="1"/>
    </xf>
    <xf numFmtId="41" fontId="8" fillId="3" borderId="14" xfId="1" applyFont="1" applyFill="1" applyBorder="1" applyAlignment="1">
      <alignment horizontal="center" vertical="center" wrapText="1"/>
    </xf>
    <xf numFmtId="41" fontId="13" fillId="3" borderId="14" xfId="1" applyFont="1" applyFill="1" applyBorder="1" applyAlignment="1">
      <alignment horizontal="center" vertical="center"/>
    </xf>
    <xf numFmtId="41" fontId="13" fillId="7" borderId="14" xfId="1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41" fontId="15" fillId="5" borderId="14" xfId="0" applyNumberFormat="1" applyFont="1" applyFill="1" applyBorder="1" applyAlignment="1">
      <alignment horizontal="center" vertical="center" wrapText="1"/>
    </xf>
    <xf numFmtId="41" fontId="13" fillId="3" borderId="14" xfId="1" applyFont="1" applyFill="1" applyBorder="1" applyAlignment="1">
      <alignment horizontal="center" vertical="center" wrapText="1"/>
    </xf>
    <xf numFmtId="41" fontId="13" fillId="6" borderId="14" xfId="1" applyFont="1" applyFill="1" applyBorder="1" applyAlignment="1">
      <alignment horizontal="center" vertical="center" wrapText="1"/>
    </xf>
    <xf numFmtId="41" fontId="11" fillId="2" borderId="14" xfId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vertical="center" shrinkToFit="1"/>
    </xf>
    <xf numFmtId="0" fontId="7" fillId="0" borderId="14" xfId="0" applyFont="1" applyBorder="1" applyAlignment="1">
      <alignment horizontal="center" vertical="center"/>
    </xf>
    <xf numFmtId="41" fontId="7" fillId="0" borderId="14" xfId="1" applyFont="1" applyBorder="1">
      <alignment vertical="center"/>
    </xf>
    <xf numFmtId="14" fontId="11" fillId="3" borderId="1" xfId="0" applyNumberFormat="1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wrapText="1"/>
    </xf>
    <xf numFmtId="41" fontId="8" fillId="3" borderId="7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shrinkToFit="1"/>
    </xf>
    <xf numFmtId="0" fontId="17" fillId="0" borderId="18" xfId="0" applyFont="1" applyBorder="1" applyAlignment="1">
      <alignment horizontal="center" vertical="center"/>
    </xf>
    <xf numFmtId="41" fontId="22" fillId="0" borderId="18" xfId="1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8" fillId="3" borderId="1" xfId="0" applyFont="1" applyFill="1" applyBorder="1" applyAlignment="1">
      <alignment horizontal="center" vertical="center" wrapText="1" shrinkToFit="1"/>
    </xf>
    <xf numFmtId="0" fontId="8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/>
    </xf>
    <xf numFmtId="14" fontId="8" fillId="11" borderId="3" xfId="0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41" fontId="8" fillId="11" borderId="1" xfId="1" applyFont="1" applyFill="1" applyBorder="1" applyAlignment="1">
      <alignment horizontal="center" vertical="center" wrapText="1"/>
    </xf>
    <xf numFmtId="41" fontId="8" fillId="11" borderId="3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shrinkToFit="1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177" fontId="5" fillId="0" borderId="4" xfId="2" applyNumberFormat="1" applyFont="1" applyBorder="1" applyAlignment="1">
      <alignment horizontal="center" vertical="center" shrinkToFit="1"/>
    </xf>
    <xf numFmtId="41" fontId="6" fillId="0" borderId="0" xfId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FF19B"/>
      <color rgb="FFFFF5B9"/>
      <color rgb="FFFDF9AD"/>
      <color rgb="FF00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millsp.sharepoint.com/Users/SKD/AppData/Local/Microsoft/Windows/INetCache/IE/DLSCXJVX/YAC&#25552;&#20379;&#30340;&#36039;&#26009;/SPEC/G5.5Tact_user_Ver2.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041;&#50864;&#54868;&#51064;&#53008;&amp;8BC%20&#54532;&#47196;&#51229;&#53944;\&#52636;&#44256;&#54788;&#54889;\&#50896;&#48169;%20&#44144;&#47000;&#52376;&#48324;%20&#49828;&#53356;&#47017;%20&#52636;&#44256;%20&#54788;&#54889;_25.04.02.(&#44428;&#50689;&#51652;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50984;&#44552;&#47532;%20&#50952;&#53457;&#44148;&#47932;%20&#52384;&#44144;&#54788;&#51109;_&#48152;&#51077;,&#48152;&#52636;%20&#45236;&#50669;.xlsx" TargetMode="External"/><Relationship Id="rId1" Type="http://schemas.openxmlformats.org/officeDocument/2006/relationships/externalLinkPath" Target="file:///D:\&#50984;&#44552;&#47532;%20&#50952;&#53457;&#44148;&#47932;%20&#52384;&#44144;&#54788;&#51109;_&#48152;&#51077;,&#48152;&#52636;%20&#45236;&#506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CH"/>
      <sheetName val="3CH"/>
      <sheetName val="2CH"/>
      <sheetName val="Pumping data"/>
      <sheetName val=" Detail"/>
      <sheetName val="1VOY_BULK(N2S3)-BOX"/>
    </sheetNames>
    <sheetDataSet>
      <sheetData sheetId="0">
        <row r="9">
          <cell r="C9">
            <v>75</v>
          </cell>
        </row>
      </sheetData>
      <sheetData sheetId="1">
        <row r="9">
          <cell r="C9">
            <v>75</v>
          </cell>
          <cell r="D9">
            <v>75</v>
          </cell>
          <cell r="E9">
            <v>81.666666666666671</v>
          </cell>
          <cell r="F9">
            <v>88.333333333333329</v>
          </cell>
          <cell r="G9">
            <v>95</v>
          </cell>
          <cell r="H9">
            <v>101.66666666666667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분표"/>
      <sheetName val="통계"/>
      <sheetName val="스크랩출고량"/>
      <sheetName val="오성금속"/>
      <sheetName val="에이스메탈"/>
      <sheetName val="대신에스티에스"/>
      <sheetName val="알앤비,선진알앤디"/>
      <sheetName val="다옴메탈"/>
      <sheetName val="다문산업"/>
      <sheetName val="폐기물"/>
      <sheetName val="이영산업"/>
      <sheetName val="천지산업"/>
      <sheetName val="세화철강"/>
      <sheetName val="에스아이케미칼"/>
      <sheetName val="기타"/>
      <sheetName val="제이테크(부품,설비)"/>
      <sheetName val="로봇등 판매"/>
      <sheetName val="종결업체"/>
      <sheetName val="반출(동우, 8BC)"/>
      <sheetName val="위치이동(알앤비&gt;원방)"/>
      <sheetName val="재고이동_(원방, 포승&gt;크로스창고)"/>
      <sheetName val="재고이동_(포승-&gt;원방)"/>
      <sheetName val="재고이동_(원방,포승&lt;-&gt;이영산업)"/>
      <sheetName val="재고이동_(알앤비-&gt;원방)"/>
      <sheetName val="재고이동_(원방-&gt;김제공장)"/>
      <sheetName val="재고이동_(원방-&gt;알앤비)"/>
      <sheetName val="재고이동_(포승&gt;김제공장)"/>
      <sheetName val="재고이동_(원방-&gt;포승)"/>
      <sheetName val="재고이동_(원방-&gt;마정창고)"/>
      <sheetName val="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재고이동"/>
      <sheetName val="스크랩반출List"/>
      <sheetName val="폐기물반출List"/>
      <sheetName val="인건비 등 지출 현황"/>
      <sheetName val="토사 등 입고"/>
      <sheetName val="26-08 공수체크"/>
      <sheetName val="26-07 공수체크"/>
      <sheetName val="설비반출"/>
      <sheetName val="07월 운송비"/>
      <sheetName val="운송비"/>
      <sheetName val="-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O3">
            <v>46235</v>
          </cell>
        </row>
      </sheetData>
      <sheetData sheetId="7">
        <row r="23">
          <cell r="AO23">
            <v>46224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9E47-2BF3-449E-85B7-4E660F4569A7}">
  <dimension ref="A1:E34"/>
  <sheetViews>
    <sheetView tabSelected="1" zoomScaleNormal="100" workbookViewId="0">
      <selection activeCell="J1" sqref="J1"/>
    </sheetView>
  </sheetViews>
  <sheetFormatPr defaultRowHeight="16.5" x14ac:dyDescent="0.3"/>
  <cols>
    <col min="1" max="1" width="5.5" customWidth="1"/>
    <col min="2" max="2" width="15.25" customWidth="1"/>
    <col min="3" max="3" width="16.25" customWidth="1"/>
    <col min="4" max="4" width="13" customWidth="1"/>
    <col min="5" max="5" width="37.125" customWidth="1"/>
  </cols>
  <sheetData>
    <row r="1" spans="1:5" ht="41.25" customHeight="1" x14ac:dyDescent="0.3">
      <c r="A1" s="129" t="s">
        <v>35</v>
      </c>
      <c r="B1" s="130"/>
      <c r="C1" s="130"/>
      <c r="D1" s="130"/>
      <c r="E1" s="130"/>
    </row>
    <row r="2" spans="1:5" x14ac:dyDescent="0.3">
      <c r="A2" s="59"/>
    </row>
    <row r="3" spans="1:5" x14ac:dyDescent="0.3">
      <c r="A3" s="60" t="s">
        <v>45</v>
      </c>
      <c r="B3" s="61"/>
      <c r="C3" s="61"/>
      <c r="D3" s="61"/>
      <c r="E3" s="62">
        <v>46247</v>
      </c>
    </row>
    <row r="4" spans="1:5" x14ac:dyDescent="0.3">
      <c r="A4" s="75" t="s">
        <v>36</v>
      </c>
      <c r="B4" s="76" t="s">
        <v>37</v>
      </c>
      <c r="C4" s="76" t="s">
        <v>38</v>
      </c>
      <c r="D4" s="76" t="s">
        <v>39</v>
      </c>
      <c r="E4" s="77" t="s">
        <v>40</v>
      </c>
    </row>
    <row r="5" spans="1:5" x14ac:dyDescent="0.3">
      <c r="A5" s="63">
        <v>1</v>
      </c>
      <c r="B5" s="64" t="s">
        <v>34</v>
      </c>
      <c r="C5" s="65" t="s">
        <v>42</v>
      </c>
      <c r="D5" s="66">
        <v>12690</v>
      </c>
      <c r="E5" s="67" t="s">
        <v>43</v>
      </c>
    </row>
    <row r="6" spans="1:5" x14ac:dyDescent="0.3">
      <c r="A6" s="127" t="s">
        <v>41</v>
      </c>
      <c r="B6" s="128"/>
      <c r="C6" s="128"/>
      <c r="D6" s="68">
        <f>SUM(D5:D5)</f>
        <v>12690</v>
      </c>
      <c r="E6" s="69"/>
    </row>
    <row r="7" spans="1:5" s="117" customFormat="1" ht="17.25" thickBot="1" x14ac:dyDescent="0.35">
      <c r="A7" s="114"/>
      <c r="B7" s="114"/>
      <c r="C7" s="114"/>
      <c r="D7" s="115"/>
      <c r="E7" s="116"/>
    </row>
    <row r="8" spans="1:5" x14ac:dyDescent="0.3">
      <c r="A8" s="70"/>
      <c r="B8" s="70"/>
      <c r="C8" s="71"/>
      <c r="D8" s="72"/>
      <c r="E8" s="73"/>
    </row>
    <row r="9" spans="1:5" ht="20.100000000000001" customHeight="1" x14ac:dyDescent="0.3">
      <c r="A9" s="60" t="s">
        <v>44</v>
      </c>
      <c r="B9" s="61"/>
      <c r="C9" s="61"/>
      <c r="D9" s="61"/>
      <c r="E9" s="62">
        <v>46247</v>
      </c>
    </row>
    <row r="10" spans="1:5" x14ac:dyDescent="0.3">
      <c r="A10" s="78" t="s">
        <v>36</v>
      </c>
      <c r="B10" s="79" t="s">
        <v>37</v>
      </c>
      <c r="C10" s="79" t="s">
        <v>38</v>
      </c>
      <c r="D10" s="79" t="s">
        <v>39</v>
      </c>
      <c r="E10" s="80" t="s">
        <v>40</v>
      </c>
    </row>
    <row r="11" spans="1:5" x14ac:dyDescent="0.3">
      <c r="A11" s="63">
        <v>1</v>
      </c>
      <c r="B11" s="64" t="s">
        <v>46</v>
      </c>
      <c r="C11" s="65" t="s">
        <v>47</v>
      </c>
      <c r="D11" s="66">
        <v>2780</v>
      </c>
      <c r="E11" s="67" t="s">
        <v>51</v>
      </c>
    </row>
    <row r="12" spans="1:5" x14ac:dyDescent="0.3">
      <c r="A12" s="127" t="s">
        <v>41</v>
      </c>
      <c r="B12" s="128"/>
      <c r="C12" s="128"/>
      <c r="D12" s="68">
        <f>SUM(D11:D11)</f>
        <v>2780</v>
      </c>
      <c r="E12" s="69"/>
    </row>
    <row r="13" spans="1:5" x14ac:dyDescent="0.3">
      <c r="A13" s="70"/>
      <c r="B13" s="70"/>
      <c r="C13" s="71"/>
      <c r="D13" s="72"/>
      <c r="E13" s="73"/>
    </row>
    <row r="14" spans="1:5" ht="20.100000000000001" customHeight="1" x14ac:dyDescent="0.3">
      <c r="A14" s="60" t="s">
        <v>48</v>
      </c>
      <c r="B14" s="61"/>
      <c r="C14" s="61"/>
      <c r="D14" s="61"/>
      <c r="E14" s="62">
        <v>46247</v>
      </c>
    </row>
    <row r="15" spans="1:5" x14ac:dyDescent="0.3">
      <c r="A15" s="75" t="s">
        <v>36</v>
      </c>
      <c r="B15" s="76" t="s">
        <v>37</v>
      </c>
      <c r="C15" s="76" t="s">
        <v>38</v>
      </c>
      <c r="D15" s="76" t="s">
        <v>39</v>
      </c>
      <c r="E15" s="77" t="s">
        <v>40</v>
      </c>
    </row>
    <row r="16" spans="1:5" x14ac:dyDescent="0.3">
      <c r="A16" s="63">
        <v>1</v>
      </c>
      <c r="B16" s="64" t="s">
        <v>34</v>
      </c>
      <c r="C16" s="65" t="s">
        <v>49</v>
      </c>
      <c r="D16" s="66">
        <v>21490</v>
      </c>
      <c r="E16" s="67" t="s">
        <v>50</v>
      </c>
    </row>
    <row r="17" spans="1:5" x14ac:dyDescent="0.3">
      <c r="A17" s="127" t="s">
        <v>41</v>
      </c>
      <c r="B17" s="128"/>
      <c r="C17" s="128"/>
      <c r="D17" s="68">
        <f>SUM(D16:D16)</f>
        <v>21490</v>
      </c>
      <c r="E17" s="69"/>
    </row>
    <row r="18" spans="1:5" s="117" customFormat="1" ht="17.25" thickBot="1" x14ac:dyDescent="0.35">
      <c r="A18" s="114"/>
      <c r="B18" s="114"/>
      <c r="C18" s="114"/>
      <c r="D18" s="115"/>
      <c r="E18" s="116"/>
    </row>
    <row r="19" spans="1:5" x14ac:dyDescent="0.3">
      <c r="A19" s="70"/>
      <c r="B19" s="74"/>
      <c r="C19" s="71"/>
      <c r="D19" s="72"/>
      <c r="E19" s="73"/>
    </row>
    <row r="20" spans="1:5" x14ac:dyDescent="0.3">
      <c r="A20" s="60" t="s">
        <v>45</v>
      </c>
      <c r="B20" s="61"/>
      <c r="C20" s="61"/>
      <c r="D20" s="61"/>
      <c r="E20" s="62">
        <v>46248</v>
      </c>
    </row>
    <row r="21" spans="1:5" x14ac:dyDescent="0.3">
      <c r="A21" s="75" t="s">
        <v>36</v>
      </c>
      <c r="B21" s="76" t="s">
        <v>37</v>
      </c>
      <c r="C21" s="76" t="s">
        <v>38</v>
      </c>
      <c r="D21" s="76" t="s">
        <v>39</v>
      </c>
      <c r="E21" s="77" t="s">
        <v>40</v>
      </c>
    </row>
    <row r="22" spans="1:5" x14ac:dyDescent="0.3">
      <c r="A22" s="63">
        <v>1</v>
      </c>
      <c r="B22" s="64" t="s">
        <v>34</v>
      </c>
      <c r="C22" s="65" t="s">
        <v>42</v>
      </c>
      <c r="D22" s="66">
        <v>10030</v>
      </c>
      <c r="E22" s="67" t="s">
        <v>68</v>
      </c>
    </row>
    <row r="23" spans="1:5" x14ac:dyDescent="0.3">
      <c r="A23" s="127" t="s">
        <v>41</v>
      </c>
      <c r="B23" s="128"/>
      <c r="C23" s="128"/>
      <c r="D23" s="68">
        <f>SUM(D22:D22)</f>
        <v>10030</v>
      </c>
      <c r="E23" s="69"/>
    </row>
    <row r="24" spans="1:5" x14ac:dyDescent="0.3">
      <c r="A24" s="70"/>
      <c r="B24" s="70"/>
      <c r="C24" s="71"/>
      <c r="D24" s="72"/>
      <c r="E24" s="73"/>
    </row>
    <row r="25" spans="1:5" ht="20.100000000000001" customHeight="1" x14ac:dyDescent="0.3">
      <c r="A25" s="60" t="s">
        <v>44</v>
      </c>
      <c r="B25" s="61"/>
      <c r="C25" s="61"/>
      <c r="D25" s="61"/>
      <c r="E25" s="62">
        <v>46248</v>
      </c>
    </row>
    <row r="26" spans="1:5" x14ac:dyDescent="0.3">
      <c r="A26" s="78" t="s">
        <v>36</v>
      </c>
      <c r="B26" s="79" t="s">
        <v>37</v>
      </c>
      <c r="C26" s="79" t="s">
        <v>38</v>
      </c>
      <c r="D26" s="79" t="s">
        <v>39</v>
      </c>
      <c r="E26" s="80" t="s">
        <v>40</v>
      </c>
    </row>
    <row r="27" spans="1:5" x14ac:dyDescent="0.3">
      <c r="A27" s="63">
        <v>1</v>
      </c>
      <c r="B27" s="64" t="s">
        <v>64</v>
      </c>
      <c r="C27" s="65" t="s">
        <v>66</v>
      </c>
      <c r="D27" s="66">
        <v>3190</v>
      </c>
      <c r="E27" s="67" t="s">
        <v>65</v>
      </c>
    </row>
    <row r="28" spans="1:5" x14ac:dyDescent="0.3">
      <c r="A28" s="127" t="s">
        <v>41</v>
      </c>
      <c r="B28" s="128"/>
      <c r="C28" s="128"/>
      <c r="D28" s="68">
        <f>SUM(D27:D27)</f>
        <v>3190</v>
      </c>
      <c r="E28" s="69"/>
    </row>
    <row r="29" spans="1:5" s="117" customFormat="1" ht="17.25" thickBot="1" x14ac:dyDescent="0.35"/>
    <row r="31" spans="1:5" x14ac:dyDescent="0.3">
      <c r="A31" s="60" t="s">
        <v>45</v>
      </c>
      <c r="B31" s="61"/>
      <c r="C31" s="61"/>
      <c r="D31" s="61"/>
      <c r="E31" s="62">
        <v>46249</v>
      </c>
    </row>
    <row r="32" spans="1:5" x14ac:dyDescent="0.3">
      <c r="A32" s="75" t="s">
        <v>36</v>
      </c>
      <c r="B32" s="76" t="s">
        <v>37</v>
      </c>
      <c r="C32" s="76" t="s">
        <v>38</v>
      </c>
      <c r="D32" s="76" t="s">
        <v>39</v>
      </c>
      <c r="E32" s="77" t="s">
        <v>40</v>
      </c>
    </row>
    <row r="33" spans="1:5" x14ac:dyDescent="0.3">
      <c r="A33" s="63">
        <v>1</v>
      </c>
      <c r="B33" s="64" t="s">
        <v>34</v>
      </c>
      <c r="C33" s="65" t="s">
        <v>42</v>
      </c>
      <c r="D33" s="66">
        <v>6420</v>
      </c>
      <c r="E33" s="67" t="s">
        <v>72</v>
      </c>
    </row>
    <row r="34" spans="1:5" x14ac:dyDescent="0.3">
      <c r="A34" s="127" t="s">
        <v>41</v>
      </c>
      <c r="B34" s="128"/>
      <c r="C34" s="128"/>
      <c r="D34" s="68">
        <f>SUM(D33:D33)</f>
        <v>6420</v>
      </c>
      <c r="E34" s="69"/>
    </row>
  </sheetData>
  <mergeCells count="7">
    <mergeCell ref="A34:C34"/>
    <mergeCell ref="A28:C28"/>
    <mergeCell ref="A1:E1"/>
    <mergeCell ref="A6:C6"/>
    <mergeCell ref="A12:C12"/>
    <mergeCell ref="A17:C17"/>
    <mergeCell ref="A23:C2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76EF-DC6E-4AFF-B550-A97FBB956593}">
  <sheetPr>
    <tabColor theme="5" tint="0.39997558519241921"/>
    <pageSetUpPr fitToPage="1"/>
  </sheetPr>
  <dimension ref="A1:AB28"/>
  <sheetViews>
    <sheetView showGridLines="0" zoomScale="85" zoomScaleNormal="85" workbookViewId="0">
      <selection activeCell="AB9" sqref="AB9"/>
    </sheetView>
  </sheetViews>
  <sheetFormatPr defaultColWidth="11" defaultRowHeight="13.5" x14ac:dyDescent="0.3"/>
  <cols>
    <col min="1" max="1" width="2.375" style="11" customWidth="1"/>
    <col min="2" max="2" width="5.375" style="11" customWidth="1"/>
    <col min="3" max="3" width="4.75" style="23" hidden="1" customWidth="1"/>
    <col min="4" max="4" width="13.25" style="23" bestFit="1" customWidth="1"/>
    <col min="5" max="5" width="11.375" style="24" customWidth="1"/>
    <col min="6" max="6" width="8.25" style="24" bestFit="1" customWidth="1"/>
    <col min="7" max="7" width="12.75" style="25" hidden="1" customWidth="1"/>
    <col min="8" max="8" width="15.25" style="25" hidden="1" customWidth="1"/>
    <col min="9" max="9" width="12.75" style="25" hidden="1" customWidth="1"/>
    <col min="10" max="10" width="7.625" style="23" hidden="1" customWidth="1"/>
    <col min="11" max="11" width="12.625" style="23" customWidth="1"/>
    <col min="12" max="12" width="11.875" style="23" customWidth="1"/>
    <col min="13" max="13" width="8.375" style="26" customWidth="1"/>
    <col min="14" max="14" width="7.125" style="27" hidden="1" customWidth="1"/>
    <col min="15" max="15" width="10.5" style="28" hidden="1" customWidth="1"/>
    <col min="16" max="16" width="7.25" style="27" hidden="1" customWidth="1"/>
    <col min="17" max="17" width="10.5" style="28" hidden="1" customWidth="1"/>
    <col min="18" max="18" width="10.5" style="28" customWidth="1"/>
    <col min="19" max="19" width="10.875" style="28" hidden="1" customWidth="1"/>
    <col min="20" max="20" width="9.75" style="29" hidden="1" customWidth="1"/>
    <col min="21" max="21" width="9.75" style="30" hidden="1" customWidth="1"/>
    <col min="22" max="22" width="8.375" style="31" hidden="1" customWidth="1"/>
    <col min="23" max="23" width="15.25" style="28" customWidth="1"/>
    <col min="24" max="24" width="9.375" style="26" bestFit="1" customWidth="1"/>
    <col min="25" max="25" width="48.75" style="33" hidden="1" customWidth="1"/>
    <col min="26" max="26" width="3.125" style="26" customWidth="1"/>
    <col min="27" max="27" width="16.25" style="23" customWidth="1"/>
    <col min="28" max="28" width="11.5" style="28" customWidth="1"/>
    <col min="29" max="29" width="7" style="11" bestFit="1" customWidth="1"/>
    <col min="30" max="30" width="14.625" style="11" customWidth="1"/>
    <col min="31" max="31" width="5.875" style="11" bestFit="1" customWidth="1"/>
    <col min="32" max="32" width="8.375" style="11" bestFit="1" customWidth="1"/>
    <col min="33" max="34" width="3.25" style="11" customWidth="1"/>
    <col min="35" max="35" width="5.875" style="11" bestFit="1" customWidth="1"/>
    <col min="36" max="37" width="3.25" style="11" bestFit="1" customWidth="1"/>
    <col min="38" max="39" width="8.375" style="11" bestFit="1" customWidth="1"/>
    <col min="40" max="52" width="5.75" style="11" customWidth="1"/>
    <col min="53" max="53" width="6.125" style="11" bestFit="1" customWidth="1"/>
    <col min="54" max="54" width="6.375" style="11" bestFit="1" customWidth="1"/>
    <col min="55" max="64" width="4.625" style="11" customWidth="1"/>
    <col min="65" max="16384" width="11" style="11"/>
  </cols>
  <sheetData>
    <row r="1" spans="2:28" s="7" customFormat="1" ht="27" thickBot="1" x14ac:dyDescent="0.35">
      <c r="B1" s="131" t="s">
        <v>27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"/>
      <c r="O1" s="2"/>
      <c r="P1" s="1"/>
      <c r="Q1" s="132"/>
      <c r="R1" s="132"/>
      <c r="S1" s="34"/>
      <c r="T1" s="1"/>
      <c r="U1" s="2"/>
      <c r="V1" s="1"/>
      <c r="W1" s="133" t="s">
        <v>33</v>
      </c>
      <c r="X1" s="133"/>
      <c r="Y1" s="133"/>
      <c r="Z1" s="4"/>
      <c r="AA1" s="5"/>
      <c r="AB1" s="6"/>
    </row>
    <row r="2" spans="2:28" ht="27" x14ac:dyDescent="0.3">
      <c r="B2" s="40" t="s">
        <v>31</v>
      </c>
      <c r="C2" s="40" t="s">
        <v>0</v>
      </c>
      <c r="D2" s="40" t="s">
        <v>24</v>
      </c>
      <c r="E2" s="46" t="s">
        <v>8</v>
      </c>
      <c r="F2" s="42" t="s">
        <v>9</v>
      </c>
      <c r="G2" s="43" t="s">
        <v>10</v>
      </c>
      <c r="H2" s="43" t="s">
        <v>11</v>
      </c>
      <c r="I2" s="43" t="s">
        <v>12</v>
      </c>
      <c r="J2" s="40" t="s">
        <v>13</v>
      </c>
      <c r="K2" s="40" t="s">
        <v>14</v>
      </c>
      <c r="L2" s="39" t="s">
        <v>15</v>
      </c>
      <c r="M2" s="41" t="s">
        <v>16</v>
      </c>
      <c r="N2" s="134" t="s">
        <v>22</v>
      </c>
      <c r="O2" s="135"/>
      <c r="P2" s="135"/>
      <c r="Q2" s="136"/>
      <c r="R2" s="41" t="s">
        <v>26</v>
      </c>
      <c r="S2" s="41" t="s">
        <v>1</v>
      </c>
      <c r="T2" s="45" t="s">
        <v>2</v>
      </c>
      <c r="U2" s="45" t="s">
        <v>3</v>
      </c>
      <c r="V2" s="41" t="s">
        <v>4</v>
      </c>
      <c r="W2" s="41" t="s">
        <v>5</v>
      </c>
      <c r="X2" s="49" t="s">
        <v>6</v>
      </c>
      <c r="Y2" s="44" t="s">
        <v>7</v>
      </c>
      <c r="Z2" s="10"/>
      <c r="AA2" s="8"/>
      <c r="AB2" s="9"/>
    </row>
    <row r="3" spans="2:28" x14ac:dyDescent="0.3">
      <c r="B3" s="12">
        <v>1</v>
      </c>
      <c r="C3" s="12">
        <v>1</v>
      </c>
      <c r="D3" s="12" t="s">
        <v>25</v>
      </c>
      <c r="E3" s="13">
        <v>46244</v>
      </c>
      <c r="F3" s="57" t="s">
        <v>17</v>
      </c>
      <c r="G3" s="14">
        <v>7928</v>
      </c>
      <c r="H3" s="14" t="s">
        <v>18</v>
      </c>
      <c r="I3" s="14"/>
      <c r="J3" s="15" t="s">
        <v>23</v>
      </c>
      <c r="K3" s="12" t="s">
        <v>20</v>
      </c>
      <c r="L3" s="38" t="s">
        <v>21</v>
      </c>
      <c r="M3" s="17">
        <v>140</v>
      </c>
      <c r="N3" s="16">
        <v>0.54999999999999993</v>
      </c>
      <c r="O3" s="17">
        <v>5400</v>
      </c>
      <c r="P3" s="16">
        <v>0.56041666666666667</v>
      </c>
      <c r="Q3" s="17">
        <v>4580</v>
      </c>
      <c r="R3" s="18">
        <f>O3-Q3</f>
        <v>820</v>
      </c>
      <c r="S3" s="35">
        <f>R3</f>
        <v>820</v>
      </c>
      <c r="T3" s="36">
        <v>0</v>
      </c>
      <c r="U3" s="19">
        <f>S3-T3</f>
        <v>820</v>
      </c>
      <c r="V3" s="17"/>
      <c r="W3" s="20">
        <f>M3*U3</f>
        <v>114800</v>
      </c>
      <c r="X3" s="37" t="s">
        <v>19</v>
      </c>
      <c r="Y3" s="21"/>
      <c r="Z3" s="10"/>
      <c r="AA3" s="8"/>
      <c r="AB3" s="9"/>
    </row>
    <row r="4" spans="2:28" x14ac:dyDescent="0.3">
      <c r="B4" s="12"/>
      <c r="C4" s="12"/>
      <c r="D4" s="12"/>
      <c r="E4" s="13"/>
      <c r="F4" s="56"/>
      <c r="G4" s="14"/>
      <c r="H4" s="14"/>
      <c r="I4" s="14"/>
      <c r="J4" s="15"/>
      <c r="K4" s="12"/>
      <c r="L4" s="38"/>
      <c r="M4" s="17"/>
      <c r="N4" s="16"/>
      <c r="O4" s="17"/>
      <c r="P4" s="16"/>
      <c r="Q4" s="17"/>
      <c r="R4" s="18"/>
      <c r="S4" s="35"/>
      <c r="T4" s="36"/>
      <c r="U4" s="19"/>
      <c r="V4" s="17"/>
      <c r="W4" s="20"/>
      <c r="X4" s="37"/>
      <c r="Y4" s="21"/>
      <c r="Z4" s="10"/>
      <c r="AA4" s="8"/>
      <c r="AB4" s="9"/>
    </row>
    <row r="5" spans="2:28" ht="16.5" x14ac:dyDescent="0.3">
      <c r="B5" s="140" t="s">
        <v>32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2"/>
      <c r="N5" s="86"/>
      <c r="O5" s="87"/>
      <c r="P5" s="86"/>
      <c r="Q5" s="87"/>
      <c r="R5" s="88">
        <f>SUM(R3:R4)</f>
        <v>820</v>
      </c>
      <c r="S5" s="89"/>
      <c r="T5" s="90"/>
      <c r="U5" s="91"/>
      <c r="V5" s="92"/>
      <c r="W5" s="93">
        <f>SUM(W3:W4)</f>
        <v>114800</v>
      </c>
      <c r="X5" s="94"/>
      <c r="Y5" s="95"/>
      <c r="Z5" s="10"/>
      <c r="AA5" s="8"/>
      <c r="AB5" s="9"/>
    </row>
    <row r="6" spans="2:28" s="96" customFormat="1" ht="17.25" thickBot="1" x14ac:dyDescent="0.35"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O6" s="99"/>
      <c r="P6" s="98"/>
      <c r="Q6" s="99"/>
      <c r="R6" s="100"/>
      <c r="S6" s="101"/>
      <c r="T6" s="102"/>
      <c r="U6" s="103"/>
      <c r="V6" s="104"/>
      <c r="W6" s="105"/>
      <c r="X6" s="106"/>
      <c r="Y6" s="107"/>
      <c r="Z6" s="99"/>
      <c r="AA6" s="108"/>
      <c r="AB6" s="109"/>
    </row>
    <row r="7" spans="2:28" x14ac:dyDescent="0.3">
      <c r="X7" s="32"/>
    </row>
    <row r="8" spans="2:28" s="7" customFormat="1" ht="27" thickBot="1" x14ac:dyDescent="0.35">
      <c r="B8" s="131" t="s">
        <v>27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"/>
      <c r="O8" s="2"/>
      <c r="P8" s="1"/>
      <c r="Q8" s="132"/>
      <c r="R8" s="132"/>
      <c r="S8" s="58"/>
      <c r="T8" s="1"/>
      <c r="U8" s="2"/>
      <c r="V8" s="1"/>
      <c r="W8" s="133" t="s">
        <v>54</v>
      </c>
      <c r="X8" s="133"/>
      <c r="Y8" s="133"/>
      <c r="Z8" s="4"/>
      <c r="AA8" s="5"/>
      <c r="AB8" s="6"/>
    </row>
    <row r="9" spans="2:28" ht="27" x14ac:dyDescent="0.3">
      <c r="B9" s="40" t="s">
        <v>31</v>
      </c>
      <c r="C9" s="40" t="s">
        <v>0</v>
      </c>
      <c r="D9" s="40" t="s">
        <v>24</v>
      </c>
      <c r="E9" s="46" t="s">
        <v>8</v>
      </c>
      <c r="F9" s="42" t="s">
        <v>9</v>
      </c>
      <c r="G9" s="43" t="s">
        <v>10</v>
      </c>
      <c r="H9" s="43" t="s">
        <v>11</v>
      </c>
      <c r="I9" s="43" t="s">
        <v>12</v>
      </c>
      <c r="J9" s="40" t="s">
        <v>13</v>
      </c>
      <c r="K9" s="40" t="s">
        <v>14</v>
      </c>
      <c r="L9" s="39" t="s">
        <v>15</v>
      </c>
      <c r="M9" s="41" t="s">
        <v>16</v>
      </c>
      <c r="N9" s="134" t="s">
        <v>22</v>
      </c>
      <c r="O9" s="135"/>
      <c r="P9" s="135"/>
      <c r="Q9" s="136"/>
      <c r="R9" s="41" t="s">
        <v>26</v>
      </c>
      <c r="S9" s="41" t="s">
        <v>1</v>
      </c>
      <c r="T9" s="45" t="s">
        <v>2</v>
      </c>
      <c r="U9" s="45" t="s">
        <v>3</v>
      </c>
      <c r="V9" s="41" t="s">
        <v>4</v>
      </c>
      <c r="W9" s="41" t="s">
        <v>5</v>
      </c>
      <c r="X9" s="49" t="s">
        <v>6</v>
      </c>
      <c r="Y9" s="44" t="s">
        <v>7</v>
      </c>
      <c r="Z9" s="10"/>
      <c r="AA9" s="8"/>
      <c r="AB9" s="9"/>
    </row>
    <row r="10" spans="2:28" x14ac:dyDescent="0.3">
      <c r="B10" s="12">
        <v>1</v>
      </c>
      <c r="C10" s="12">
        <v>1</v>
      </c>
      <c r="D10" s="12" t="s">
        <v>25</v>
      </c>
      <c r="E10" s="13">
        <v>46247</v>
      </c>
      <c r="F10" s="57" t="s">
        <v>17</v>
      </c>
      <c r="G10" s="14">
        <v>7928</v>
      </c>
      <c r="H10" s="14" t="s">
        <v>18</v>
      </c>
      <c r="I10" s="14"/>
      <c r="J10" s="15" t="s">
        <v>23</v>
      </c>
      <c r="K10" s="12" t="s">
        <v>34</v>
      </c>
      <c r="L10" s="38" t="s">
        <v>42</v>
      </c>
      <c r="M10" s="17">
        <v>455</v>
      </c>
      <c r="N10" s="16"/>
      <c r="O10" s="17"/>
      <c r="P10" s="16"/>
      <c r="Q10" s="17"/>
      <c r="R10" s="18">
        <v>12690</v>
      </c>
      <c r="S10" s="35">
        <f>R10</f>
        <v>12690</v>
      </c>
      <c r="T10" s="36">
        <v>0</v>
      </c>
      <c r="U10" s="19">
        <f>S10-T10</f>
        <v>12690</v>
      </c>
      <c r="V10" s="17"/>
      <c r="W10" s="20">
        <f>R10*M10</f>
        <v>5773950</v>
      </c>
      <c r="X10" s="37" t="s">
        <v>53</v>
      </c>
      <c r="Y10" s="21"/>
      <c r="Z10" s="10"/>
      <c r="AA10" s="8"/>
      <c r="AB10" s="9"/>
    </row>
    <row r="11" spans="2:28" x14ac:dyDescent="0.3">
      <c r="B11" s="12">
        <v>2</v>
      </c>
      <c r="C11" s="12"/>
      <c r="D11" s="12" t="s">
        <v>55</v>
      </c>
      <c r="E11" s="13">
        <v>46247</v>
      </c>
      <c r="F11" s="56" t="s">
        <v>52</v>
      </c>
      <c r="G11" s="14"/>
      <c r="H11" s="14"/>
      <c r="I11" s="14"/>
      <c r="J11" s="15"/>
      <c r="K11" s="12" t="s">
        <v>34</v>
      </c>
      <c r="L11" s="38" t="s">
        <v>49</v>
      </c>
      <c r="M11" s="17">
        <v>425</v>
      </c>
      <c r="N11" s="16"/>
      <c r="O11" s="17"/>
      <c r="P11" s="16"/>
      <c r="Q11" s="17"/>
      <c r="R11" s="18">
        <v>21490</v>
      </c>
      <c r="S11" s="35"/>
      <c r="T11" s="36"/>
      <c r="U11" s="19"/>
      <c r="V11" s="17"/>
      <c r="W11" s="20">
        <f>R11*M11</f>
        <v>9133250</v>
      </c>
      <c r="X11" s="37" t="s">
        <v>53</v>
      </c>
      <c r="Y11" s="21"/>
      <c r="Z11" s="10"/>
      <c r="AA11" s="8"/>
      <c r="AB11" s="9"/>
    </row>
    <row r="12" spans="2:28" ht="16.5" x14ac:dyDescent="0.3">
      <c r="B12" s="137" t="s">
        <v>32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9"/>
      <c r="N12" s="16"/>
      <c r="O12" s="17"/>
      <c r="P12" s="16"/>
      <c r="Q12" s="17"/>
      <c r="R12" s="50">
        <f>SUM(R10:R11)</f>
        <v>34180</v>
      </c>
      <c r="S12" s="51"/>
      <c r="T12" s="52"/>
      <c r="U12" s="53"/>
      <c r="V12" s="54"/>
      <c r="W12" s="55">
        <f>SUM(W10:W11)</f>
        <v>14907200</v>
      </c>
      <c r="X12" s="37"/>
      <c r="Y12" s="21"/>
      <c r="Z12" s="10"/>
      <c r="AA12" s="8"/>
      <c r="AB12" s="9"/>
    </row>
    <row r="14" spans="2:28" s="7" customFormat="1" ht="27" thickBot="1" x14ac:dyDescent="0.35">
      <c r="B14" s="131" t="s">
        <v>27</v>
      </c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"/>
      <c r="O14" s="2"/>
      <c r="P14" s="1"/>
      <c r="Q14" s="132"/>
      <c r="R14" s="132"/>
      <c r="S14" s="84"/>
      <c r="T14" s="1"/>
      <c r="U14" s="2"/>
      <c r="V14" s="1"/>
      <c r="W14" s="133" t="s">
        <v>62</v>
      </c>
      <c r="X14" s="133"/>
      <c r="Y14" s="133"/>
      <c r="Z14" s="4"/>
      <c r="AA14" s="5"/>
      <c r="AB14" s="6"/>
    </row>
    <row r="15" spans="2:28" ht="27" x14ac:dyDescent="0.3">
      <c r="B15" s="40" t="s">
        <v>31</v>
      </c>
      <c r="C15" s="40" t="s">
        <v>0</v>
      </c>
      <c r="D15" s="40" t="s">
        <v>24</v>
      </c>
      <c r="E15" s="46" t="s">
        <v>8</v>
      </c>
      <c r="F15" s="42" t="s">
        <v>9</v>
      </c>
      <c r="G15" s="43" t="s">
        <v>10</v>
      </c>
      <c r="H15" s="43" t="s">
        <v>11</v>
      </c>
      <c r="I15" s="43" t="s">
        <v>12</v>
      </c>
      <c r="J15" s="40" t="s">
        <v>13</v>
      </c>
      <c r="K15" s="40" t="s">
        <v>14</v>
      </c>
      <c r="L15" s="39" t="s">
        <v>15</v>
      </c>
      <c r="M15" s="41" t="s">
        <v>16</v>
      </c>
      <c r="N15" s="134" t="s">
        <v>22</v>
      </c>
      <c r="O15" s="135"/>
      <c r="P15" s="135"/>
      <c r="Q15" s="136"/>
      <c r="R15" s="41" t="s">
        <v>26</v>
      </c>
      <c r="S15" s="41" t="s">
        <v>1</v>
      </c>
      <c r="T15" s="45" t="s">
        <v>2</v>
      </c>
      <c r="U15" s="45" t="s">
        <v>3</v>
      </c>
      <c r="V15" s="41" t="s">
        <v>4</v>
      </c>
      <c r="W15" s="41" t="s">
        <v>5</v>
      </c>
      <c r="X15" s="49" t="s">
        <v>6</v>
      </c>
      <c r="Y15" s="44" t="s">
        <v>7</v>
      </c>
      <c r="Z15" s="10"/>
      <c r="AA15" s="8"/>
      <c r="AB15" s="9"/>
    </row>
    <row r="16" spans="2:28" x14ac:dyDescent="0.3">
      <c r="B16" s="12">
        <v>1</v>
      </c>
      <c r="C16" s="12">
        <v>1</v>
      </c>
      <c r="D16" s="12" t="s">
        <v>25</v>
      </c>
      <c r="E16" s="13">
        <v>46247</v>
      </c>
      <c r="F16" s="57" t="s">
        <v>17</v>
      </c>
      <c r="G16" s="14">
        <v>7928</v>
      </c>
      <c r="H16" s="14" t="s">
        <v>18</v>
      </c>
      <c r="I16" s="14"/>
      <c r="J16" s="15" t="s">
        <v>23</v>
      </c>
      <c r="K16" s="12" t="s">
        <v>34</v>
      </c>
      <c r="L16" s="38" t="s">
        <v>42</v>
      </c>
      <c r="M16" s="17">
        <v>455</v>
      </c>
      <c r="N16" s="16"/>
      <c r="O16" s="17"/>
      <c r="P16" s="16"/>
      <c r="Q16" s="17"/>
      <c r="R16" s="18">
        <v>12690</v>
      </c>
      <c r="S16" s="35">
        <f>R16</f>
        <v>12690</v>
      </c>
      <c r="T16" s="36">
        <v>0</v>
      </c>
      <c r="U16" s="19">
        <f>S16-T16</f>
        <v>12690</v>
      </c>
      <c r="V16" s="17"/>
      <c r="W16" s="20">
        <f>R16*M16</f>
        <v>5773950</v>
      </c>
      <c r="X16" s="37" t="s">
        <v>19</v>
      </c>
      <c r="Y16" s="21"/>
      <c r="Z16" s="10"/>
      <c r="AA16" s="8"/>
      <c r="AB16" s="9"/>
    </row>
    <row r="17" spans="1:28" x14ac:dyDescent="0.3">
      <c r="B17" s="12">
        <v>2</v>
      </c>
      <c r="C17" s="12"/>
      <c r="D17" s="12" t="s">
        <v>55</v>
      </c>
      <c r="E17" s="13">
        <v>46247</v>
      </c>
      <c r="F17" s="56" t="s">
        <v>52</v>
      </c>
      <c r="G17" s="14"/>
      <c r="H17" s="14"/>
      <c r="I17" s="14"/>
      <c r="J17" s="15"/>
      <c r="K17" s="12" t="s">
        <v>34</v>
      </c>
      <c r="L17" s="38" t="s">
        <v>49</v>
      </c>
      <c r="M17" s="17">
        <v>475</v>
      </c>
      <c r="N17" s="16"/>
      <c r="O17" s="17"/>
      <c r="P17" s="16"/>
      <c r="Q17" s="17"/>
      <c r="R17" s="18">
        <v>21490</v>
      </c>
      <c r="S17" s="35"/>
      <c r="T17" s="36"/>
      <c r="U17" s="19"/>
      <c r="V17" s="17"/>
      <c r="W17" s="20">
        <f>R17*M17</f>
        <v>10207750</v>
      </c>
      <c r="X17" s="37" t="s">
        <v>19</v>
      </c>
      <c r="Y17" s="21"/>
      <c r="Z17" s="10"/>
      <c r="AA17" s="8"/>
      <c r="AB17" s="9"/>
    </row>
    <row r="18" spans="1:28" x14ac:dyDescent="0.3">
      <c r="B18" s="12">
        <v>3</v>
      </c>
      <c r="C18" s="111"/>
      <c r="D18" s="12" t="s">
        <v>25</v>
      </c>
      <c r="E18" s="13">
        <v>46248</v>
      </c>
      <c r="F18" s="57" t="s">
        <v>17</v>
      </c>
      <c r="G18" s="14"/>
      <c r="H18" s="14"/>
      <c r="I18" s="14"/>
      <c r="J18" s="15"/>
      <c r="K18" s="12" t="s">
        <v>34</v>
      </c>
      <c r="L18" s="38" t="s">
        <v>42</v>
      </c>
      <c r="M18" s="112">
        <v>455</v>
      </c>
      <c r="N18" s="16"/>
      <c r="O18" s="17"/>
      <c r="P18" s="16"/>
      <c r="Q18" s="17"/>
      <c r="R18" s="18">
        <v>10030</v>
      </c>
      <c r="S18" s="35"/>
      <c r="T18" s="36"/>
      <c r="U18" s="19"/>
      <c r="V18" s="17"/>
      <c r="W18" s="20">
        <f>R18*M18</f>
        <v>4563650</v>
      </c>
      <c r="X18" s="37" t="s">
        <v>53</v>
      </c>
      <c r="Y18" s="21"/>
      <c r="Z18" s="10"/>
      <c r="AA18" s="8"/>
      <c r="AB18" s="9"/>
    </row>
    <row r="19" spans="1:28" ht="16.5" x14ac:dyDescent="0.3">
      <c r="B19" s="137" t="s">
        <v>32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9"/>
      <c r="N19" s="16"/>
      <c r="O19" s="17"/>
      <c r="P19" s="16"/>
      <c r="Q19" s="17"/>
      <c r="R19" s="50">
        <f>SUM(R16:R17)</f>
        <v>34180</v>
      </c>
      <c r="S19" s="51"/>
      <c r="T19" s="52"/>
      <c r="U19" s="53"/>
      <c r="V19" s="54"/>
      <c r="W19" s="55">
        <f>SUM(W16:W18)</f>
        <v>20545350</v>
      </c>
      <c r="X19" s="37"/>
      <c r="Y19" s="21"/>
      <c r="Z19" s="10"/>
      <c r="AA19" s="8"/>
      <c r="AB19" s="9"/>
    </row>
    <row r="23" spans="1:28" ht="27" thickBot="1" x14ac:dyDescent="0.35">
      <c r="A23" s="7"/>
      <c r="B23" s="131" t="s">
        <v>27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"/>
      <c r="O23" s="2"/>
      <c r="P23" s="1"/>
      <c r="Q23" s="132"/>
      <c r="R23" s="132"/>
      <c r="S23" s="126"/>
      <c r="T23" s="1"/>
      <c r="U23" s="2"/>
      <c r="V23" s="1"/>
      <c r="W23" s="133" t="s">
        <v>71</v>
      </c>
      <c r="X23" s="133"/>
      <c r="Y23" s="133"/>
      <c r="Z23" s="4"/>
    </row>
    <row r="24" spans="1:28" ht="27" x14ac:dyDescent="0.3">
      <c r="B24" s="40" t="s">
        <v>31</v>
      </c>
      <c r="C24" s="40" t="s">
        <v>0</v>
      </c>
      <c r="D24" s="40" t="s">
        <v>24</v>
      </c>
      <c r="E24" s="46" t="s">
        <v>8</v>
      </c>
      <c r="F24" s="42" t="s">
        <v>9</v>
      </c>
      <c r="G24" s="43" t="s">
        <v>10</v>
      </c>
      <c r="H24" s="43" t="s">
        <v>11</v>
      </c>
      <c r="I24" s="43" t="s">
        <v>12</v>
      </c>
      <c r="J24" s="40" t="s">
        <v>13</v>
      </c>
      <c r="K24" s="40" t="s">
        <v>14</v>
      </c>
      <c r="L24" s="39" t="s">
        <v>15</v>
      </c>
      <c r="M24" s="41" t="s">
        <v>16</v>
      </c>
      <c r="N24" s="134" t="s">
        <v>22</v>
      </c>
      <c r="O24" s="135"/>
      <c r="P24" s="135"/>
      <c r="Q24" s="136"/>
      <c r="R24" s="41" t="s">
        <v>26</v>
      </c>
      <c r="S24" s="41" t="s">
        <v>1</v>
      </c>
      <c r="T24" s="45" t="s">
        <v>2</v>
      </c>
      <c r="U24" s="45" t="s">
        <v>3</v>
      </c>
      <c r="V24" s="41" t="s">
        <v>4</v>
      </c>
      <c r="W24" s="41" t="s">
        <v>5</v>
      </c>
      <c r="X24" s="49" t="s">
        <v>6</v>
      </c>
      <c r="Y24" s="44" t="s">
        <v>7</v>
      </c>
      <c r="Z24" s="10"/>
    </row>
    <row r="25" spans="1:28" x14ac:dyDescent="0.3">
      <c r="B25" s="12">
        <v>1</v>
      </c>
      <c r="C25" s="12">
        <v>1</v>
      </c>
      <c r="D25" s="12" t="s">
        <v>25</v>
      </c>
      <c r="E25" s="13">
        <v>46248</v>
      </c>
      <c r="F25" s="56" t="s">
        <v>17</v>
      </c>
      <c r="G25" s="14"/>
      <c r="H25" s="14"/>
      <c r="I25" s="14"/>
      <c r="J25" s="15"/>
      <c r="K25" s="12" t="s">
        <v>34</v>
      </c>
      <c r="L25" s="38" t="s">
        <v>42</v>
      </c>
      <c r="M25" s="112">
        <v>455</v>
      </c>
      <c r="N25" s="16"/>
      <c r="O25" s="17"/>
      <c r="P25" s="16"/>
      <c r="Q25" s="17"/>
      <c r="R25" s="18">
        <v>10030</v>
      </c>
      <c r="S25" s="35"/>
      <c r="T25" s="36"/>
      <c r="U25" s="19"/>
      <c r="V25" s="17"/>
      <c r="W25" s="20">
        <f>R25*M25</f>
        <v>4563650</v>
      </c>
      <c r="X25" s="37" t="s">
        <v>53</v>
      </c>
      <c r="Y25" s="21"/>
      <c r="Z25" s="10"/>
    </row>
    <row r="26" spans="1:28" x14ac:dyDescent="0.3">
      <c r="B26" s="12">
        <v>2</v>
      </c>
      <c r="C26" s="12"/>
      <c r="D26" s="12" t="s">
        <v>25</v>
      </c>
      <c r="E26" s="13">
        <v>46249</v>
      </c>
      <c r="F26" s="56" t="s">
        <v>17</v>
      </c>
      <c r="G26" s="14"/>
      <c r="H26" s="14"/>
      <c r="I26" s="14"/>
      <c r="J26" s="15"/>
      <c r="K26" s="12" t="s">
        <v>34</v>
      </c>
      <c r="L26" s="38" t="s">
        <v>42</v>
      </c>
      <c r="M26" s="17">
        <v>455</v>
      </c>
      <c r="N26" s="16"/>
      <c r="O26" s="17"/>
      <c r="P26" s="16"/>
      <c r="Q26" s="17"/>
      <c r="R26" s="18">
        <v>6420</v>
      </c>
      <c r="S26" s="35"/>
      <c r="T26" s="36"/>
      <c r="U26" s="19"/>
      <c r="V26" s="17"/>
      <c r="W26" s="20">
        <f>R26*M26</f>
        <v>2921100</v>
      </c>
      <c r="X26" s="37" t="s">
        <v>53</v>
      </c>
      <c r="Y26" s="21"/>
      <c r="Z26" s="10"/>
    </row>
    <row r="27" spans="1:28" x14ac:dyDescent="0.3">
      <c r="B27" s="12"/>
      <c r="C27" s="111"/>
      <c r="D27" s="12"/>
      <c r="E27" s="13"/>
      <c r="F27" s="57"/>
      <c r="G27" s="14"/>
      <c r="H27" s="14"/>
      <c r="I27" s="14"/>
      <c r="J27" s="15"/>
      <c r="K27" s="12"/>
      <c r="L27" s="38"/>
      <c r="M27" s="112"/>
      <c r="N27" s="16"/>
      <c r="O27" s="17"/>
      <c r="P27" s="16"/>
      <c r="Q27" s="17"/>
      <c r="R27" s="18"/>
      <c r="S27" s="35"/>
      <c r="T27" s="36"/>
      <c r="U27" s="19"/>
      <c r="V27" s="17"/>
      <c r="W27" s="20"/>
      <c r="X27" s="37"/>
      <c r="Y27" s="21"/>
      <c r="Z27" s="10"/>
    </row>
    <row r="28" spans="1:28" ht="16.5" x14ac:dyDescent="0.3">
      <c r="B28" s="137" t="s">
        <v>32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9"/>
      <c r="N28" s="16"/>
      <c r="O28" s="17"/>
      <c r="P28" s="16"/>
      <c r="Q28" s="17"/>
      <c r="R28" s="50">
        <f>SUM(R25:R26)</f>
        <v>16450</v>
      </c>
      <c r="S28" s="51"/>
      <c r="T28" s="52"/>
      <c r="U28" s="53"/>
      <c r="V28" s="54"/>
      <c r="W28" s="55">
        <f>SUM(W25:W27)</f>
        <v>7484750</v>
      </c>
      <c r="X28" s="37"/>
      <c r="Y28" s="21"/>
      <c r="Z28" s="10"/>
    </row>
  </sheetData>
  <mergeCells count="20">
    <mergeCell ref="B14:M14"/>
    <mergeCell ref="Q14:R14"/>
    <mergeCell ref="W14:Y14"/>
    <mergeCell ref="N15:Q15"/>
    <mergeCell ref="B19:M19"/>
    <mergeCell ref="B8:M8"/>
    <mergeCell ref="Q8:R8"/>
    <mergeCell ref="W8:Y8"/>
    <mergeCell ref="N9:Q9"/>
    <mergeCell ref="B12:M12"/>
    <mergeCell ref="B5:M5"/>
    <mergeCell ref="W1:Y1"/>
    <mergeCell ref="B1:M1"/>
    <mergeCell ref="Q1:R1"/>
    <mergeCell ref="N2:Q2"/>
    <mergeCell ref="B23:M23"/>
    <mergeCell ref="Q23:R23"/>
    <mergeCell ref="W23:Y23"/>
    <mergeCell ref="N24:Q24"/>
    <mergeCell ref="B28:M28"/>
  </mergeCells>
  <phoneticPr fontId="3" type="noConversion"/>
  <printOptions horizontalCentered="1"/>
  <pageMargins left="0" right="0" top="0" bottom="0" header="0" footer="0"/>
  <pageSetup paperSize="8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61A1-FAEF-434E-9B28-A292AC767576}">
  <sheetPr>
    <tabColor theme="5" tint="0.39997558519241921"/>
    <pageSetUpPr fitToPage="1"/>
  </sheetPr>
  <dimension ref="A2:S10"/>
  <sheetViews>
    <sheetView showGridLines="0" zoomScale="85" zoomScaleNormal="85" workbookViewId="0">
      <selection activeCell="S13" sqref="S13"/>
    </sheetView>
  </sheetViews>
  <sheetFormatPr defaultColWidth="11" defaultRowHeight="13.5" x14ac:dyDescent="0.3"/>
  <cols>
    <col min="1" max="1" width="2.375" style="11" customWidth="1"/>
    <col min="2" max="2" width="5.375" style="11" customWidth="1"/>
    <col min="3" max="3" width="4.75" style="23" hidden="1" customWidth="1"/>
    <col min="4" max="5" width="11.875" style="23" customWidth="1"/>
    <col min="6" max="6" width="8" style="23" customWidth="1"/>
    <col min="7" max="8" width="8.875" style="23" customWidth="1"/>
    <col min="9" max="9" width="12.5" style="23" customWidth="1"/>
    <col min="10" max="10" width="11.875" style="23" customWidth="1"/>
    <col min="11" max="11" width="8.875" style="23" customWidth="1"/>
    <col min="12" max="12" width="10.5" style="28" customWidth="1"/>
    <col min="13" max="13" width="6.375" style="28" customWidth="1"/>
    <col min="14" max="14" width="8.375" style="31" customWidth="1"/>
    <col min="15" max="15" width="9.625" style="31" bestFit="1" customWidth="1"/>
    <col min="16" max="16" width="8.625" style="28" customWidth="1"/>
    <col min="17" max="17" width="48.75" style="33" hidden="1" customWidth="1"/>
    <col min="18" max="18" width="4.125" style="26" customWidth="1"/>
    <col min="19" max="19" width="16.25" style="23" customWidth="1"/>
    <col min="20" max="20" width="3.25" style="11" customWidth="1"/>
    <col min="21" max="21" width="5.875" style="11" bestFit="1" customWidth="1"/>
    <col min="22" max="23" width="3.25" style="11" bestFit="1" customWidth="1"/>
    <col min="24" max="25" width="8.375" style="11" bestFit="1" customWidth="1"/>
    <col min="26" max="38" width="5.75" style="11" customWidth="1"/>
    <col min="39" max="39" width="6.125" style="11" bestFit="1" customWidth="1"/>
    <col min="40" max="40" width="6.375" style="11" bestFit="1" customWidth="1"/>
    <col min="41" max="50" width="4.625" style="11" customWidth="1"/>
    <col min="51" max="16384" width="11" style="11"/>
  </cols>
  <sheetData>
    <row r="2" spans="1:19" s="7" customFormat="1" ht="27" thickBot="1" x14ac:dyDescent="0.35">
      <c r="B2" s="131" t="s">
        <v>28</v>
      </c>
      <c r="C2" s="131"/>
      <c r="D2" s="131"/>
      <c r="E2" s="131"/>
      <c r="F2" s="131"/>
      <c r="G2" s="131"/>
      <c r="H2" s="131"/>
      <c r="I2" s="131"/>
      <c r="J2" s="131"/>
      <c r="K2" s="81"/>
      <c r="L2" s="82"/>
      <c r="M2" s="34"/>
      <c r="N2" s="1"/>
      <c r="O2" s="1"/>
      <c r="P2" s="83" t="s">
        <v>54</v>
      </c>
      <c r="Q2" s="3"/>
      <c r="R2" s="4"/>
      <c r="S2" s="5"/>
    </row>
    <row r="3" spans="1:19" ht="27" x14ac:dyDescent="0.3">
      <c r="B3" s="40" t="s">
        <v>31</v>
      </c>
      <c r="C3" s="40" t="s">
        <v>0</v>
      </c>
      <c r="D3" s="40" t="s">
        <v>24</v>
      </c>
      <c r="E3" s="46" t="s">
        <v>8</v>
      </c>
      <c r="F3" s="42" t="s">
        <v>9</v>
      </c>
      <c r="G3" s="47" t="s">
        <v>29</v>
      </c>
      <c r="H3" s="47" t="s">
        <v>59</v>
      </c>
      <c r="I3" s="47" t="s">
        <v>60</v>
      </c>
      <c r="J3" s="39" t="s">
        <v>15</v>
      </c>
      <c r="K3" s="39" t="s">
        <v>16</v>
      </c>
      <c r="L3" s="41" t="s">
        <v>26</v>
      </c>
      <c r="M3" s="41" t="s">
        <v>58</v>
      </c>
      <c r="N3" s="48" t="s">
        <v>30</v>
      </c>
      <c r="O3" s="48"/>
      <c r="P3" s="41" t="s">
        <v>5</v>
      </c>
      <c r="Q3" s="44" t="s">
        <v>7</v>
      </c>
      <c r="R3" s="10"/>
      <c r="S3" s="8"/>
    </row>
    <row r="4" spans="1:19" x14ac:dyDescent="0.3">
      <c r="B4" s="12">
        <v>1</v>
      </c>
      <c r="C4" s="12"/>
      <c r="D4" s="12" t="s">
        <v>25</v>
      </c>
      <c r="E4" s="13">
        <v>46247</v>
      </c>
      <c r="F4" s="110" t="s">
        <v>57</v>
      </c>
      <c r="G4" s="12" t="s">
        <v>56</v>
      </c>
      <c r="H4" s="12" t="s">
        <v>46</v>
      </c>
      <c r="I4" s="12" t="s">
        <v>46</v>
      </c>
      <c r="J4" s="38" t="s">
        <v>47</v>
      </c>
      <c r="K4" s="85">
        <v>40000</v>
      </c>
      <c r="L4" s="18">
        <v>2780</v>
      </c>
      <c r="M4" s="18">
        <v>50</v>
      </c>
      <c r="N4" s="17">
        <v>0</v>
      </c>
      <c r="O4" s="17"/>
      <c r="P4" s="20">
        <f>K4*M4</f>
        <v>2000000</v>
      </c>
      <c r="Q4" s="21"/>
      <c r="R4" s="10"/>
      <c r="S4" s="8"/>
    </row>
    <row r="5" spans="1:19" x14ac:dyDescent="0.3">
      <c r="B5" s="12"/>
      <c r="C5" s="22"/>
      <c r="D5" s="22"/>
      <c r="E5" s="22"/>
      <c r="F5" s="110"/>
      <c r="G5" s="22"/>
      <c r="H5" s="22"/>
      <c r="I5" s="22"/>
      <c r="J5" s="38" t="s">
        <v>61</v>
      </c>
      <c r="K5" s="38"/>
      <c r="L5" s="18"/>
      <c r="M5" s="18"/>
      <c r="N5" s="17"/>
      <c r="O5" s="17"/>
      <c r="P5" s="20"/>
      <c r="Q5" s="21"/>
      <c r="R5" s="10"/>
      <c r="S5" s="8"/>
    </row>
    <row r="7" spans="1:19" ht="27" thickBot="1" x14ac:dyDescent="0.35">
      <c r="A7" s="7"/>
      <c r="B7" s="131" t="s">
        <v>28</v>
      </c>
      <c r="C7" s="131"/>
      <c r="D7" s="131"/>
      <c r="E7" s="131"/>
      <c r="F7" s="131"/>
      <c r="G7" s="131"/>
      <c r="H7" s="131"/>
      <c r="I7" s="131"/>
      <c r="J7" s="131"/>
      <c r="K7" s="113"/>
      <c r="L7" s="82"/>
      <c r="M7" s="113"/>
      <c r="N7" s="1"/>
      <c r="O7" s="83"/>
      <c r="P7" s="83" t="s">
        <v>62</v>
      </c>
      <c r="Q7" s="11"/>
      <c r="R7" s="11"/>
    </row>
    <row r="8" spans="1:19" ht="27.75" thickBot="1" x14ac:dyDescent="0.35">
      <c r="B8" s="119" t="s">
        <v>31</v>
      </c>
      <c r="C8" s="119" t="s">
        <v>0</v>
      </c>
      <c r="D8" s="119" t="s">
        <v>24</v>
      </c>
      <c r="E8" s="120" t="s">
        <v>8</v>
      </c>
      <c r="F8" s="121" t="s">
        <v>9</v>
      </c>
      <c r="G8" s="122" t="s">
        <v>29</v>
      </c>
      <c r="H8" s="122" t="s">
        <v>59</v>
      </c>
      <c r="I8" s="122" t="s">
        <v>60</v>
      </c>
      <c r="J8" s="123" t="s">
        <v>15</v>
      </c>
      <c r="K8" s="123" t="s">
        <v>16</v>
      </c>
      <c r="L8" s="124" t="s">
        <v>26</v>
      </c>
      <c r="M8" s="124" t="s">
        <v>58</v>
      </c>
      <c r="N8" s="125" t="s">
        <v>30</v>
      </c>
      <c r="O8" s="124" t="s">
        <v>69</v>
      </c>
      <c r="P8" s="124" t="s">
        <v>70</v>
      </c>
      <c r="Q8" s="44" t="s">
        <v>7</v>
      </c>
      <c r="R8" s="10"/>
    </row>
    <row r="9" spans="1:19" ht="27" x14ac:dyDescent="0.3">
      <c r="B9" s="12">
        <v>1</v>
      </c>
      <c r="C9" s="12"/>
      <c r="D9" s="12" t="s">
        <v>25</v>
      </c>
      <c r="E9" s="13">
        <v>46248</v>
      </c>
      <c r="F9" s="110" t="s">
        <v>57</v>
      </c>
      <c r="G9" s="12" t="s">
        <v>56</v>
      </c>
      <c r="H9" s="12" t="s">
        <v>63</v>
      </c>
      <c r="I9" s="12" t="s">
        <v>64</v>
      </c>
      <c r="J9" s="118" t="s">
        <v>67</v>
      </c>
      <c r="K9" s="85">
        <v>200</v>
      </c>
      <c r="L9" s="18">
        <v>3190</v>
      </c>
      <c r="M9" s="18">
        <v>0</v>
      </c>
      <c r="N9" s="20">
        <v>300000</v>
      </c>
      <c r="O9" s="20">
        <f>K9*L9</f>
        <v>638000</v>
      </c>
      <c r="P9" s="20">
        <f>SUM(N9:O9)</f>
        <v>938000</v>
      </c>
      <c r="Q9" s="21"/>
      <c r="R9" s="10"/>
    </row>
    <row r="10" spans="1:19" x14ac:dyDescent="0.3">
      <c r="B10" s="12"/>
      <c r="C10" s="22"/>
      <c r="D10" s="22"/>
      <c r="E10" s="22"/>
      <c r="F10" s="110"/>
      <c r="G10" s="22"/>
      <c r="H10" s="22"/>
      <c r="I10" s="22"/>
      <c r="J10" s="38"/>
      <c r="K10" s="38"/>
      <c r="L10" s="18"/>
      <c r="M10" s="18"/>
      <c r="N10" s="20"/>
      <c r="O10" s="20"/>
      <c r="P10" s="20"/>
      <c r="Q10" s="21"/>
      <c r="R10" s="10"/>
    </row>
  </sheetData>
  <mergeCells count="2">
    <mergeCell ref="B7:J7"/>
    <mergeCell ref="B2:J2"/>
  </mergeCells>
  <phoneticPr fontId="3" type="noConversion"/>
  <printOptions horizontalCentered="1"/>
  <pageMargins left="0" right="0" top="0" bottom="0" header="0" footer="0"/>
  <pageSetup paperSize="8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계근공유방 보고자료</vt:lpstr>
      <vt:lpstr>스크랩반출List</vt:lpstr>
      <vt:lpstr>폐기물반출List</vt:lpstr>
      <vt:lpstr>스크랩반출List!Print_Area</vt:lpstr>
      <vt:lpstr>폐기물반출List!Print_Area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2026-08-10T06:46:14Z</dcterms:created>
  <dcterms:modified xsi:type="dcterms:W3CDTF">2026-08-18T05:54:22Z</dcterms:modified>
</cp:coreProperties>
</file>